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rajendran\Downloads\"/>
    </mc:Choice>
  </mc:AlternateContent>
  <xr:revisionPtr revIDLastSave="0" documentId="13_ncr:1_{28F1D9AA-C013-49BD-89E1-0D210B0F4AA4}" xr6:coauthVersionLast="47" xr6:coauthVersionMax="47" xr10:uidLastSave="{00000000-0000-0000-0000-000000000000}"/>
  <bookViews>
    <workbookView xWindow="-108" yWindow="-108" windowWidth="23256" windowHeight="12456" activeTab="4" xr2:uid="{00000000-000D-0000-FFFF-FFFF00000000}"/>
  </bookViews>
  <sheets>
    <sheet name="SalesData" sheetId="1" r:id="rId1"/>
    <sheet name="Cleandata" sheetId="5" r:id="rId2"/>
    <sheet name="Productmapping" sheetId="7" r:id="rId3"/>
    <sheet name="Pivot Table" sheetId="8" r:id="rId4"/>
    <sheet name="DASHBOARD" sheetId="10" r:id="rId5"/>
  </sheets>
  <definedNames>
    <definedName name="ExternalData_1" localSheetId="1" hidden="1">Cleandata!$A$1:$P$1001</definedName>
    <definedName name="Slicer_City">#N/A</definedName>
    <definedName name="Slicer_Gender">#N/A</definedName>
    <definedName name="Slicer_Product">#N/A</definedName>
  </definedNames>
  <calcPr calcId="191029"/>
  <pivotCaches>
    <pivotCache cacheId="2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14" i="7" l="1"/>
  <c r="H1001"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3" i="7"/>
  <c r="H4" i="7"/>
  <c r="H5" i="7"/>
  <c r="H6" i="7"/>
  <c r="H7" i="7"/>
  <c r="H8" i="7"/>
  <c r="H9" i="7"/>
  <c r="H10" i="7"/>
  <c r="H11" i="7"/>
  <c r="H12" i="7"/>
  <c r="H13" i="7"/>
  <c r="H14" i="7"/>
  <c r="H15" i="7"/>
  <c r="H16" i="7"/>
  <c r="H17" i="7"/>
  <c r="H18" i="7"/>
  <c r="H19" i="7"/>
  <c r="H20" i="7"/>
  <c r="H21" i="7"/>
  <c r="H22" i="7"/>
  <c r="H23" i="7"/>
  <c r="H2"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28" i="7"/>
  <c r="B29" i="7"/>
  <c r="B30" i="7"/>
  <c r="B31" i="7"/>
  <c r="B32" i="7"/>
  <c r="B33" i="7"/>
  <c r="B34" i="7"/>
  <c r="B3" i="7"/>
  <c r="B4" i="7"/>
  <c r="B5" i="7"/>
  <c r="B6" i="7"/>
  <c r="B7" i="7"/>
  <c r="B8" i="7"/>
  <c r="B9" i="7"/>
  <c r="B10" i="7"/>
  <c r="B11" i="7"/>
  <c r="B12" i="7"/>
  <c r="B13" i="7"/>
  <c r="B14" i="7"/>
  <c r="B15" i="7"/>
  <c r="B16" i="7"/>
  <c r="B17" i="7"/>
  <c r="B18" i="7"/>
  <c r="B19" i="7"/>
  <c r="B20" i="7"/>
  <c r="B21" i="7"/>
  <c r="B22" i="7"/>
  <c r="B23" i="7"/>
  <c r="B24" i="7"/>
  <c r="B25" i="7"/>
  <c r="B26" i="7"/>
  <c r="B27" i="7"/>
  <c r="B2" i="7"/>
  <c r="C2" i="5"/>
  <c r="C528" i="5"/>
  <c r="C3" i="5"/>
  <c r="C4" i="5"/>
  <c r="C529" i="5"/>
  <c r="C5" i="5"/>
  <c r="C6" i="5"/>
  <c r="C7" i="5"/>
  <c r="C530" i="5"/>
  <c r="C8" i="5"/>
  <c r="C9" i="5"/>
  <c r="C531" i="5"/>
  <c r="C10" i="5"/>
  <c r="C11" i="5"/>
  <c r="C12" i="5"/>
  <c r="C532" i="5"/>
  <c r="C533" i="5"/>
  <c r="C13" i="5"/>
  <c r="C534" i="5"/>
  <c r="C535" i="5"/>
  <c r="C984" i="5"/>
  <c r="C14" i="5"/>
  <c r="C15" i="5"/>
  <c r="C536" i="5"/>
  <c r="C16" i="5"/>
  <c r="C537" i="5"/>
  <c r="C538" i="5"/>
  <c r="C539" i="5"/>
  <c r="C540" i="5"/>
  <c r="C17" i="5"/>
  <c r="C541" i="5"/>
  <c r="C18" i="5"/>
  <c r="C19" i="5"/>
  <c r="C542" i="5"/>
  <c r="C543" i="5"/>
  <c r="C544" i="5"/>
  <c r="C20" i="5"/>
  <c r="C21" i="5"/>
  <c r="C22" i="5"/>
  <c r="C23" i="5"/>
  <c r="C24" i="5"/>
  <c r="C545" i="5"/>
  <c r="C546" i="5"/>
  <c r="C547" i="5"/>
  <c r="C25" i="5"/>
  <c r="C26" i="5"/>
  <c r="C27" i="5"/>
  <c r="C28" i="5"/>
  <c r="C29" i="5"/>
  <c r="C30" i="5"/>
  <c r="C548" i="5"/>
  <c r="C31" i="5"/>
  <c r="C549" i="5"/>
  <c r="C550" i="5"/>
  <c r="C32" i="5"/>
  <c r="C551" i="5"/>
  <c r="C552" i="5"/>
  <c r="C33" i="5"/>
  <c r="C34" i="5"/>
  <c r="C35" i="5"/>
  <c r="C36" i="5"/>
  <c r="C37" i="5"/>
  <c r="C38" i="5"/>
  <c r="C553" i="5"/>
  <c r="C554" i="5"/>
  <c r="C39" i="5"/>
  <c r="C40" i="5"/>
  <c r="C985" i="5"/>
  <c r="C41" i="5"/>
  <c r="C555" i="5"/>
  <c r="C42" i="5"/>
  <c r="C43" i="5"/>
  <c r="C44" i="5"/>
  <c r="C45" i="5"/>
  <c r="C46" i="5"/>
  <c r="C556" i="5"/>
  <c r="C557" i="5"/>
  <c r="C558" i="5"/>
  <c r="C47" i="5"/>
  <c r="C48" i="5"/>
  <c r="C559" i="5"/>
  <c r="C49" i="5"/>
  <c r="C50" i="5"/>
  <c r="C51" i="5"/>
  <c r="C52" i="5"/>
  <c r="C53" i="5"/>
  <c r="C560" i="5"/>
  <c r="C561" i="5"/>
  <c r="C54" i="5"/>
  <c r="C562" i="5"/>
  <c r="C563" i="5"/>
  <c r="C55" i="5"/>
  <c r="C564" i="5"/>
  <c r="C565" i="5"/>
  <c r="C566" i="5"/>
  <c r="C567" i="5"/>
  <c r="C56" i="5"/>
  <c r="C57" i="5"/>
  <c r="C58" i="5"/>
  <c r="C568" i="5"/>
  <c r="C569" i="5"/>
  <c r="C570" i="5"/>
  <c r="C59" i="5"/>
  <c r="C571" i="5"/>
  <c r="C60" i="5"/>
  <c r="C572" i="5"/>
  <c r="C61" i="5"/>
  <c r="C573" i="5"/>
  <c r="C574" i="5"/>
  <c r="C62" i="5"/>
  <c r="C63" i="5"/>
  <c r="C575" i="5"/>
  <c r="C64" i="5"/>
  <c r="C65" i="5"/>
  <c r="C576" i="5"/>
  <c r="C66" i="5"/>
  <c r="C67" i="5"/>
  <c r="C577" i="5"/>
  <c r="C68" i="5"/>
  <c r="C578" i="5"/>
  <c r="C69" i="5"/>
  <c r="C986" i="5"/>
  <c r="C70" i="5"/>
  <c r="C579" i="5"/>
  <c r="C71" i="5"/>
  <c r="C580" i="5"/>
  <c r="C581" i="5"/>
  <c r="C582" i="5"/>
  <c r="C583" i="5"/>
  <c r="C72" i="5"/>
  <c r="C73" i="5"/>
  <c r="C584" i="5"/>
  <c r="C585" i="5"/>
  <c r="C74" i="5"/>
  <c r="C586" i="5"/>
  <c r="C587" i="5"/>
  <c r="C588" i="5"/>
  <c r="C75" i="5"/>
  <c r="C589" i="5"/>
  <c r="C76" i="5"/>
  <c r="C590" i="5"/>
  <c r="C77" i="5"/>
  <c r="C78" i="5"/>
  <c r="C591" i="5"/>
  <c r="C79" i="5"/>
  <c r="C80" i="5"/>
  <c r="C81" i="5"/>
  <c r="C82" i="5"/>
  <c r="C592" i="5"/>
  <c r="C83" i="5"/>
  <c r="C593" i="5"/>
  <c r="C84" i="5"/>
  <c r="C85" i="5"/>
  <c r="C594" i="5"/>
  <c r="C86" i="5"/>
  <c r="C87" i="5"/>
  <c r="C595" i="5"/>
  <c r="C88" i="5"/>
  <c r="C89" i="5"/>
  <c r="C90" i="5"/>
  <c r="C91" i="5"/>
  <c r="C596" i="5"/>
  <c r="C597" i="5"/>
  <c r="C92" i="5"/>
  <c r="C598" i="5"/>
  <c r="C93" i="5"/>
  <c r="C599" i="5"/>
  <c r="C94" i="5"/>
  <c r="C600" i="5"/>
  <c r="C95" i="5"/>
  <c r="C601" i="5"/>
  <c r="C602" i="5"/>
  <c r="C96" i="5"/>
  <c r="C603" i="5"/>
  <c r="C97" i="5"/>
  <c r="C604" i="5"/>
  <c r="C98" i="5"/>
  <c r="C605" i="5"/>
  <c r="C99" i="5"/>
  <c r="C606" i="5"/>
  <c r="C607" i="5"/>
  <c r="C608" i="5"/>
  <c r="C609" i="5"/>
  <c r="C100" i="5"/>
  <c r="C610" i="5"/>
  <c r="C101" i="5"/>
  <c r="C611" i="5"/>
  <c r="C102" i="5"/>
  <c r="C103" i="5"/>
  <c r="C612" i="5"/>
  <c r="C104" i="5"/>
  <c r="C613" i="5"/>
  <c r="C105" i="5"/>
  <c r="C106" i="5"/>
  <c r="C107" i="5"/>
  <c r="C614" i="5"/>
  <c r="C615" i="5"/>
  <c r="C616" i="5"/>
  <c r="C108" i="5"/>
  <c r="C617" i="5"/>
  <c r="C618" i="5"/>
  <c r="C109" i="5"/>
  <c r="C110" i="5"/>
  <c r="C619" i="5"/>
  <c r="C111" i="5"/>
  <c r="C620" i="5"/>
  <c r="C621" i="5"/>
  <c r="C112" i="5"/>
  <c r="C622" i="5"/>
  <c r="C623" i="5"/>
  <c r="C624" i="5"/>
  <c r="C625" i="5"/>
  <c r="C113" i="5"/>
  <c r="C114" i="5"/>
  <c r="C626" i="5"/>
  <c r="C115" i="5"/>
  <c r="C627" i="5"/>
  <c r="C628" i="5"/>
  <c r="C629" i="5"/>
  <c r="C116" i="5"/>
  <c r="C117" i="5"/>
  <c r="C118" i="5"/>
  <c r="C119" i="5"/>
  <c r="C630" i="5"/>
  <c r="C120" i="5"/>
  <c r="C631" i="5"/>
  <c r="C632" i="5"/>
  <c r="C633" i="5"/>
  <c r="C634" i="5"/>
  <c r="C635" i="5"/>
  <c r="C636" i="5"/>
  <c r="C637" i="5"/>
  <c r="C638" i="5"/>
  <c r="C121" i="5"/>
  <c r="C122" i="5"/>
  <c r="C639" i="5"/>
  <c r="C640" i="5"/>
  <c r="C641" i="5"/>
  <c r="C123" i="5"/>
  <c r="C642" i="5"/>
  <c r="C124" i="5"/>
  <c r="C125" i="5"/>
  <c r="C126" i="5"/>
  <c r="C127" i="5"/>
  <c r="C643" i="5"/>
  <c r="C128" i="5"/>
  <c r="C129" i="5"/>
  <c r="C644" i="5"/>
  <c r="C645" i="5"/>
  <c r="C646" i="5"/>
  <c r="C647" i="5"/>
  <c r="C648" i="5"/>
  <c r="C130" i="5"/>
  <c r="C131" i="5"/>
  <c r="C649" i="5"/>
  <c r="C650" i="5"/>
  <c r="C132" i="5"/>
  <c r="C133" i="5"/>
  <c r="C651" i="5"/>
  <c r="C134" i="5"/>
  <c r="C652" i="5"/>
  <c r="C135" i="5"/>
  <c r="C653" i="5"/>
  <c r="C136" i="5"/>
  <c r="C654" i="5"/>
  <c r="C137" i="5"/>
  <c r="C138" i="5"/>
  <c r="C139" i="5"/>
  <c r="C655" i="5"/>
  <c r="C656" i="5"/>
  <c r="C657" i="5"/>
  <c r="C658" i="5"/>
  <c r="C659" i="5"/>
  <c r="C660" i="5"/>
  <c r="C140" i="5"/>
  <c r="C141" i="5"/>
  <c r="C661" i="5"/>
  <c r="C662" i="5"/>
  <c r="C987" i="5"/>
  <c r="C142" i="5"/>
  <c r="C143" i="5"/>
  <c r="C144" i="5"/>
  <c r="C145" i="5"/>
  <c r="C146" i="5"/>
  <c r="C663" i="5"/>
  <c r="C147" i="5"/>
  <c r="C148" i="5"/>
  <c r="C664" i="5"/>
  <c r="C665" i="5"/>
  <c r="C149" i="5"/>
  <c r="C150" i="5"/>
  <c r="C151" i="5"/>
  <c r="C666" i="5"/>
  <c r="C152" i="5"/>
  <c r="C153" i="5"/>
  <c r="C667" i="5"/>
  <c r="C668" i="5"/>
  <c r="C988" i="5"/>
  <c r="C154" i="5"/>
  <c r="C669" i="5"/>
  <c r="C155" i="5"/>
  <c r="C670" i="5"/>
  <c r="C156" i="5"/>
  <c r="C671" i="5"/>
  <c r="C157" i="5"/>
  <c r="C158" i="5"/>
  <c r="C672" i="5"/>
  <c r="C673" i="5"/>
  <c r="C159" i="5"/>
  <c r="C674" i="5"/>
  <c r="C160" i="5"/>
  <c r="C675" i="5"/>
  <c r="C676" i="5"/>
  <c r="C161" i="5"/>
  <c r="C162" i="5"/>
  <c r="C677" i="5"/>
  <c r="C163" i="5"/>
  <c r="C164" i="5"/>
  <c r="C678" i="5"/>
  <c r="C165" i="5"/>
  <c r="C679" i="5"/>
  <c r="C166" i="5"/>
  <c r="C167" i="5"/>
  <c r="C680" i="5"/>
  <c r="C168" i="5"/>
  <c r="C681" i="5"/>
  <c r="C682" i="5"/>
  <c r="C169" i="5"/>
  <c r="C683" i="5"/>
  <c r="C684" i="5"/>
  <c r="C170" i="5"/>
  <c r="C171" i="5"/>
  <c r="C685" i="5"/>
  <c r="C172" i="5"/>
  <c r="C173" i="5"/>
  <c r="C686" i="5"/>
  <c r="C174" i="5"/>
  <c r="C175" i="5"/>
  <c r="C687" i="5"/>
  <c r="C688" i="5"/>
  <c r="C689" i="5"/>
  <c r="C690" i="5"/>
  <c r="C176" i="5"/>
  <c r="C691" i="5"/>
  <c r="C692" i="5"/>
  <c r="C177" i="5"/>
  <c r="C693" i="5"/>
  <c r="C694" i="5"/>
  <c r="C178" i="5"/>
  <c r="C179" i="5"/>
  <c r="C180" i="5"/>
  <c r="C695" i="5"/>
  <c r="C181" i="5"/>
  <c r="C182" i="5"/>
  <c r="C183" i="5"/>
  <c r="C184" i="5"/>
  <c r="C696" i="5"/>
  <c r="C185" i="5"/>
  <c r="C186" i="5"/>
  <c r="C187" i="5"/>
  <c r="C697" i="5"/>
  <c r="C188" i="5"/>
  <c r="C698" i="5"/>
  <c r="C699" i="5"/>
  <c r="C189" i="5"/>
  <c r="C190" i="5"/>
  <c r="C191" i="5"/>
  <c r="C192" i="5"/>
  <c r="C193" i="5"/>
  <c r="C700" i="5"/>
  <c r="C701" i="5"/>
  <c r="C194" i="5"/>
  <c r="C195" i="5"/>
  <c r="C702" i="5"/>
  <c r="C196" i="5"/>
  <c r="C197" i="5"/>
  <c r="C703" i="5"/>
  <c r="C198" i="5"/>
  <c r="C704" i="5"/>
  <c r="C199" i="5"/>
  <c r="C705" i="5"/>
  <c r="C200" i="5"/>
  <c r="C201" i="5"/>
  <c r="C706" i="5"/>
  <c r="C707" i="5"/>
  <c r="C202" i="5"/>
  <c r="C203" i="5"/>
  <c r="C204" i="5"/>
  <c r="C205" i="5"/>
  <c r="C206" i="5"/>
  <c r="C708" i="5"/>
  <c r="C207" i="5"/>
  <c r="C208" i="5"/>
  <c r="C709" i="5"/>
  <c r="C710" i="5"/>
  <c r="C209" i="5"/>
  <c r="C210" i="5"/>
  <c r="C711" i="5"/>
  <c r="C712" i="5"/>
  <c r="C211" i="5"/>
  <c r="C713" i="5"/>
  <c r="C714" i="5"/>
  <c r="C212" i="5"/>
  <c r="C213" i="5"/>
  <c r="C214" i="5"/>
  <c r="C715" i="5"/>
  <c r="C215" i="5"/>
  <c r="C216" i="5"/>
  <c r="C716" i="5"/>
  <c r="C717" i="5"/>
  <c r="C718" i="5"/>
  <c r="C217" i="5"/>
  <c r="C989" i="5"/>
  <c r="C218" i="5"/>
  <c r="C219" i="5"/>
  <c r="C719" i="5"/>
  <c r="C220" i="5"/>
  <c r="C221" i="5"/>
  <c r="C720" i="5"/>
  <c r="C222" i="5"/>
  <c r="C223" i="5"/>
  <c r="C721" i="5"/>
  <c r="C224" i="5"/>
  <c r="C722" i="5"/>
  <c r="C225" i="5"/>
  <c r="C226" i="5"/>
  <c r="C227" i="5"/>
  <c r="C723" i="5"/>
  <c r="C724" i="5"/>
  <c r="C725" i="5"/>
  <c r="C228" i="5"/>
  <c r="C229" i="5"/>
  <c r="C726" i="5"/>
  <c r="C230" i="5"/>
  <c r="C231" i="5"/>
  <c r="C727" i="5"/>
  <c r="C232" i="5"/>
  <c r="C233" i="5"/>
  <c r="C728" i="5"/>
  <c r="C729" i="5"/>
  <c r="C730" i="5"/>
  <c r="C234" i="5"/>
  <c r="C235" i="5"/>
  <c r="C236" i="5"/>
  <c r="C731" i="5"/>
  <c r="C732" i="5"/>
  <c r="C237" i="5"/>
  <c r="C990" i="5"/>
  <c r="C733" i="5"/>
  <c r="C238" i="5"/>
  <c r="C239" i="5"/>
  <c r="C240" i="5"/>
  <c r="C734" i="5"/>
  <c r="C735" i="5"/>
  <c r="C736" i="5"/>
  <c r="C241" i="5"/>
  <c r="C242" i="5"/>
  <c r="C737" i="5"/>
  <c r="C738" i="5"/>
  <c r="C243" i="5"/>
  <c r="C244" i="5"/>
  <c r="C245" i="5"/>
  <c r="C739" i="5"/>
  <c r="C740" i="5"/>
  <c r="C246" i="5"/>
  <c r="C741" i="5"/>
  <c r="C247" i="5"/>
  <c r="C248" i="5"/>
  <c r="C249" i="5"/>
  <c r="C250" i="5"/>
  <c r="C251" i="5"/>
  <c r="C991" i="5"/>
  <c r="C742" i="5"/>
  <c r="C743" i="5"/>
  <c r="C252" i="5"/>
  <c r="C253" i="5"/>
  <c r="C744" i="5"/>
  <c r="C254" i="5"/>
  <c r="C745" i="5"/>
  <c r="C746" i="5"/>
  <c r="C255" i="5"/>
  <c r="C256" i="5"/>
  <c r="C257" i="5"/>
  <c r="C747" i="5"/>
  <c r="C748" i="5"/>
  <c r="C258" i="5"/>
  <c r="C259" i="5"/>
  <c r="C749" i="5"/>
  <c r="C750" i="5"/>
  <c r="C751" i="5"/>
  <c r="C260" i="5"/>
  <c r="C261" i="5"/>
  <c r="C262" i="5"/>
  <c r="C752" i="5"/>
  <c r="C753" i="5"/>
  <c r="C263" i="5"/>
  <c r="C754" i="5"/>
  <c r="C264" i="5"/>
  <c r="C755" i="5"/>
  <c r="C265" i="5"/>
  <c r="C266" i="5"/>
  <c r="C756" i="5"/>
  <c r="C757" i="5"/>
  <c r="C267" i="5"/>
  <c r="C758" i="5"/>
  <c r="C268" i="5"/>
  <c r="C759" i="5"/>
  <c r="C760" i="5"/>
  <c r="C761" i="5"/>
  <c r="C269" i="5"/>
  <c r="C270" i="5"/>
  <c r="C762" i="5"/>
  <c r="C271" i="5"/>
  <c r="C272" i="5"/>
  <c r="C763" i="5"/>
  <c r="C273" i="5"/>
  <c r="C274" i="5"/>
  <c r="C764" i="5"/>
  <c r="C765" i="5"/>
  <c r="C275" i="5"/>
  <c r="C276" i="5"/>
  <c r="C277" i="5"/>
  <c r="C766" i="5"/>
  <c r="C278" i="5"/>
  <c r="C279" i="5"/>
  <c r="C280" i="5"/>
  <c r="C767" i="5"/>
  <c r="C281" i="5"/>
  <c r="C768" i="5"/>
  <c r="C282" i="5"/>
  <c r="C283" i="5"/>
  <c r="C284" i="5"/>
  <c r="C769" i="5"/>
  <c r="C285" i="5"/>
  <c r="C286" i="5"/>
  <c r="C770" i="5"/>
  <c r="C287" i="5"/>
  <c r="C771" i="5"/>
  <c r="C288" i="5"/>
  <c r="C289" i="5"/>
  <c r="C772" i="5"/>
  <c r="C773" i="5"/>
  <c r="C290" i="5"/>
  <c r="C774" i="5"/>
  <c r="C775" i="5"/>
  <c r="C776" i="5"/>
  <c r="C291" i="5"/>
  <c r="C292" i="5"/>
  <c r="C777" i="5"/>
  <c r="C293" i="5"/>
  <c r="C294" i="5"/>
  <c r="C295" i="5"/>
  <c r="C778" i="5"/>
  <c r="C296" i="5"/>
  <c r="C779" i="5"/>
  <c r="C780" i="5"/>
  <c r="C297" i="5"/>
  <c r="C781" i="5"/>
  <c r="C782" i="5"/>
  <c r="C298" i="5"/>
  <c r="C299" i="5"/>
  <c r="C300" i="5"/>
  <c r="C783" i="5"/>
  <c r="C784" i="5"/>
  <c r="C301" i="5"/>
  <c r="C302" i="5"/>
  <c r="C785" i="5"/>
  <c r="C786" i="5"/>
  <c r="C303" i="5"/>
  <c r="C304" i="5"/>
  <c r="C787" i="5"/>
  <c r="C788" i="5"/>
  <c r="C305" i="5"/>
  <c r="C789" i="5"/>
  <c r="C306" i="5"/>
  <c r="C790" i="5"/>
  <c r="C307" i="5"/>
  <c r="C791" i="5"/>
  <c r="C792" i="5"/>
  <c r="C308" i="5"/>
  <c r="C309" i="5"/>
  <c r="C310" i="5"/>
  <c r="C793" i="5"/>
  <c r="C311" i="5"/>
  <c r="C312" i="5"/>
  <c r="C313" i="5"/>
  <c r="C794" i="5"/>
  <c r="C795" i="5"/>
  <c r="C314" i="5"/>
  <c r="C796" i="5"/>
  <c r="C797" i="5"/>
  <c r="C315" i="5"/>
  <c r="C316" i="5"/>
  <c r="C317" i="5"/>
  <c r="C798" i="5"/>
  <c r="C318" i="5"/>
  <c r="C799" i="5"/>
  <c r="C800" i="5"/>
  <c r="C801" i="5"/>
  <c r="C319" i="5"/>
  <c r="C802" i="5"/>
  <c r="C803" i="5"/>
  <c r="C320" i="5"/>
  <c r="C804" i="5"/>
  <c r="C805" i="5"/>
  <c r="C806" i="5"/>
  <c r="C807" i="5"/>
  <c r="C808" i="5"/>
  <c r="C809" i="5"/>
  <c r="C321" i="5"/>
  <c r="C810" i="5"/>
  <c r="C322" i="5"/>
  <c r="C323" i="5"/>
  <c r="C324" i="5"/>
  <c r="C811" i="5"/>
  <c r="C812" i="5"/>
  <c r="C813" i="5"/>
  <c r="C814" i="5"/>
  <c r="C325" i="5"/>
  <c r="C326" i="5"/>
  <c r="C327" i="5"/>
  <c r="C328" i="5"/>
  <c r="C329" i="5"/>
  <c r="C330" i="5"/>
  <c r="C331" i="5"/>
  <c r="C332" i="5"/>
  <c r="C815" i="5"/>
  <c r="C816" i="5"/>
  <c r="C817" i="5"/>
  <c r="C818" i="5"/>
  <c r="C819" i="5"/>
  <c r="C333" i="5"/>
  <c r="C820" i="5"/>
  <c r="C821" i="5"/>
  <c r="C822" i="5"/>
  <c r="C823" i="5"/>
  <c r="C334" i="5"/>
  <c r="C335" i="5"/>
  <c r="C824" i="5"/>
  <c r="C336" i="5"/>
  <c r="C337" i="5"/>
  <c r="C338" i="5"/>
  <c r="C992" i="5"/>
  <c r="C825" i="5"/>
  <c r="C339" i="5"/>
  <c r="C340" i="5"/>
  <c r="C341" i="5"/>
  <c r="C342" i="5"/>
  <c r="C826" i="5"/>
  <c r="C827" i="5"/>
  <c r="C828" i="5"/>
  <c r="C829" i="5"/>
  <c r="C343" i="5"/>
  <c r="C830" i="5"/>
  <c r="C344" i="5"/>
  <c r="C831" i="5"/>
  <c r="C832" i="5"/>
  <c r="C345" i="5"/>
  <c r="C833" i="5"/>
  <c r="C346" i="5"/>
  <c r="C347" i="5"/>
  <c r="C348" i="5"/>
  <c r="C834" i="5"/>
  <c r="C349" i="5"/>
  <c r="C350" i="5"/>
  <c r="C351" i="5"/>
  <c r="C352" i="5"/>
  <c r="C835" i="5"/>
  <c r="C353" i="5"/>
  <c r="C836" i="5"/>
  <c r="C354" i="5"/>
  <c r="C837" i="5"/>
  <c r="C355" i="5"/>
  <c r="C356" i="5"/>
  <c r="C357" i="5"/>
  <c r="C838" i="5"/>
  <c r="C839" i="5"/>
  <c r="C358" i="5"/>
  <c r="C359" i="5"/>
  <c r="C840" i="5"/>
  <c r="C360" i="5"/>
  <c r="C361" i="5"/>
  <c r="C841" i="5"/>
  <c r="C362" i="5"/>
  <c r="C842" i="5"/>
  <c r="C363" i="5"/>
  <c r="C843" i="5"/>
  <c r="C844" i="5"/>
  <c r="C845" i="5"/>
  <c r="C364" i="5"/>
  <c r="C365" i="5"/>
  <c r="C366" i="5"/>
  <c r="C367" i="5"/>
  <c r="C846" i="5"/>
  <c r="C368" i="5"/>
  <c r="C369" i="5"/>
  <c r="C370" i="5"/>
  <c r="C847" i="5"/>
  <c r="C848" i="5"/>
  <c r="C371" i="5"/>
  <c r="C372" i="5"/>
  <c r="C373" i="5"/>
  <c r="C374" i="5"/>
  <c r="C849" i="5"/>
  <c r="C375" i="5"/>
  <c r="C850" i="5"/>
  <c r="C376" i="5"/>
  <c r="C377" i="5"/>
  <c r="C851" i="5"/>
  <c r="C378" i="5"/>
  <c r="C379" i="5"/>
  <c r="C852" i="5"/>
  <c r="C853" i="5"/>
  <c r="C380" i="5"/>
  <c r="C381" i="5"/>
  <c r="C854" i="5"/>
  <c r="C855" i="5"/>
  <c r="C382" i="5"/>
  <c r="C383" i="5"/>
  <c r="C384" i="5"/>
  <c r="C856" i="5"/>
  <c r="C385" i="5"/>
  <c r="C386" i="5"/>
  <c r="C387" i="5"/>
  <c r="C857" i="5"/>
  <c r="C388" i="5"/>
  <c r="C389" i="5"/>
  <c r="C390" i="5"/>
  <c r="C858" i="5"/>
  <c r="C391" i="5"/>
  <c r="C392" i="5"/>
  <c r="C393" i="5"/>
  <c r="C394" i="5"/>
  <c r="C859" i="5"/>
  <c r="C860" i="5"/>
  <c r="C861" i="5"/>
  <c r="C395" i="5"/>
  <c r="C862" i="5"/>
  <c r="C396" i="5"/>
  <c r="C863" i="5"/>
  <c r="C864" i="5"/>
  <c r="C397" i="5"/>
  <c r="C398" i="5"/>
  <c r="C865" i="5"/>
  <c r="C866" i="5"/>
  <c r="C867" i="5"/>
  <c r="C399" i="5"/>
  <c r="C400" i="5"/>
  <c r="C868" i="5"/>
  <c r="C401" i="5"/>
  <c r="C869" i="5"/>
  <c r="C402" i="5"/>
  <c r="C403" i="5"/>
  <c r="C404" i="5"/>
  <c r="C993" i="5"/>
  <c r="C405" i="5"/>
  <c r="C870" i="5"/>
  <c r="C871" i="5"/>
  <c r="C994" i="5"/>
  <c r="C406" i="5"/>
  <c r="C407" i="5"/>
  <c r="C408" i="5"/>
  <c r="C409" i="5"/>
  <c r="C995" i="5"/>
  <c r="C872" i="5"/>
  <c r="C873" i="5"/>
  <c r="C874" i="5"/>
  <c r="C875" i="5"/>
  <c r="C876" i="5"/>
  <c r="C410" i="5"/>
  <c r="C877" i="5"/>
  <c r="C878" i="5"/>
  <c r="C411" i="5"/>
  <c r="C412" i="5"/>
  <c r="C879" i="5"/>
  <c r="C413" i="5"/>
  <c r="C414" i="5"/>
  <c r="C415" i="5"/>
  <c r="C416" i="5"/>
  <c r="C417" i="5"/>
  <c r="C418" i="5"/>
  <c r="C419" i="5"/>
  <c r="C880" i="5"/>
  <c r="C420" i="5"/>
  <c r="C421" i="5"/>
  <c r="C881" i="5"/>
  <c r="C882" i="5"/>
  <c r="C422" i="5"/>
  <c r="C883" i="5"/>
  <c r="C884" i="5"/>
  <c r="C423" i="5"/>
  <c r="C424" i="5"/>
  <c r="C425" i="5"/>
  <c r="C426" i="5"/>
  <c r="C427" i="5"/>
  <c r="C885" i="5"/>
  <c r="C428" i="5"/>
  <c r="C429" i="5"/>
  <c r="C996" i="5"/>
  <c r="C430" i="5"/>
  <c r="C886" i="5"/>
  <c r="C431" i="5"/>
  <c r="C887" i="5"/>
  <c r="C888" i="5"/>
  <c r="C889" i="5"/>
  <c r="C890" i="5"/>
  <c r="C891" i="5"/>
  <c r="C432" i="5"/>
  <c r="C433" i="5"/>
  <c r="C892" i="5"/>
  <c r="C893" i="5"/>
  <c r="C894" i="5"/>
  <c r="C434" i="5"/>
  <c r="C895" i="5"/>
  <c r="C896" i="5"/>
  <c r="C897" i="5"/>
  <c r="C898" i="5"/>
  <c r="C435" i="5"/>
  <c r="C436" i="5"/>
  <c r="C899" i="5"/>
  <c r="C900" i="5"/>
  <c r="C901" i="5"/>
  <c r="C437" i="5"/>
  <c r="C438" i="5"/>
  <c r="C902" i="5"/>
  <c r="C903" i="5"/>
  <c r="C904" i="5"/>
  <c r="C905" i="5"/>
  <c r="C439" i="5"/>
  <c r="C906" i="5"/>
  <c r="C440" i="5"/>
  <c r="C907" i="5"/>
  <c r="C441" i="5"/>
  <c r="C442" i="5"/>
  <c r="C908" i="5"/>
  <c r="C909" i="5"/>
  <c r="C443" i="5"/>
  <c r="C997" i="5"/>
  <c r="C910" i="5"/>
  <c r="C911" i="5"/>
  <c r="C444" i="5"/>
  <c r="C912" i="5"/>
  <c r="C445" i="5"/>
  <c r="C446" i="5"/>
  <c r="C447" i="5"/>
  <c r="C448" i="5"/>
  <c r="C449" i="5"/>
  <c r="C913" i="5"/>
  <c r="C914" i="5"/>
  <c r="C450" i="5"/>
  <c r="C451" i="5"/>
  <c r="C452" i="5"/>
  <c r="C453" i="5"/>
  <c r="C454" i="5"/>
  <c r="C915" i="5"/>
  <c r="C916" i="5"/>
  <c r="C455" i="5"/>
  <c r="C917" i="5"/>
  <c r="C918" i="5"/>
  <c r="C919" i="5"/>
  <c r="C456" i="5"/>
  <c r="C920" i="5"/>
  <c r="C921" i="5"/>
  <c r="C457" i="5"/>
  <c r="C458" i="5"/>
  <c r="C922" i="5"/>
  <c r="C459" i="5"/>
  <c r="C460" i="5"/>
  <c r="C461" i="5"/>
  <c r="C462" i="5"/>
  <c r="C923" i="5"/>
  <c r="C463" i="5"/>
  <c r="C924" i="5"/>
  <c r="C464" i="5"/>
  <c r="C925" i="5"/>
  <c r="C465" i="5"/>
  <c r="C926" i="5"/>
  <c r="C927" i="5"/>
  <c r="C928" i="5"/>
  <c r="C929" i="5"/>
  <c r="C930" i="5"/>
  <c r="C931" i="5"/>
  <c r="C466" i="5"/>
  <c r="C467" i="5"/>
  <c r="C932" i="5"/>
  <c r="C998" i="5"/>
  <c r="C933" i="5"/>
  <c r="C468" i="5"/>
  <c r="C934" i="5"/>
  <c r="C469" i="5"/>
  <c r="C935" i="5"/>
  <c r="C936" i="5"/>
  <c r="C937" i="5"/>
  <c r="C938" i="5"/>
  <c r="C939" i="5"/>
  <c r="C940" i="5"/>
  <c r="C470" i="5"/>
  <c r="C471" i="5"/>
  <c r="C472" i="5"/>
  <c r="C473" i="5"/>
  <c r="C474" i="5"/>
  <c r="C475" i="5"/>
  <c r="C476" i="5"/>
  <c r="C941" i="5"/>
  <c r="C477" i="5"/>
  <c r="C478" i="5"/>
  <c r="C942" i="5"/>
  <c r="C943" i="5"/>
  <c r="C479" i="5"/>
  <c r="C944" i="5"/>
  <c r="C945" i="5"/>
  <c r="C480" i="5"/>
  <c r="C946" i="5"/>
  <c r="C947" i="5"/>
  <c r="C481" i="5"/>
  <c r="C482" i="5"/>
  <c r="C948" i="5"/>
  <c r="C949" i="5"/>
  <c r="C950" i="5"/>
  <c r="C951" i="5"/>
  <c r="C952" i="5"/>
  <c r="C953" i="5"/>
  <c r="C954" i="5"/>
  <c r="C483" i="5"/>
  <c r="C955" i="5"/>
  <c r="C956" i="5"/>
  <c r="C957" i="5"/>
  <c r="C484" i="5"/>
  <c r="C999" i="5"/>
  <c r="C485" i="5"/>
  <c r="C486" i="5"/>
  <c r="C958" i="5"/>
  <c r="C959" i="5"/>
  <c r="C487" i="5"/>
  <c r="C488" i="5"/>
  <c r="C489" i="5"/>
  <c r="C960" i="5"/>
  <c r="C490" i="5"/>
  <c r="C961" i="5"/>
  <c r="C491" i="5"/>
  <c r="C962" i="5"/>
  <c r="C963" i="5"/>
  <c r="C964" i="5"/>
  <c r="C492" i="5"/>
  <c r="C493" i="5"/>
  <c r="C494" i="5"/>
  <c r="C495" i="5"/>
  <c r="C496" i="5"/>
  <c r="C965" i="5"/>
  <c r="C497" i="5"/>
  <c r="C498" i="5"/>
  <c r="C966" i="5"/>
  <c r="C967" i="5"/>
  <c r="C968" i="5"/>
  <c r="C499" i="5"/>
  <c r="C500" i="5"/>
  <c r="C969" i="5"/>
  <c r="C501" i="5"/>
  <c r="C502" i="5"/>
  <c r="C970" i="5"/>
  <c r="C503" i="5"/>
  <c r="C1000" i="5"/>
  <c r="C971" i="5"/>
  <c r="C504" i="5"/>
  <c r="C505" i="5"/>
  <c r="C972" i="5"/>
  <c r="C973" i="5"/>
  <c r="C506" i="5"/>
  <c r="C507" i="5"/>
  <c r="C508" i="5"/>
  <c r="C509" i="5"/>
  <c r="C974" i="5"/>
  <c r="C510" i="5"/>
  <c r="C511" i="5"/>
  <c r="C512" i="5"/>
  <c r="C513" i="5"/>
  <c r="C975" i="5"/>
  <c r="C514" i="5"/>
  <c r="C515" i="5"/>
  <c r="C976" i="5"/>
  <c r="C977" i="5"/>
  <c r="C516" i="5"/>
  <c r="C517" i="5"/>
  <c r="C978" i="5"/>
  <c r="C518" i="5"/>
  <c r="C979" i="5"/>
  <c r="C1001" i="5"/>
  <c r="C519" i="5"/>
  <c r="C520" i="5"/>
  <c r="C521" i="5"/>
  <c r="C522" i="5"/>
  <c r="C523" i="5"/>
  <c r="C524" i="5"/>
  <c r="C525" i="5"/>
  <c r="C526" i="5"/>
  <c r="C980" i="5"/>
  <c r="C981" i="5"/>
  <c r="C982" i="5"/>
  <c r="C527" i="5"/>
  <c r="C983" i="5"/>
  <c r="M2" i="5"/>
  <c r="M528" i="5"/>
  <c r="M3" i="5"/>
  <c r="M4" i="5"/>
  <c r="M529" i="5"/>
  <c r="M5" i="5"/>
  <c r="M6" i="5"/>
  <c r="M7" i="5"/>
  <c r="M530" i="5"/>
  <c r="M8" i="5"/>
  <c r="M9" i="5"/>
  <c r="M531" i="5"/>
  <c r="M10" i="5"/>
  <c r="M11" i="5"/>
  <c r="M12" i="5"/>
  <c r="M532" i="5"/>
  <c r="M533" i="5"/>
  <c r="M13" i="5"/>
  <c r="M534" i="5"/>
  <c r="M535" i="5"/>
  <c r="M984" i="5"/>
  <c r="M14" i="5"/>
  <c r="M15" i="5"/>
  <c r="M536" i="5"/>
  <c r="M16" i="5"/>
  <c r="M537" i="5"/>
  <c r="M538" i="5"/>
  <c r="M539" i="5"/>
  <c r="M540" i="5"/>
  <c r="M17" i="5"/>
  <c r="M541" i="5"/>
  <c r="M18" i="5"/>
  <c r="M19" i="5"/>
  <c r="M542" i="5"/>
  <c r="M543" i="5"/>
  <c r="M544" i="5"/>
  <c r="M20" i="5"/>
  <c r="M21" i="5"/>
  <c r="M22" i="5"/>
  <c r="M23" i="5"/>
  <c r="M24" i="5"/>
  <c r="M545" i="5"/>
  <c r="M546" i="5"/>
  <c r="M547" i="5"/>
  <c r="M25" i="5"/>
  <c r="M26" i="5"/>
  <c r="M27" i="5"/>
  <c r="M28" i="5"/>
  <c r="M29" i="5"/>
  <c r="M30" i="5"/>
  <c r="M548" i="5"/>
  <c r="M31" i="5"/>
  <c r="M549" i="5"/>
  <c r="M550" i="5"/>
  <c r="M32" i="5"/>
  <c r="M551" i="5"/>
  <c r="M552" i="5"/>
  <c r="M33" i="5"/>
  <c r="M34" i="5"/>
  <c r="M35" i="5"/>
  <c r="M36" i="5"/>
  <c r="M37" i="5"/>
  <c r="M38" i="5"/>
  <c r="M553" i="5"/>
  <c r="M554" i="5"/>
  <c r="M39" i="5"/>
  <c r="M40" i="5"/>
  <c r="M985" i="5"/>
  <c r="M41" i="5"/>
  <c r="M555" i="5"/>
  <c r="M42" i="5"/>
  <c r="M43" i="5"/>
  <c r="M44" i="5"/>
  <c r="M45" i="5"/>
  <c r="M46" i="5"/>
  <c r="M556" i="5"/>
  <c r="M557" i="5"/>
  <c r="M558" i="5"/>
  <c r="M47" i="5"/>
  <c r="M48" i="5"/>
  <c r="M559" i="5"/>
  <c r="M49" i="5"/>
  <c r="M50" i="5"/>
  <c r="M51" i="5"/>
  <c r="M52" i="5"/>
  <c r="M53" i="5"/>
  <c r="M560" i="5"/>
  <c r="M561" i="5"/>
  <c r="M54" i="5"/>
  <c r="M562" i="5"/>
  <c r="M563" i="5"/>
  <c r="M55" i="5"/>
  <c r="M564" i="5"/>
  <c r="M565" i="5"/>
  <c r="M566" i="5"/>
  <c r="M567" i="5"/>
  <c r="M56" i="5"/>
  <c r="M57" i="5"/>
  <c r="M58" i="5"/>
  <c r="M568" i="5"/>
  <c r="M569" i="5"/>
  <c r="M570" i="5"/>
  <c r="M59" i="5"/>
  <c r="M571" i="5"/>
  <c r="M60" i="5"/>
  <c r="M572" i="5"/>
  <c r="M61" i="5"/>
  <c r="M573" i="5"/>
  <c r="M574" i="5"/>
  <c r="M62" i="5"/>
  <c r="M63" i="5"/>
  <c r="M575" i="5"/>
  <c r="M64" i="5"/>
  <c r="M65" i="5"/>
  <c r="M576" i="5"/>
  <c r="M66" i="5"/>
  <c r="M67" i="5"/>
  <c r="M577" i="5"/>
  <c r="M68" i="5"/>
  <c r="M578" i="5"/>
  <c r="M69" i="5"/>
  <c r="M986" i="5"/>
  <c r="M70" i="5"/>
  <c r="M579" i="5"/>
  <c r="M71" i="5"/>
  <c r="M580" i="5"/>
  <c r="M581" i="5"/>
  <c r="M582" i="5"/>
  <c r="M583" i="5"/>
  <c r="M72" i="5"/>
  <c r="M73" i="5"/>
  <c r="M584" i="5"/>
  <c r="M585" i="5"/>
  <c r="M74" i="5"/>
  <c r="M586" i="5"/>
  <c r="M587" i="5"/>
  <c r="M588" i="5"/>
  <c r="M75" i="5"/>
  <c r="M589" i="5"/>
  <c r="M76" i="5"/>
  <c r="M590" i="5"/>
  <c r="M77" i="5"/>
  <c r="M78" i="5"/>
  <c r="M591" i="5"/>
  <c r="M79" i="5"/>
  <c r="M80" i="5"/>
  <c r="M81" i="5"/>
  <c r="M82" i="5"/>
  <c r="M592" i="5"/>
  <c r="M83" i="5"/>
  <c r="M593" i="5"/>
  <c r="M84" i="5"/>
  <c r="M85" i="5"/>
  <c r="M594" i="5"/>
  <c r="M86" i="5"/>
  <c r="M87" i="5"/>
  <c r="M595" i="5"/>
  <c r="M88" i="5"/>
  <c r="M89" i="5"/>
  <c r="M90" i="5"/>
  <c r="M91" i="5"/>
  <c r="M596" i="5"/>
  <c r="M597" i="5"/>
  <c r="M92" i="5"/>
  <c r="M598" i="5"/>
  <c r="M93" i="5"/>
  <c r="M599" i="5"/>
  <c r="M94" i="5"/>
  <c r="M600" i="5"/>
  <c r="M95" i="5"/>
  <c r="M601" i="5"/>
  <c r="M602" i="5"/>
  <c r="M96" i="5"/>
  <c r="M603" i="5"/>
  <c r="M97" i="5"/>
  <c r="M604" i="5"/>
  <c r="M98" i="5"/>
  <c r="M605" i="5"/>
  <c r="M99" i="5"/>
  <c r="M606" i="5"/>
  <c r="M607" i="5"/>
  <c r="M608" i="5"/>
  <c r="M609" i="5"/>
  <c r="M100" i="5"/>
  <c r="M610" i="5"/>
  <c r="M101" i="5"/>
  <c r="M611" i="5"/>
  <c r="M102" i="5"/>
  <c r="M103" i="5"/>
  <c r="M612" i="5"/>
  <c r="M104" i="5"/>
  <c r="M613" i="5"/>
  <c r="M105" i="5"/>
  <c r="M106" i="5"/>
  <c r="M107" i="5"/>
  <c r="M614" i="5"/>
  <c r="M615" i="5"/>
  <c r="M616" i="5"/>
  <c r="M108" i="5"/>
  <c r="M617" i="5"/>
  <c r="M618" i="5"/>
  <c r="M109" i="5"/>
  <c r="M110" i="5"/>
  <c r="M619" i="5"/>
  <c r="M111" i="5"/>
  <c r="M620" i="5"/>
  <c r="M621" i="5"/>
  <c r="M112" i="5"/>
  <c r="M622" i="5"/>
  <c r="M623" i="5"/>
  <c r="M624" i="5"/>
  <c r="M625" i="5"/>
  <c r="M113" i="5"/>
  <c r="M114" i="5"/>
  <c r="M626" i="5"/>
  <c r="M115" i="5"/>
  <c r="M627" i="5"/>
  <c r="M628" i="5"/>
  <c r="M629" i="5"/>
  <c r="M116" i="5"/>
  <c r="M117" i="5"/>
  <c r="M118" i="5"/>
  <c r="M119" i="5"/>
  <c r="M630" i="5"/>
  <c r="M120" i="5"/>
  <c r="M631" i="5"/>
  <c r="M632" i="5"/>
  <c r="M633" i="5"/>
  <c r="M634" i="5"/>
  <c r="M635" i="5"/>
  <c r="M636" i="5"/>
  <c r="M637" i="5"/>
  <c r="M638" i="5"/>
  <c r="M121" i="5"/>
  <c r="M122" i="5"/>
  <c r="M639" i="5"/>
  <c r="M640" i="5"/>
  <c r="M641" i="5"/>
  <c r="M123" i="5"/>
  <c r="M642" i="5"/>
  <c r="M124" i="5"/>
  <c r="M125" i="5"/>
  <c r="M126" i="5"/>
  <c r="M127" i="5"/>
  <c r="M643" i="5"/>
  <c r="M128" i="5"/>
  <c r="M129" i="5"/>
  <c r="M644" i="5"/>
  <c r="M645" i="5"/>
  <c r="M646" i="5"/>
  <c r="M647" i="5"/>
  <c r="M648" i="5"/>
  <c r="M130" i="5"/>
  <c r="M131" i="5"/>
  <c r="M649" i="5"/>
  <c r="M650" i="5"/>
  <c r="M132" i="5"/>
  <c r="M133" i="5"/>
  <c r="M651" i="5"/>
  <c r="M134" i="5"/>
  <c r="M652" i="5"/>
  <c r="M135" i="5"/>
  <c r="M653" i="5"/>
  <c r="M136" i="5"/>
  <c r="M654" i="5"/>
  <c r="M137" i="5"/>
  <c r="M138" i="5"/>
  <c r="M139" i="5"/>
  <c r="M655" i="5"/>
  <c r="M656" i="5"/>
  <c r="M657" i="5"/>
  <c r="M658" i="5"/>
  <c r="M659" i="5"/>
  <c r="M660" i="5"/>
  <c r="M140" i="5"/>
  <c r="M141" i="5"/>
  <c r="M661" i="5"/>
  <c r="M662" i="5"/>
  <c r="M987" i="5"/>
  <c r="M142" i="5"/>
  <c r="M143" i="5"/>
  <c r="M144" i="5"/>
  <c r="M145" i="5"/>
  <c r="M146" i="5"/>
  <c r="M663" i="5"/>
  <c r="M147" i="5"/>
  <c r="M148" i="5"/>
  <c r="M664" i="5"/>
  <c r="M665" i="5"/>
  <c r="M149" i="5"/>
  <c r="M150" i="5"/>
  <c r="M151" i="5"/>
  <c r="M666" i="5"/>
  <c r="M152" i="5"/>
  <c r="M153" i="5"/>
  <c r="M667" i="5"/>
  <c r="M668" i="5"/>
  <c r="M988" i="5"/>
  <c r="M154" i="5"/>
  <c r="M669" i="5"/>
  <c r="M155" i="5"/>
  <c r="M670" i="5"/>
  <c r="M156" i="5"/>
  <c r="M671" i="5"/>
  <c r="M157" i="5"/>
  <c r="M158" i="5"/>
  <c r="M672" i="5"/>
  <c r="M673" i="5"/>
  <c r="M159" i="5"/>
  <c r="M674" i="5"/>
  <c r="M160" i="5"/>
  <c r="M675" i="5"/>
  <c r="M676" i="5"/>
  <c r="M161" i="5"/>
  <c r="M162" i="5"/>
  <c r="M677" i="5"/>
  <c r="M163" i="5"/>
  <c r="M164" i="5"/>
  <c r="M678" i="5"/>
  <c r="M165" i="5"/>
  <c r="M679" i="5"/>
  <c r="M166" i="5"/>
  <c r="M167" i="5"/>
  <c r="M680" i="5"/>
  <c r="M168" i="5"/>
  <c r="M681" i="5"/>
  <c r="M682" i="5"/>
  <c r="M169" i="5"/>
  <c r="M683" i="5"/>
  <c r="M684" i="5"/>
  <c r="M170" i="5"/>
  <c r="M171" i="5"/>
  <c r="M685" i="5"/>
  <c r="M172" i="5"/>
  <c r="M173" i="5"/>
  <c r="M686" i="5"/>
  <c r="M174" i="5"/>
  <c r="M175" i="5"/>
  <c r="M687" i="5"/>
  <c r="M688" i="5"/>
  <c r="M689" i="5"/>
  <c r="M690" i="5"/>
  <c r="M176" i="5"/>
  <c r="M691" i="5"/>
  <c r="M692" i="5"/>
  <c r="M177" i="5"/>
  <c r="M693" i="5"/>
  <c r="M694" i="5"/>
  <c r="M178" i="5"/>
  <c r="M179" i="5"/>
  <c r="M180" i="5"/>
  <c r="M695" i="5"/>
  <c r="M181" i="5"/>
  <c r="M182" i="5"/>
  <c r="M183" i="5"/>
  <c r="M184" i="5"/>
  <c r="M696" i="5"/>
  <c r="M185" i="5"/>
  <c r="M186" i="5"/>
  <c r="M187" i="5"/>
  <c r="M697" i="5"/>
  <c r="M188" i="5"/>
  <c r="M698" i="5"/>
  <c r="M699" i="5"/>
  <c r="M189" i="5"/>
  <c r="M190" i="5"/>
  <c r="M191" i="5"/>
  <c r="M192" i="5"/>
  <c r="M193" i="5"/>
  <c r="M700" i="5"/>
  <c r="M701" i="5"/>
  <c r="M194" i="5"/>
  <c r="M195" i="5"/>
  <c r="M702" i="5"/>
  <c r="M196" i="5"/>
  <c r="M197" i="5"/>
  <c r="M703" i="5"/>
  <c r="M198" i="5"/>
  <c r="M704" i="5"/>
  <c r="M199" i="5"/>
  <c r="M705" i="5"/>
  <c r="M200" i="5"/>
  <c r="M201" i="5"/>
  <c r="M706" i="5"/>
  <c r="M707" i="5"/>
  <c r="M202" i="5"/>
  <c r="M203" i="5"/>
  <c r="M204" i="5"/>
  <c r="M205" i="5"/>
  <c r="M206" i="5"/>
  <c r="M708" i="5"/>
  <c r="M207" i="5"/>
  <c r="M208" i="5"/>
  <c r="M709" i="5"/>
  <c r="M710" i="5"/>
  <c r="M209" i="5"/>
  <c r="M210" i="5"/>
  <c r="M711" i="5"/>
  <c r="M712" i="5"/>
  <c r="M211" i="5"/>
  <c r="M713" i="5"/>
  <c r="M714" i="5"/>
  <c r="M212" i="5"/>
  <c r="M213" i="5"/>
  <c r="M214" i="5"/>
  <c r="M715" i="5"/>
  <c r="M215" i="5"/>
  <c r="M216" i="5"/>
  <c r="M716" i="5"/>
  <c r="M717" i="5"/>
  <c r="M718" i="5"/>
  <c r="M217" i="5"/>
  <c r="M989" i="5"/>
  <c r="M218" i="5"/>
  <c r="M219" i="5"/>
  <c r="M719" i="5"/>
  <c r="M220" i="5"/>
  <c r="M221" i="5"/>
  <c r="M720" i="5"/>
  <c r="M222" i="5"/>
  <c r="M223" i="5"/>
  <c r="M721" i="5"/>
  <c r="M224" i="5"/>
  <c r="M722" i="5"/>
  <c r="M225" i="5"/>
  <c r="M226" i="5"/>
  <c r="M227" i="5"/>
  <c r="M723" i="5"/>
  <c r="M724" i="5"/>
  <c r="M725" i="5"/>
  <c r="M228" i="5"/>
  <c r="M229" i="5"/>
  <c r="M726" i="5"/>
  <c r="M230" i="5"/>
  <c r="M231" i="5"/>
  <c r="M727" i="5"/>
  <c r="M232" i="5"/>
  <c r="M233" i="5"/>
  <c r="M728" i="5"/>
  <c r="M729" i="5"/>
  <c r="M730" i="5"/>
  <c r="M234" i="5"/>
  <c r="M235" i="5"/>
  <c r="M236" i="5"/>
  <c r="M731" i="5"/>
  <c r="M732" i="5"/>
  <c r="M237" i="5"/>
  <c r="M990" i="5"/>
  <c r="M733" i="5"/>
  <c r="M238" i="5"/>
  <c r="M239" i="5"/>
  <c r="M240" i="5"/>
  <c r="M734" i="5"/>
  <c r="M735" i="5"/>
  <c r="M736" i="5"/>
  <c r="M241" i="5"/>
  <c r="M242" i="5"/>
  <c r="M737" i="5"/>
  <c r="M738" i="5"/>
  <c r="M243" i="5"/>
  <c r="M244" i="5"/>
  <c r="M245" i="5"/>
  <c r="M739" i="5"/>
  <c r="M740" i="5"/>
  <c r="M246" i="5"/>
  <c r="M741" i="5"/>
  <c r="M247" i="5"/>
  <c r="M248" i="5"/>
  <c r="M249" i="5"/>
  <c r="M250" i="5"/>
  <c r="M251" i="5"/>
  <c r="M991" i="5"/>
  <c r="M742" i="5"/>
  <c r="M743" i="5"/>
  <c r="M252" i="5"/>
  <c r="M253" i="5"/>
  <c r="M744" i="5"/>
  <c r="M254" i="5"/>
  <c r="M745" i="5"/>
  <c r="M746" i="5"/>
  <c r="M255" i="5"/>
  <c r="M256" i="5"/>
  <c r="M257" i="5"/>
  <c r="M747" i="5"/>
  <c r="M748" i="5"/>
  <c r="M258" i="5"/>
  <c r="M259" i="5"/>
  <c r="M749" i="5"/>
  <c r="M750" i="5"/>
  <c r="M751" i="5"/>
  <c r="M260" i="5"/>
  <c r="M261" i="5"/>
  <c r="M262" i="5"/>
  <c r="M752" i="5"/>
  <c r="M753" i="5"/>
  <c r="M263" i="5"/>
  <c r="M754" i="5"/>
  <c r="M264" i="5"/>
  <c r="M755" i="5"/>
  <c r="M265" i="5"/>
  <c r="M266" i="5"/>
  <c r="M756" i="5"/>
  <c r="M757" i="5"/>
  <c r="M267" i="5"/>
  <c r="M758" i="5"/>
  <c r="M268" i="5"/>
  <c r="M759" i="5"/>
  <c r="M760" i="5"/>
  <c r="M761" i="5"/>
  <c r="M269" i="5"/>
  <c r="M270" i="5"/>
  <c r="M762" i="5"/>
  <c r="M271" i="5"/>
  <c r="M272" i="5"/>
  <c r="M763" i="5"/>
  <c r="M273" i="5"/>
  <c r="M274" i="5"/>
  <c r="M764" i="5"/>
  <c r="M765" i="5"/>
  <c r="M275" i="5"/>
  <c r="M276" i="5"/>
  <c r="M277" i="5"/>
  <c r="M766" i="5"/>
  <c r="M278" i="5"/>
  <c r="M279" i="5"/>
  <c r="M280" i="5"/>
  <c r="M767" i="5"/>
  <c r="M281" i="5"/>
  <c r="M768" i="5"/>
  <c r="M282" i="5"/>
  <c r="M283" i="5"/>
  <c r="M284" i="5"/>
  <c r="M769" i="5"/>
  <c r="M285" i="5"/>
  <c r="M286" i="5"/>
  <c r="M770" i="5"/>
  <c r="M287" i="5"/>
  <c r="M771" i="5"/>
  <c r="M288" i="5"/>
  <c r="M289" i="5"/>
  <c r="M772" i="5"/>
  <c r="M773" i="5"/>
  <c r="M290" i="5"/>
  <c r="M774" i="5"/>
  <c r="M775" i="5"/>
  <c r="M776" i="5"/>
  <c r="M291" i="5"/>
  <c r="M292" i="5"/>
  <c r="M777" i="5"/>
  <c r="M293" i="5"/>
  <c r="M294" i="5"/>
  <c r="M295" i="5"/>
  <c r="M778" i="5"/>
  <c r="M296" i="5"/>
  <c r="M779" i="5"/>
  <c r="M780" i="5"/>
  <c r="M297" i="5"/>
  <c r="M781" i="5"/>
  <c r="M782" i="5"/>
  <c r="M298" i="5"/>
  <c r="M299" i="5"/>
  <c r="M300" i="5"/>
  <c r="M783" i="5"/>
  <c r="M784" i="5"/>
  <c r="M301" i="5"/>
  <c r="M302" i="5"/>
  <c r="M785" i="5"/>
  <c r="M786" i="5"/>
  <c r="M303" i="5"/>
  <c r="M304" i="5"/>
  <c r="M787" i="5"/>
  <c r="M788" i="5"/>
  <c r="M305" i="5"/>
  <c r="M789" i="5"/>
  <c r="M306" i="5"/>
  <c r="M790" i="5"/>
  <c r="M307" i="5"/>
  <c r="M791" i="5"/>
  <c r="M792" i="5"/>
  <c r="M308" i="5"/>
  <c r="M309" i="5"/>
  <c r="M310" i="5"/>
  <c r="M793" i="5"/>
  <c r="M311" i="5"/>
  <c r="M312" i="5"/>
  <c r="M313" i="5"/>
  <c r="M794" i="5"/>
  <c r="M795" i="5"/>
  <c r="M314" i="5"/>
  <c r="M796" i="5"/>
  <c r="M797" i="5"/>
  <c r="M315" i="5"/>
  <c r="M316" i="5"/>
  <c r="M317" i="5"/>
  <c r="M798" i="5"/>
  <c r="M318" i="5"/>
  <c r="M799" i="5"/>
  <c r="M800" i="5"/>
  <c r="M801" i="5"/>
  <c r="M319" i="5"/>
  <c r="M802" i="5"/>
  <c r="M803" i="5"/>
  <c r="M320" i="5"/>
  <c r="M804" i="5"/>
  <c r="M805" i="5"/>
  <c r="M806" i="5"/>
  <c r="M807" i="5"/>
  <c r="M808" i="5"/>
  <c r="M809" i="5"/>
  <c r="M321" i="5"/>
  <c r="M810" i="5"/>
  <c r="M322" i="5"/>
  <c r="M323" i="5"/>
  <c r="M324" i="5"/>
  <c r="M811" i="5"/>
  <c r="M812" i="5"/>
  <c r="M813" i="5"/>
  <c r="M814" i="5"/>
  <c r="M325" i="5"/>
  <c r="M326" i="5"/>
  <c r="M327" i="5"/>
  <c r="M328" i="5"/>
  <c r="M329" i="5"/>
  <c r="M330" i="5"/>
  <c r="M331" i="5"/>
  <c r="M332" i="5"/>
  <c r="M815" i="5"/>
  <c r="M816" i="5"/>
  <c r="M817" i="5"/>
  <c r="M818" i="5"/>
  <c r="M819" i="5"/>
  <c r="M333" i="5"/>
  <c r="M820" i="5"/>
  <c r="M821" i="5"/>
  <c r="M822" i="5"/>
  <c r="M823" i="5"/>
  <c r="M334" i="5"/>
  <c r="M335" i="5"/>
  <c r="M824" i="5"/>
  <c r="M336" i="5"/>
  <c r="M337" i="5"/>
  <c r="M338" i="5"/>
  <c r="M992" i="5"/>
  <c r="M825" i="5"/>
  <c r="M339" i="5"/>
  <c r="M340" i="5"/>
  <c r="M341" i="5"/>
  <c r="M342" i="5"/>
  <c r="M826" i="5"/>
  <c r="M827" i="5"/>
  <c r="M828" i="5"/>
  <c r="M829" i="5"/>
  <c r="M343" i="5"/>
  <c r="M830" i="5"/>
  <c r="M344" i="5"/>
  <c r="M831" i="5"/>
  <c r="M832" i="5"/>
  <c r="M345" i="5"/>
  <c r="M833" i="5"/>
  <c r="M346" i="5"/>
  <c r="M347" i="5"/>
  <c r="M348" i="5"/>
  <c r="M834" i="5"/>
  <c r="M349" i="5"/>
  <c r="M350" i="5"/>
  <c r="M351" i="5"/>
  <c r="M352" i="5"/>
  <c r="M835" i="5"/>
  <c r="M353" i="5"/>
  <c r="M836" i="5"/>
  <c r="M354" i="5"/>
  <c r="M837" i="5"/>
  <c r="M355" i="5"/>
  <c r="M356" i="5"/>
  <c r="M357" i="5"/>
  <c r="M838" i="5"/>
  <c r="M839" i="5"/>
  <c r="M358" i="5"/>
  <c r="M359" i="5"/>
  <c r="M840" i="5"/>
  <c r="M360" i="5"/>
  <c r="M361" i="5"/>
  <c r="M841" i="5"/>
  <c r="M362" i="5"/>
  <c r="M842" i="5"/>
  <c r="M363" i="5"/>
  <c r="M843" i="5"/>
  <c r="M844" i="5"/>
  <c r="M845" i="5"/>
  <c r="M364" i="5"/>
  <c r="M365" i="5"/>
  <c r="M366" i="5"/>
  <c r="M367" i="5"/>
  <c r="M846" i="5"/>
  <c r="M368" i="5"/>
  <c r="M369" i="5"/>
  <c r="M370" i="5"/>
  <c r="M847" i="5"/>
  <c r="M848" i="5"/>
  <c r="M371" i="5"/>
  <c r="M372" i="5"/>
  <c r="M373" i="5"/>
  <c r="M374" i="5"/>
  <c r="M849" i="5"/>
  <c r="M375" i="5"/>
  <c r="M850" i="5"/>
  <c r="M376" i="5"/>
  <c r="M377" i="5"/>
  <c r="M851" i="5"/>
  <c r="M378" i="5"/>
  <c r="M379" i="5"/>
  <c r="M852" i="5"/>
  <c r="M853" i="5"/>
  <c r="M380" i="5"/>
  <c r="M381" i="5"/>
  <c r="M854" i="5"/>
  <c r="M855" i="5"/>
  <c r="M382" i="5"/>
  <c r="M383" i="5"/>
  <c r="M384" i="5"/>
  <c r="M856" i="5"/>
  <c r="M385" i="5"/>
  <c r="M386" i="5"/>
  <c r="M387" i="5"/>
  <c r="M857" i="5"/>
  <c r="M388" i="5"/>
  <c r="M389" i="5"/>
  <c r="M390" i="5"/>
  <c r="M858" i="5"/>
  <c r="M391" i="5"/>
  <c r="M392" i="5"/>
  <c r="M393" i="5"/>
  <c r="M394" i="5"/>
  <c r="M859" i="5"/>
  <c r="M860" i="5"/>
  <c r="M861" i="5"/>
  <c r="M395" i="5"/>
  <c r="M862" i="5"/>
  <c r="M396" i="5"/>
  <c r="M863" i="5"/>
  <c r="M864" i="5"/>
  <c r="M397" i="5"/>
  <c r="M398" i="5"/>
  <c r="M865" i="5"/>
  <c r="M866" i="5"/>
  <c r="M867" i="5"/>
  <c r="M399" i="5"/>
  <c r="M400" i="5"/>
  <c r="M868" i="5"/>
  <c r="M401" i="5"/>
  <c r="M869" i="5"/>
  <c r="M402" i="5"/>
  <c r="M403" i="5"/>
  <c r="M404" i="5"/>
  <c r="M993" i="5"/>
  <c r="M405" i="5"/>
  <c r="M870" i="5"/>
  <c r="M871" i="5"/>
  <c r="M994" i="5"/>
  <c r="M406" i="5"/>
  <c r="M407" i="5"/>
  <c r="M408" i="5"/>
  <c r="M409" i="5"/>
  <c r="M995" i="5"/>
  <c r="M872" i="5"/>
  <c r="M873" i="5"/>
  <c r="M874" i="5"/>
  <c r="M875" i="5"/>
  <c r="M876" i="5"/>
  <c r="M410" i="5"/>
  <c r="M877" i="5"/>
  <c r="M878" i="5"/>
  <c r="M411" i="5"/>
  <c r="M412" i="5"/>
  <c r="M879" i="5"/>
  <c r="M413" i="5"/>
  <c r="M414" i="5"/>
  <c r="M415" i="5"/>
  <c r="M416" i="5"/>
  <c r="M417" i="5"/>
  <c r="M418" i="5"/>
  <c r="M419" i="5"/>
  <c r="M880" i="5"/>
  <c r="M420" i="5"/>
  <c r="M421" i="5"/>
  <c r="M881" i="5"/>
  <c r="M882" i="5"/>
  <c r="M422" i="5"/>
  <c r="M883" i="5"/>
  <c r="M884" i="5"/>
  <c r="M423" i="5"/>
  <c r="M424" i="5"/>
  <c r="M425" i="5"/>
  <c r="M426" i="5"/>
  <c r="M427" i="5"/>
  <c r="M885" i="5"/>
  <c r="M428" i="5"/>
  <c r="M429" i="5"/>
  <c r="M996" i="5"/>
  <c r="M430" i="5"/>
  <c r="M886" i="5"/>
  <c r="M431" i="5"/>
  <c r="M887" i="5"/>
  <c r="M888" i="5"/>
  <c r="M889" i="5"/>
  <c r="M890" i="5"/>
  <c r="M891" i="5"/>
  <c r="M432" i="5"/>
  <c r="M433" i="5"/>
  <c r="M892" i="5"/>
  <c r="M893" i="5"/>
  <c r="M894" i="5"/>
  <c r="M434" i="5"/>
  <c r="M895" i="5"/>
  <c r="M896" i="5"/>
  <c r="M897" i="5"/>
  <c r="M898" i="5"/>
  <c r="M435" i="5"/>
  <c r="M436" i="5"/>
  <c r="M899" i="5"/>
  <c r="M900" i="5"/>
  <c r="M901" i="5"/>
  <c r="M437" i="5"/>
  <c r="M438" i="5"/>
  <c r="M902" i="5"/>
  <c r="M903" i="5"/>
  <c r="M904" i="5"/>
  <c r="M905" i="5"/>
  <c r="M439" i="5"/>
  <c r="M906" i="5"/>
  <c r="M440" i="5"/>
  <c r="M907" i="5"/>
  <c r="M441" i="5"/>
  <c r="M442" i="5"/>
  <c r="M908" i="5"/>
  <c r="M909" i="5"/>
  <c r="M443" i="5"/>
  <c r="M997" i="5"/>
  <c r="M910" i="5"/>
  <c r="M911" i="5"/>
  <c r="M444" i="5"/>
  <c r="M912" i="5"/>
  <c r="M445" i="5"/>
  <c r="M446" i="5"/>
  <c r="M447" i="5"/>
  <c r="M448" i="5"/>
  <c r="M449" i="5"/>
  <c r="M913" i="5"/>
  <c r="M914" i="5"/>
  <c r="M450" i="5"/>
  <c r="M451" i="5"/>
  <c r="M452" i="5"/>
  <c r="M453" i="5"/>
  <c r="M454" i="5"/>
  <c r="M915" i="5"/>
  <c r="M916" i="5"/>
  <c r="M455" i="5"/>
  <c r="M917" i="5"/>
  <c r="M918" i="5"/>
  <c r="M919" i="5"/>
  <c r="M456" i="5"/>
  <c r="M920" i="5"/>
  <c r="M921" i="5"/>
  <c r="M457" i="5"/>
  <c r="M458" i="5"/>
  <c r="M922" i="5"/>
  <c r="M459" i="5"/>
  <c r="M460" i="5"/>
  <c r="M461" i="5"/>
  <c r="M462" i="5"/>
  <c r="M923" i="5"/>
  <c r="M463" i="5"/>
  <c r="M924" i="5"/>
  <c r="M464" i="5"/>
  <c r="M925" i="5"/>
  <c r="M465" i="5"/>
  <c r="M926" i="5"/>
  <c r="M927" i="5"/>
  <c r="M928" i="5"/>
  <c r="M929" i="5"/>
  <c r="M930" i="5"/>
  <c r="M931" i="5"/>
  <c r="M466" i="5"/>
  <c r="M467" i="5"/>
  <c r="M932" i="5"/>
  <c r="M998" i="5"/>
  <c r="M933" i="5"/>
  <c r="M468" i="5"/>
  <c r="M934" i="5"/>
  <c r="M469" i="5"/>
  <c r="M935" i="5"/>
  <c r="M936" i="5"/>
  <c r="M937" i="5"/>
  <c r="M938" i="5"/>
  <c r="M939" i="5"/>
  <c r="M940" i="5"/>
  <c r="M470" i="5"/>
  <c r="M471" i="5"/>
  <c r="M472" i="5"/>
  <c r="M473" i="5"/>
  <c r="M474" i="5"/>
  <c r="M475" i="5"/>
  <c r="M476" i="5"/>
  <c r="M941" i="5"/>
  <c r="M477" i="5"/>
  <c r="M478" i="5"/>
  <c r="M942" i="5"/>
  <c r="M943" i="5"/>
  <c r="M479" i="5"/>
  <c r="M944" i="5"/>
  <c r="M945" i="5"/>
  <c r="M480" i="5"/>
  <c r="M946" i="5"/>
  <c r="M947" i="5"/>
  <c r="M481" i="5"/>
  <c r="M482" i="5"/>
  <c r="M948" i="5"/>
  <c r="M949" i="5"/>
  <c r="M950" i="5"/>
  <c r="M951" i="5"/>
  <c r="M952" i="5"/>
  <c r="M953" i="5"/>
  <c r="M954" i="5"/>
  <c r="M483" i="5"/>
  <c r="M955" i="5"/>
  <c r="M956" i="5"/>
  <c r="M957" i="5"/>
  <c r="M484" i="5"/>
  <c r="M999" i="5"/>
  <c r="M485" i="5"/>
  <c r="M486" i="5"/>
  <c r="M958" i="5"/>
  <c r="M959" i="5"/>
  <c r="M487" i="5"/>
  <c r="M488" i="5"/>
  <c r="M489" i="5"/>
  <c r="M960" i="5"/>
  <c r="M490" i="5"/>
  <c r="M961" i="5"/>
  <c r="M491" i="5"/>
  <c r="M962" i="5"/>
  <c r="M963" i="5"/>
  <c r="M964" i="5"/>
  <c r="M492" i="5"/>
  <c r="M493" i="5"/>
  <c r="M494" i="5"/>
  <c r="M495" i="5"/>
  <c r="M496" i="5"/>
  <c r="M965" i="5"/>
  <c r="M497" i="5"/>
  <c r="M498" i="5"/>
  <c r="M966" i="5"/>
  <c r="M967" i="5"/>
  <c r="M968" i="5"/>
  <c r="M499" i="5"/>
  <c r="M500" i="5"/>
  <c r="M969" i="5"/>
  <c r="M501" i="5"/>
  <c r="M502" i="5"/>
  <c r="M970" i="5"/>
  <c r="M503" i="5"/>
  <c r="M1000" i="5"/>
  <c r="M971" i="5"/>
  <c r="M504" i="5"/>
  <c r="M505" i="5"/>
  <c r="M972" i="5"/>
  <c r="M973" i="5"/>
  <c r="M506" i="5"/>
  <c r="M507" i="5"/>
  <c r="M508" i="5"/>
  <c r="M509" i="5"/>
  <c r="M974" i="5"/>
  <c r="M510" i="5"/>
  <c r="M511" i="5"/>
  <c r="M512" i="5"/>
  <c r="M513" i="5"/>
  <c r="M975" i="5"/>
  <c r="M514" i="5"/>
  <c r="M515" i="5"/>
  <c r="M976" i="5"/>
  <c r="M977" i="5"/>
  <c r="M516" i="5"/>
  <c r="M517" i="5"/>
  <c r="M978" i="5"/>
  <c r="M518" i="5"/>
  <c r="M979" i="5"/>
  <c r="M1001" i="5"/>
  <c r="M519" i="5"/>
  <c r="M520" i="5"/>
  <c r="M521" i="5"/>
  <c r="M522" i="5"/>
  <c r="M523" i="5"/>
  <c r="M524" i="5"/>
  <c r="M525" i="5"/>
  <c r="M526" i="5"/>
  <c r="M980" i="5"/>
  <c r="M981" i="5"/>
  <c r="M982" i="5"/>
  <c r="M527" i="5"/>
  <c r="M98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4FEA62-1497-4C3A-AAFE-6266A4BC5D8E}"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2" xr16:uid="{6B84EFC4-8E29-4E73-A60D-5C5D34E0E4E7}" keepAlive="1" name="Query - Table4" description="Connection to the 'Table4' query in the workbook." type="5" refreshedVersion="0" background="1">
    <dbPr connection="Provider=Microsoft.Mashup.OleDb.1;Data Source=$Workbook$;Location=Table4;Extended Properties=&quot;&quot;" command="SELECT * FROM [Table4]"/>
  </connection>
  <connection id="3" xr16:uid="{1ECCFD2D-A194-4AB9-A86D-2C39C1AF2672}" keepAlive="1" name="Query - Table4 (2)" description="Connection to the 'Table4 (2)' query in the workbook." type="5" refreshedVersion="8" background="1" saveData="1">
    <dbPr connection="Provider=Microsoft.Mashup.OleDb.1;Data Source=$Workbook$;Location=&quot;Table4 (2)&quot;;Extended Properties=&quot;&quot;" command="SELECT * FROM [Table4 (2)]"/>
  </connection>
</connections>
</file>

<file path=xl/sharedStrings.xml><?xml version="1.0" encoding="utf-8"?>
<sst xmlns="http://schemas.openxmlformats.org/spreadsheetml/2006/main" count="14097" uniqueCount="264">
  <si>
    <t>Order ID</t>
  </si>
  <si>
    <t>Customer Name</t>
  </si>
  <si>
    <t>Age</t>
  </si>
  <si>
    <t>Gender</t>
  </si>
  <si>
    <t>Product</t>
  </si>
  <si>
    <t>Category</t>
  </si>
  <si>
    <t>Quantity</t>
  </si>
  <si>
    <t>Price</t>
  </si>
  <si>
    <t>Order_Date</t>
  </si>
  <si>
    <t>City</t>
  </si>
  <si>
    <t>Ravi</t>
  </si>
  <si>
    <t>M</t>
  </si>
  <si>
    <t>Phone</t>
  </si>
  <si>
    <t>Electronics</t>
  </si>
  <si>
    <t>2024/01/07</t>
  </si>
  <si>
    <t>Hyderabad</t>
  </si>
  <si>
    <t>Sneha</t>
  </si>
  <si>
    <t>Female</t>
  </si>
  <si>
    <t>Jeans</t>
  </si>
  <si>
    <t>2024-02-05</t>
  </si>
  <si>
    <t>Delhi</t>
  </si>
  <si>
    <t>Ajay</t>
  </si>
  <si>
    <t>F</t>
  </si>
  <si>
    <t>Shirt</t>
  </si>
  <si>
    <t>2024/01/22</t>
  </si>
  <si>
    <t>Arun</t>
  </si>
  <si>
    <t>male</t>
  </si>
  <si>
    <t>Tablet</t>
  </si>
  <si>
    <t>11-01-2024</t>
  </si>
  <si>
    <t>Chennai</t>
  </si>
  <si>
    <t>Clothing</t>
  </si>
  <si>
    <t>02-02-2024</t>
  </si>
  <si>
    <t>Priya</t>
  </si>
  <si>
    <t>Footwear</t>
  </si>
  <si>
    <t>29-01-2024</t>
  </si>
  <si>
    <t>Anita</t>
  </si>
  <si>
    <t>Accessories</t>
  </si>
  <si>
    <t>2024/01/28</t>
  </si>
  <si>
    <t>Meena</t>
  </si>
  <si>
    <t>2024-01-13</t>
  </si>
  <si>
    <t>Male</t>
  </si>
  <si>
    <t>Shoes</t>
  </si>
  <si>
    <t>28-02-2024</t>
  </si>
  <si>
    <t>Mumbai</t>
  </si>
  <si>
    <t>Watch</t>
  </si>
  <si>
    <t>Bangalore</t>
  </si>
  <si>
    <t>Neha</t>
  </si>
  <si>
    <t>27-01-2024</t>
  </si>
  <si>
    <t>Surya</t>
  </si>
  <si>
    <t>2024/02/29</t>
  </si>
  <si>
    <t>2024/01/30</t>
  </si>
  <si>
    <t>Laptop</t>
  </si>
  <si>
    <t>2024/01/12</t>
  </si>
  <si>
    <t>30-01-2024</t>
  </si>
  <si>
    <t>Ramesh</t>
  </si>
  <si>
    <t>Bag</t>
  </si>
  <si>
    <t>29-02-2024</t>
  </si>
  <si>
    <t>Manoj</t>
  </si>
  <si>
    <t>2024-02-01</t>
  </si>
  <si>
    <t>Divya</t>
  </si>
  <si>
    <t>2024/01/27</t>
  </si>
  <si>
    <t>2024/02/15</t>
  </si>
  <si>
    <t>Vikram</t>
  </si>
  <si>
    <t>2024/02/19</t>
  </si>
  <si>
    <t>Lakshmi</t>
  </si>
  <si>
    <t>2024-03-01</t>
  </si>
  <si>
    <t>22-01-2024</t>
  </si>
  <si>
    <t>19-01-2024</t>
  </si>
  <si>
    <t>Asha</t>
  </si>
  <si>
    <t>Kiran</t>
  </si>
  <si>
    <t>18-02-2024</t>
  </si>
  <si>
    <t>2024/02/26</t>
  </si>
  <si>
    <t>20-02-2024</t>
  </si>
  <si>
    <t>Pooja</t>
  </si>
  <si>
    <t>2024/01/29</t>
  </si>
  <si>
    <t>2024-02-13</t>
  </si>
  <si>
    <t>05-01-2024</t>
  </si>
  <si>
    <t>2024/02/12</t>
  </si>
  <si>
    <t>Karthik</t>
  </si>
  <si>
    <t>2024/02/16</t>
  </si>
  <si>
    <t>2024/02/03</t>
  </si>
  <si>
    <t>2024/01/11</t>
  </si>
  <si>
    <t>2024/01/18</t>
  </si>
  <si>
    <t>23-01-2024</t>
  </si>
  <si>
    <t>2024/01/26</t>
  </si>
  <si>
    <t>2024/01/02</t>
  </si>
  <si>
    <t>2024-02-26</t>
  </si>
  <si>
    <t>2024/02/24</t>
  </si>
  <si>
    <t>2024/02/10</t>
  </si>
  <si>
    <t>2024-01-18</t>
  </si>
  <si>
    <t>2024-01-07</t>
  </si>
  <si>
    <t>07-01-2024</t>
  </si>
  <si>
    <t>2024/01/08</t>
  </si>
  <si>
    <t>2024-01-10</t>
  </si>
  <si>
    <t>2024-02-14</t>
  </si>
  <si>
    <t>2024/01/09</t>
  </si>
  <si>
    <t>2024-02-10</t>
  </si>
  <si>
    <t>13-02-2024</t>
  </si>
  <si>
    <t>06-01-2024</t>
  </si>
  <si>
    <t>2024-02-24</t>
  </si>
  <si>
    <t>2024-01-24</t>
  </si>
  <si>
    <t>2024/01/19</t>
  </si>
  <si>
    <t>2024/01/15</t>
  </si>
  <si>
    <t>03-01-2024</t>
  </si>
  <si>
    <t>2024-01-04</t>
  </si>
  <si>
    <t>2024/02/28</t>
  </si>
  <si>
    <t>2024-01-15</t>
  </si>
  <si>
    <t>15-01-2024</t>
  </si>
  <si>
    <t>2024/01/24</t>
  </si>
  <si>
    <t>2024-02-18</t>
  </si>
  <si>
    <t>13-01-2024</t>
  </si>
  <si>
    <t>2024/01/14</t>
  </si>
  <si>
    <t>2024-02-07</t>
  </si>
  <si>
    <t>07-02-2024</t>
  </si>
  <si>
    <t>05-02-2024</t>
  </si>
  <si>
    <t>2024-01-25</t>
  </si>
  <si>
    <t>2024-02-17</t>
  </si>
  <si>
    <t>2024-01-29</t>
  </si>
  <si>
    <t>12-01-2024</t>
  </si>
  <si>
    <t>01-01-2024</t>
  </si>
  <si>
    <t>25-01-2024</t>
  </si>
  <si>
    <t>16-02-2024</t>
  </si>
  <si>
    <t>2024-01-06</t>
  </si>
  <si>
    <t>2024-01-21</t>
  </si>
  <si>
    <t>26-02-2024</t>
  </si>
  <si>
    <t>27-02-2024</t>
  </si>
  <si>
    <t>06-02-2024</t>
  </si>
  <si>
    <t>2024-02-15</t>
  </si>
  <si>
    <t>2024-01-09</t>
  </si>
  <si>
    <t>2024-02-04</t>
  </si>
  <si>
    <t>15-02-2024</t>
  </si>
  <si>
    <t>24-01-2024</t>
  </si>
  <si>
    <t>2024/02/17</t>
  </si>
  <si>
    <t>16-01-2024</t>
  </si>
  <si>
    <t>17-01-2024</t>
  </si>
  <si>
    <t>2024-01-27</t>
  </si>
  <si>
    <t>2024/02/11</t>
  </si>
  <si>
    <t>14-01-2024</t>
  </si>
  <si>
    <t>10-01-2024</t>
  </si>
  <si>
    <t>01-03-2024</t>
  </si>
  <si>
    <t>2024/01/03</t>
  </si>
  <si>
    <t>20-01-2024</t>
  </si>
  <si>
    <t>2024/02/21</t>
  </si>
  <si>
    <t>2024-02-08</t>
  </si>
  <si>
    <t>10-02-2024</t>
  </si>
  <si>
    <t>2024-01-23</t>
  </si>
  <si>
    <t>2024-02-22</t>
  </si>
  <si>
    <t>21-02-2024</t>
  </si>
  <si>
    <t>2024-02-19</t>
  </si>
  <si>
    <t>2024-02-20</t>
  </si>
  <si>
    <t>2024/01/17</t>
  </si>
  <si>
    <t>11-02-2024</t>
  </si>
  <si>
    <t>2024-02-09</t>
  </si>
  <si>
    <t>2024/01/10</t>
  </si>
  <si>
    <t>2024-02-21</t>
  </si>
  <si>
    <t>2024/02/01</t>
  </si>
  <si>
    <t>2024/02/14</t>
  </si>
  <si>
    <t>2024-01-08</t>
  </si>
  <si>
    <t>14-02-2024</t>
  </si>
  <si>
    <t>28-01-2024</t>
  </si>
  <si>
    <t>2024/02/06</t>
  </si>
  <si>
    <t>2024/02/18</t>
  </si>
  <si>
    <t>2024-02-11</t>
  </si>
  <si>
    <t>2024/02/07</t>
  </si>
  <si>
    <t>2024/01/31</t>
  </si>
  <si>
    <t>2024-02-23</t>
  </si>
  <si>
    <t>2024-02-28</t>
  </si>
  <si>
    <t>12-02-2024</t>
  </si>
  <si>
    <t>2024-01-11</t>
  </si>
  <si>
    <t>2024-01-22</t>
  </si>
  <si>
    <t>2024/02/04</t>
  </si>
  <si>
    <t>2024-02-27</t>
  </si>
  <si>
    <t>2024-01-17</t>
  </si>
  <si>
    <t>2024-02-25</t>
  </si>
  <si>
    <t>2024/01/13</t>
  </si>
  <si>
    <t>09-02-2024</t>
  </si>
  <si>
    <t>2024-01-02</t>
  </si>
  <si>
    <t>2024/02/05</t>
  </si>
  <si>
    <t>2024/02/08</t>
  </si>
  <si>
    <t>25-02-2024</t>
  </si>
  <si>
    <t>31-01-2024</t>
  </si>
  <si>
    <t>18-01-2024</t>
  </si>
  <si>
    <t>01-02-2024</t>
  </si>
  <si>
    <t>2024-02-12</t>
  </si>
  <si>
    <t>26-01-2024</t>
  </si>
  <si>
    <t>2024/02/20</t>
  </si>
  <si>
    <t>04-02-2024</t>
  </si>
  <si>
    <t>2024/02/02</t>
  </si>
  <si>
    <t>2024/01/21</t>
  </si>
  <si>
    <t>2024-02-03</t>
  </si>
  <si>
    <t>2024-01-14</t>
  </si>
  <si>
    <t>2024/01/05</t>
  </si>
  <si>
    <t>03-02-2024</t>
  </si>
  <si>
    <t>2024/01/25</t>
  </si>
  <si>
    <t>2024-01-16</t>
  </si>
  <si>
    <t>2024-01-12</t>
  </si>
  <si>
    <t>2024/01/01</t>
  </si>
  <si>
    <t>17-02-2024</t>
  </si>
  <si>
    <t>2024-01-03</t>
  </si>
  <si>
    <t>2024-01-19</t>
  </si>
  <si>
    <t>04-01-2024</t>
  </si>
  <si>
    <t>2024/02/13</t>
  </si>
  <si>
    <t>2024/01/23</t>
  </si>
  <si>
    <t>2024-02-16</t>
  </si>
  <si>
    <t>23-02-2024</t>
  </si>
  <si>
    <t>09-01-2024</t>
  </si>
  <si>
    <t>2024-02-06</t>
  </si>
  <si>
    <t>2024-01-20</t>
  </si>
  <si>
    <t>2024-01-30</t>
  </si>
  <si>
    <t>2024-01-01</t>
  </si>
  <si>
    <t>19-02-2024</t>
  </si>
  <si>
    <t>2024-01-31</t>
  </si>
  <si>
    <t>2024-02-02</t>
  </si>
  <si>
    <t>2024-01-26</t>
  </si>
  <si>
    <t>2024/01/04</t>
  </si>
  <si>
    <t>2024/03/01</t>
  </si>
  <si>
    <t>2024/01/20</t>
  </si>
  <si>
    <t>2024-01-05</t>
  </si>
  <si>
    <t>2024/02/27</t>
  </si>
  <si>
    <t>2024/02/23</t>
  </si>
  <si>
    <t>02-01-2024</t>
  </si>
  <si>
    <t>2024/01/06</t>
  </si>
  <si>
    <t>2024/02/09</t>
  </si>
  <si>
    <t>22-02-2024</t>
  </si>
  <si>
    <t>2024-01-28</t>
  </si>
  <si>
    <t>08-01-2024</t>
  </si>
  <si>
    <t>2024-02-29</t>
  </si>
  <si>
    <t>2024/01/16</t>
  </si>
  <si>
    <t>2024/02/22</t>
  </si>
  <si>
    <t>2024/02/25</t>
  </si>
  <si>
    <t>24-02-2024</t>
  </si>
  <si>
    <t>08-02-2024</t>
  </si>
  <si>
    <t>accessories</t>
  </si>
  <si>
    <t>clothing</t>
  </si>
  <si>
    <t>Foot wear</t>
  </si>
  <si>
    <t xml:space="preserve">  Bag</t>
  </si>
  <si>
    <t xml:space="preserve">  Jeans</t>
  </si>
  <si>
    <t xml:space="preserve"> Watch</t>
  </si>
  <si>
    <t xml:space="preserve"> Phone</t>
  </si>
  <si>
    <t xml:space="preserve">  Watch</t>
  </si>
  <si>
    <t>HYDERABAD</t>
  </si>
  <si>
    <t>DELHI</t>
  </si>
  <si>
    <t>CHENNAI</t>
  </si>
  <si>
    <t>MUMBAI</t>
  </si>
  <si>
    <t>BANGALORE</t>
  </si>
  <si>
    <t>Age_group</t>
  </si>
  <si>
    <t>Total_Sales</t>
  </si>
  <si>
    <t>Month</t>
  </si>
  <si>
    <t>Year</t>
  </si>
  <si>
    <t>31-50</t>
  </si>
  <si>
    <t>21-30</t>
  </si>
  <si>
    <t>0-20</t>
  </si>
  <si>
    <t>Age_Category</t>
  </si>
  <si>
    <t>Sales Category2</t>
  </si>
  <si>
    <t>Category_1</t>
  </si>
  <si>
    <t>Row Labels</t>
  </si>
  <si>
    <t>Grand Total</t>
  </si>
  <si>
    <t>Sum of Total_Sales</t>
  </si>
  <si>
    <t>Count of Category_1</t>
  </si>
  <si>
    <t>Jan</t>
  </si>
  <si>
    <t>Feb</t>
  </si>
  <si>
    <t>Mar</t>
  </si>
  <si>
    <t>2024</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</si>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</sst>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5" formatCode="_-[$$-409]* #,##0.00_ ;_-[$$-409]* \-#,##0.00\ ;_-[$$-409]* &quot;-&quot;??_ ;_-@_ "/>
  </numFmts>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0" fontId="0" fillId="0" borderId="0" xfId="0" applyNumberFormat="1"/>
    <xf numFmtId="165" fontId="0" fillId="0" borderId="0" xfId="0" applyNumberFormat="1"/>
    <xf numFmtId="0" fontId="0" fillId="0" borderId="0" xfId="0" applyAlignment="1">
      <alignment horizontal="center"/>
    </xf>
    <xf numFmtId="0" fontId="0" fillId="0" borderId="0" xfId="0" applyNumberFormat="1" applyAlignment="1">
      <alignment horizontal="center"/>
    </xf>
    <xf numFmtId="165" fontId="0" fillId="0" borderId="0" xfId="0" applyNumberFormat="1" applyAlignment="1">
      <alignment horizontal="center"/>
    </xf>
    <xf numFmtId="14" fontId="0" fillId="0" borderId="0" xfId="0" applyNumberFormat="1" applyAlignment="1">
      <alignment horizontal="center"/>
    </xf>
    <xf numFmtId="165" fontId="0" fillId="0" borderId="0" xfId="1" applyNumberFormat="1" applyFont="1"/>
    <xf numFmtId="165" fontId="0" fillId="0" borderId="0" xfId="1" applyNumberFormat="1"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cellXfs>
  <cellStyles count="2">
    <cellStyle name="Currency" xfId="1" builtinId="4"/>
    <cellStyle name="Normal" xfId="0" builtinId="0"/>
  </cellStyles>
  <dxfs count="15">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409]* #,##0.00_ ;_-[$$-409]* \-#,##0.00\ ;_-[$$-409]* &quot;-&quot;??_ ;_-@_ "/>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65" formatCode="_-[$$-409]* #,##0.00_ ;_-[$$-409]* \-#,##0.00\ ;_-[$$-409]* &quot;-&quot;??_ ;_-@_ "/>
    </dxf>
    <dxf>
      <numFmt numFmtId="165" formatCode="_-[$$-409]* #,##0.00_ ;_-[$$-409]* \-#,##0.00\ ;_-[$$-409]* &quot;-&quot;??_ ;_-@_ "/>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[sales_dataset_1000_rows.xlsx]Pivot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Table'!$A$33:$A$37</c:f>
              <c:multiLvlStrCache>
                <c:ptCount val="3"/>
                <c:lvl>
                  <c:pt idx="0">
                    <c:v>Jan</c:v>
                  </c:pt>
                  <c:pt idx="1">
                    <c:v>Feb</c:v>
                  </c:pt>
                  <c:pt idx="2">
                    <c:v>Mar</c:v>
                  </c:pt>
                </c:lvl>
                <c:lvl>
                  <c:pt idx="0">
                    <c:v>2024</c:v>
                  </c:pt>
                </c:lvl>
              </c:multiLvlStrCache>
            </c:multiLvlStrRef>
          </c:cat>
          <c:val>
            <c:numRef>
              <c:f>'Pivot Table'!$B$33:$B$37</c:f>
              <c:numCache>
                <c:formatCode>_-[$$-409]* #,##0.00_ ;_-[$$-409]* \-#,##0.00\ ;_-[$$-409]* "-"??_ ;_-@_ </c:formatCode>
                <c:ptCount val="3"/>
                <c:pt idx="0">
                  <c:v>11251547</c:v>
                </c:pt>
                <c:pt idx="1">
                  <c:v>10804703</c:v>
                </c:pt>
                <c:pt idx="2">
                  <c:v>594480</c:v>
                </c:pt>
              </c:numCache>
            </c:numRef>
          </c:val>
          <c:smooth val="0"/>
          <c:extLst>
            <c:ext xmlns:c16="http://schemas.microsoft.com/office/drawing/2014/chart" uri="{C3380CC4-5D6E-409C-BE32-E72D297353CC}">
              <c16:uniqueId val="{00000000-3647-4BD8-8BCD-582CDD8B01E7}"/>
            </c:ext>
          </c:extLst>
        </c:ser>
        <c:dLbls>
          <c:showLegendKey val="0"/>
          <c:showVal val="0"/>
          <c:showCatName val="0"/>
          <c:showSerName val="0"/>
          <c:showPercent val="0"/>
          <c:showBubbleSize val="0"/>
        </c:dLbls>
        <c:marker val="1"/>
        <c:smooth val="0"/>
        <c:axId val="1664680927"/>
        <c:axId val="1664681887"/>
      </c:lineChart>
      <c:catAx>
        <c:axId val="166468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681887"/>
        <c:crosses val="autoZero"/>
        <c:auto val="1"/>
        <c:lblAlgn val="ctr"/>
        <c:lblOffset val="100"/>
        <c:noMultiLvlLbl val="0"/>
      </c:catAx>
      <c:valAx>
        <c:axId val="166468188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68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[sales_dataset_1000_rows.xlsx]Pivot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c:f>
              <c:strCache>
                <c:ptCount val="1"/>
                <c:pt idx="0">
                  <c:v>Total</c:v>
                </c:pt>
              </c:strCache>
            </c:strRef>
          </c:tx>
          <c:spPr>
            <a:solidFill>
              <a:schemeClr val="accent1"/>
            </a:solidFill>
            <a:ln>
              <a:noFill/>
            </a:ln>
            <a:effectLst/>
            <a:sp3d/>
          </c:spPr>
          <c:invertIfNegative val="0"/>
          <c:cat>
            <c:strRef>
              <c:f>'Pivot Table'!$A$2:$A$10</c:f>
              <c:strCache>
                <c:ptCount val="8"/>
                <c:pt idx="0">
                  <c:v>Bag</c:v>
                </c:pt>
                <c:pt idx="1">
                  <c:v>Jeans</c:v>
                </c:pt>
                <c:pt idx="2">
                  <c:v>Laptop</c:v>
                </c:pt>
                <c:pt idx="3">
                  <c:v>Phone</c:v>
                </c:pt>
                <c:pt idx="4">
                  <c:v>Shirt</c:v>
                </c:pt>
                <c:pt idx="5">
                  <c:v>Shoes</c:v>
                </c:pt>
                <c:pt idx="6">
                  <c:v>Tablet</c:v>
                </c:pt>
                <c:pt idx="7">
                  <c:v>Watch</c:v>
                </c:pt>
              </c:strCache>
            </c:strRef>
          </c:cat>
          <c:val>
            <c:numRef>
              <c:f>'Pivot Table'!$B$2:$B$10</c:f>
              <c:numCache>
                <c:formatCode>_-[$$-409]* #,##0.00_ ;_-[$$-409]* \-#,##0.00\ ;_-[$$-409]* "-"??_ ;_-@_ </c:formatCode>
                <c:ptCount val="8"/>
                <c:pt idx="0">
                  <c:v>3170080</c:v>
                </c:pt>
                <c:pt idx="1">
                  <c:v>1963510</c:v>
                </c:pt>
                <c:pt idx="2">
                  <c:v>2387889</c:v>
                </c:pt>
                <c:pt idx="3">
                  <c:v>2414547</c:v>
                </c:pt>
                <c:pt idx="4">
                  <c:v>3806599</c:v>
                </c:pt>
                <c:pt idx="5">
                  <c:v>2634994</c:v>
                </c:pt>
                <c:pt idx="6">
                  <c:v>3498899</c:v>
                </c:pt>
                <c:pt idx="7">
                  <c:v>2774212</c:v>
                </c:pt>
              </c:numCache>
            </c:numRef>
          </c:val>
          <c:extLst>
            <c:ext xmlns:c16="http://schemas.microsoft.com/office/drawing/2014/chart" uri="{C3380CC4-5D6E-409C-BE32-E72D297353CC}">
              <c16:uniqueId val="{00000000-A9C0-44F9-BABC-B70E97099A48}"/>
            </c:ext>
          </c:extLst>
        </c:ser>
        <c:dLbls>
          <c:showLegendKey val="0"/>
          <c:showVal val="0"/>
          <c:showCatName val="0"/>
          <c:showSerName val="0"/>
          <c:showPercent val="0"/>
          <c:showBubbleSize val="0"/>
        </c:dLbls>
        <c:gapWidth val="150"/>
        <c:shape val="box"/>
        <c:axId val="1664680447"/>
        <c:axId val="1664693407"/>
        <c:axId val="0"/>
      </c:bar3DChart>
      <c:catAx>
        <c:axId val="1664680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693407"/>
        <c:crosses val="autoZero"/>
        <c:auto val="1"/>
        <c:lblAlgn val="ctr"/>
        <c:lblOffset val="100"/>
        <c:noMultiLvlLbl val="0"/>
      </c:catAx>
      <c:valAx>
        <c:axId val="166469340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68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[sales_dataset_1000_rows.xlsx]Pivot Table!PivotTable4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c:f>
              <c:strCache>
                <c:ptCount val="1"/>
                <c:pt idx="0">
                  <c:v>Total</c:v>
                </c:pt>
              </c:strCache>
            </c:strRef>
          </c:tx>
          <c:spPr>
            <a:solidFill>
              <a:schemeClr val="accent1"/>
            </a:solidFill>
            <a:ln>
              <a:noFill/>
            </a:ln>
            <a:effectLst/>
          </c:spPr>
          <c:invertIfNegative val="0"/>
          <c:cat>
            <c:strRef>
              <c:f>'Pivot Table'!$A$15:$A$20</c:f>
              <c:strCache>
                <c:ptCount val="5"/>
                <c:pt idx="0">
                  <c:v>BANGALORE</c:v>
                </c:pt>
                <c:pt idx="1">
                  <c:v>CHENNAI</c:v>
                </c:pt>
                <c:pt idx="2">
                  <c:v>DELHI</c:v>
                </c:pt>
                <c:pt idx="3">
                  <c:v>HYDERABAD</c:v>
                </c:pt>
                <c:pt idx="4">
                  <c:v>MUMBAI</c:v>
                </c:pt>
              </c:strCache>
            </c:strRef>
          </c:cat>
          <c:val>
            <c:numRef>
              <c:f>'Pivot Table'!$B$15:$B$20</c:f>
              <c:numCache>
                <c:formatCode>_-[$$-409]* #,##0.00_ ;_-[$$-409]* \-#,##0.00\ ;_-[$$-409]* "-"??_ ;_-@_ </c:formatCode>
                <c:ptCount val="5"/>
                <c:pt idx="0">
                  <c:v>5028522</c:v>
                </c:pt>
                <c:pt idx="1">
                  <c:v>4555826</c:v>
                </c:pt>
                <c:pt idx="2">
                  <c:v>4513959</c:v>
                </c:pt>
                <c:pt idx="3">
                  <c:v>3825427</c:v>
                </c:pt>
                <c:pt idx="4">
                  <c:v>4726996</c:v>
                </c:pt>
              </c:numCache>
            </c:numRef>
          </c:val>
          <c:extLst>
            <c:ext xmlns:c16="http://schemas.microsoft.com/office/drawing/2014/chart" uri="{C3380CC4-5D6E-409C-BE32-E72D297353CC}">
              <c16:uniqueId val="{00000000-3090-462D-8D79-9696136B10C5}"/>
            </c:ext>
          </c:extLst>
        </c:ser>
        <c:dLbls>
          <c:showLegendKey val="0"/>
          <c:showVal val="0"/>
          <c:showCatName val="0"/>
          <c:showSerName val="0"/>
          <c:showPercent val="0"/>
          <c:showBubbleSize val="0"/>
        </c:dLbls>
        <c:gapWidth val="182"/>
        <c:axId val="1664678047"/>
        <c:axId val="1664694847"/>
      </c:barChart>
      <c:catAx>
        <c:axId val="1664678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694847"/>
        <c:crosses val="autoZero"/>
        <c:auto val="1"/>
        <c:lblAlgn val="ctr"/>
        <c:lblOffset val="100"/>
        <c:noMultiLvlLbl val="0"/>
      </c:catAx>
      <c:valAx>
        <c:axId val="1664694847"/>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67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[sales_dataset_1000_rows.xlsx]Pivot Table!PivotTable5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4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Table'!$B$24</c:f>
              <c:strCache>
                <c:ptCount val="1"/>
                <c:pt idx="0">
                  <c:v>Total</c:v>
                </c:pt>
              </c:strCache>
            </c:strRef>
          </c:tx>
          <c:explosion val="15"/>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EC89-434A-B797-C1B926AAEB8B}"/>
              </c:ext>
            </c:extLst>
          </c:dPt>
          <c:dPt>
            <c:idx val="1"/>
            <c:bubble3D val="0"/>
            <c:explosion val="1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C89-434A-B797-C1B926AAEB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Table'!$A$25:$A$27</c:f>
              <c:strCache>
                <c:ptCount val="2"/>
                <c:pt idx="0">
                  <c:v>Female</c:v>
                </c:pt>
                <c:pt idx="1">
                  <c:v>Male</c:v>
                </c:pt>
              </c:strCache>
            </c:strRef>
          </c:cat>
          <c:val>
            <c:numRef>
              <c:f>'Pivot Table'!$B$25:$B$27</c:f>
              <c:numCache>
                <c:formatCode>_-[$$-409]* #,##0.00_ ;_-[$$-409]* \-#,##0.00\ ;_-[$$-409]* "-"??_ ;_-@_ </c:formatCode>
                <c:ptCount val="2"/>
                <c:pt idx="0">
                  <c:v>8335886</c:v>
                </c:pt>
                <c:pt idx="1">
                  <c:v>14314844</c:v>
                </c:pt>
              </c:numCache>
            </c:numRef>
          </c:val>
          <c:extLst>
            <c:ext xmlns:c16="http://schemas.microsoft.com/office/drawing/2014/chart" uri="{C3380CC4-5D6E-409C-BE32-E72D297353CC}">
              <c16:uniqueId val="{00000000-EC89-434A-B797-C1B926AAEB8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[sales_dataset_1000_rows.xlsx]Pivot Table!PivotTable7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Table'!$B$57:$B$58</c:f>
              <c:strCache>
                <c:ptCount val="1"/>
                <c:pt idx="0">
                  <c:v>Female</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Table'!$A$59:$A$66</c:f>
              <c:strCache>
                <c:ptCount val="7"/>
                <c:pt idx="0">
                  <c:v>Bag</c:v>
                </c:pt>
                <c:pt idx="1">
                  <c:v>Jeans</c:v>
                </c:pt>
                <c:pt idx="2">
                  <c:v>Laptop</c:v>
                </c:pt>
                <c:pt idx="3">
                  <c:v>Phone</c:v>
                </c:pt>
                <c:pt idx="4">
                  <c:v>Shirt</c:v>
                </c:pt>
                <c:pt idx="5">
                  <c:v>Shoes</c:v>
                </c:pt>
                <c:pt idx="6">
                  <c:v>Tablet</c:v>
                </c:pt>
              </c:strCache>
            </c:strRef>
          </c:cat>
          <c:val>
            <c:numRef>
              <c:f>'Pivot Table'!$B$59:$B$66</c:f>
              <c:numCache>
                <c:formatCode>General</c:formatCode>
                <c:ptCount val="7"/>
                <c:pt idx="0">
                  <c:v>10</c:v>
                </c:pt>
                <c:pt idx="1">
                  <c:v>12</c:v>
                </c:pt>
                <c:pt idx="2">
                  <c:v>2</c:v>
                </c:pt>
                <c:pt idx="3">
                  <c:v>9</c:v>
                </c:pt>
                <c:pt idx="4">
                  <c:v>9</c:v>
                </c:pt>
                <c:pt idx="5">
                  <c:v>6</c:v>
                </c:pt>
                <c:pt idx="6">
                  <c:v>10</c:v>
                </c:pt>
              </c:numCache>
            </c:numRef>
          </c:val>
          <c:extLst>
            <c:ext xmlns:c16="http://schemas.microsoft.com/office/drawing/2014/chart" uri="{C3380CC4-5D6E-409C-BE32-E72D297353CC}">
              <c16:uniqueId val="{00000000-00ED-40AF-9A3A-214FEF08F3F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[sales_dataset_1000_rows.xlsx]Pivot Table!PivotTable3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c:f>
              <c:strCache>
                <c:ptCount val="1"/>
                <c:pt idx="0">
                  <c:v>Total</c:v>
                </c:pt>
              </c:strCache>
            </c:strRef>
          </c:tx>
          <c:spPr>
            <a:solidFill>
              <a:schemeClr val="accent5"/>
            </a:solidFill>
            <a:ln>
              <a:noFill/>
            </a:ln>
            <a:effectLst/>
            <a:sp3d/>
          </c:spPr>
          <c:invertIfNegative val="0"/>
          <c:cat>
            <c:strRef>
              <c:f>'Pivot Table'!$A$2:$A$10</c:f>
              <c:strCache>
                <c:ptCount val="8"/>
                <c:pt idx="0">
                  <c:v>Bag</c:v>
                </c:pt>
                <c:pt idx="1">
                  <c:v>Jeans</c:v>
                </c:pt>
                <c:pt idx="2">
                  <c:v>Laptop</c:v>
                </c:pt>
                <c:pt idx="3">
                  <c:v>Phone</c:v>
                </c:pt>
                <c:pt idx="4">
                  <c:v>Shirt</c:v>
                </c:pt>
                <c:pt idx="5">
                  <c:v>Shoes</c:v>
                </c:pt>
                <c:pt idx="6">
                  <c:v>Tablet</c:v>
                </c:pt>
                <c:pt idx="7">
                  <c:v>Watch</c:v>
                </c:pt>
              </c:strCache>
            </c:strRef>
          </c:cat>
          <c:val>
            <c:numRef>
              <c:f>'Pivot Table'!$B$2:$B$10</c:f>
              <c:numCache>
                <c:formatCode>_-[$$-409]* #,##0.00_ ;_-[$$-409]* \-#,##0.00\ ;_-[$$-409]* "-"??_ ;_-@_ </c:formatCode>
                <c:ptCount val="8"/>
                <c:pt idx="0">
                  <c:v>3170080</c:v>
                </c:pt>
                <c:pt idx="1">
                  <c:v>1963510</c:v>
                </c:pt>
                <c:pt idx="2">
                  <c:v>2387889</c:v>
                </c:pt>
                <c:pt idx="3">
                  <c:v>2414547</c:v>
                </c:pt>
                <c:pt idx="4">
                  <c:v>3806599</c:v>
                </c:pt>
                <c:pt idx="5">
                  <c:v>2634994</c:v>
                </c:pt>
                <c:pt idx="6">
                  <c:v>3498899</c:v>
                </c:pt>
                <c:pt idx="7">
                  <c:v>2774212</c:v>
                </c:pt>
              </c:numCache>
            </c:numRef>
          </c:val>
          <c:extLst>
            <c:ext xmlns:c16="http://schemas.microsoft.com/office/drawing/2014/chart" uri="{C3380CC4-5D6E-409C-BE32-E72D297353CC}">
              <c16:uniqueId val="{00000000-95F4-489E-9F04-228E0FE916D9}"/>
            </c:ext>
          </c:extLst>
        </c:ser>
        <c:dLbls>
          <c:showLegendKey val="0"/>
          <c:showVal val="0"/>
          <c:showCatName val="0"/>
          <c:showSerName val="0"/>
          <c:showPercent val="0"/>
          <c:showBubbleSize val="0"/>
        </c:dLbls>
        <c:gapWidth val="150"/>
        <c:shape val="box"/>
        <c:axId val="1664680447"/>
        <c:axId val="1664693407"/>
        <c:axId val="0"/>
      </c:bar3DChart>
      <c:catAx>
        <c:axId val="1664680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693407"/>
        <c:crosses val="autoZero"/>
        <c:auto val="1"/>
        <c:lblAlgn val="ctr"/>
        <c:lblOffset val="100"/>
        <c:noMultiLvlLbl val="0"/>
      </c:catAx>
      <c:valAx>
        <c:axId val="166469340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68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[sales_dataset_1000_rows.xlsx]Pivot Table!PivotTable4</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Table'!$A$15:$A$20</c:f>
              <c:strCache>
                <c:ptCount val="5"/>
                <c:pt idx="0">
                  <c:v>BANGALORE</c:v>
                </c:pt>
                <c:pt idx="1">
                  <c:v>CHENNAI</c:v>
                </c:pt>
                <c:pt idx="2">
                  <c:v>DELHI</c:v>
                </c:pt>
                <c:pt idx="3">
                  <c:v>HYDERABAD</c:v>
                </c:pt>
                <c:pt idx="4">
                  <c:v>MUMBAI</c:v>
                </c:pt>
              </c:strCache>
            </c:strRef>
          </c:cat>
          <c:val>
            <c:numRef>
              <c:f>'Pivot Table'!$B$15:$B$20</c:f>
              <c:numCache>
                <c:formatCode>_-[$$-409]* #,##0.00_ ;_-[$$-409]* \-#,##0.00\ ;_-[$$-409]* "-"??_ ;_-@_ </c:formatCode>
                <c:ptCount val="5"/>
                <c:pt idx="0">
                  <c:v>5028522</c:v>
                </c:pt>
                <c:pt idx="1">
                  <c:v>4555826</c:v>
                </c:pt>
                <c:pt idx="2">
                  <c:v>4513959</c:v>
                </c:pt>
                <c:pt idx="3">
                  <c:v>3825427</c:v>
                </c:pt>
                <c:pt idx="4">
                  <c:v>4726996</c:v>
                </c:pt>
              </c:numCache>
            </c:numRef>
          </c:val>
          <c:extLst>
            <c:ext xmlns:c16="http://schemas.microsoft.com/office/drawing/2014/chart" uri="{C3380CC4-5D6E-409C-BE32-E72D297353CC}">
              <c16:uniqueId val="{00000000-C309-462E-BA98-3094FE8B1E66}"/>
            </c:ext>
          </c:extLst>
        </c:ser>
        <c:dLbls>
          <c:dLblPos val="inEnd"/>
          <c:showLegendKey val="0"/>
          <c:showVal val="1"/>
          <c:showCatName val="0"/>
          <c:showSerName val="0"/>
          <c:showPercent val="0"/>
          <c:showBubbleSize val="0"/>
        </c:dLbls>
        <c:gapWidth val="115"/>
        <c:overlap val="-20"/>
        <c:axId val="1664678047"/>
        <c:axId val="1664694847"/>
      </c:barChart>
      <c:catAx>
        <c:axId val="1664678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694847"/>
        <c:crosses val="autoZero"/>
        <c:auto val="1"/>
        <c:lblAlgn val="ctr"/>
        <c:lblOffset val="100"/>
        <c:noMultiLvlLbl val="0"/>
      </c:catAx>
      <c:valAx>
        <c:axId val="1664694847"/>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678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[sales_dataset_1000_rows.xlsx]Pivot Table!PivotTable5</c:name>
    <c:fmtId val="19"/>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s>
    <c:view3D>
      <c:rotX val="30"/>
      <c:rotY val="4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Table'!$B$24</c:f>
              <c:strCache>
                <c:ptCount val="1"/>
                <c:pt idx="0">
                  <c:v>Total</c:v>
                </c:pt>
              </c:strCache>
            </c:strRef>
          </c:tx>
          <c:explosion val="15"/>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5E5-41C9-B7C8-B17E7F0B8431}"/>
              </c:ext>
            </c:extLst>
          </c:dPt>
          <c:dPt>
            <c:idx val="1"/>
            <c:bubble3D val="0"/>
            <c:explosion val="1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5E5-41C9-B7C8-B17E7F0B843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15E5-41C9-B7C8-B17E7F0B843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15E5-41C9-B7C8-B17E7F0B843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Table'!$A$25:$A$27</c:f>
              <c:strCache>
                <c:ptCount val="2"/>
                <c:pt idx="0">
                  <c:v>Female</c:v>
                </c:pt>
                <c:pt idx="1">
                  <c:v>Male</c:v>
                </c:pt>
              </c:strCache>
            </c:strRef>
          </c:cat>
          <c:val>
            <c:numRef>
              <c:f>'Pivot Table'!$B$25:$B$27</c:f>
              <c:numCache>
                <c:formatCode>_-[$$-409]* #,##0.00_ ;_-[$$-409]* \-#,##0.00\ ;_-[$$-409]* "-"??_ ;_-@_ </c:formatCode>
                <c:ptCount val="2"/>
                <c:pt idx="0">
                  <c:v>8335886</c:v>
                </c:pt>
                <c:pt idx="1">
                  <c:v>14314844</c:v>
                </c:pt>
              </c:numCache>
            </c:numRef>
          </c:val>
          <c:extLst>
            <c:ext xmlns:c16="http://schemas.microsoft.com/office/drawing/2014/chart" uri="{C3380CC4-5D6E-409C-BE32-E72D297353CC}">
              <c16:uniqueId val="{00000004-15E5-41C9-B7C8-B17E7F0B8431}"/>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[sales_dataset_1000_rows.xlsx]Pivot Table!PivotTable6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Table'!$A$33:$A$37</c:f>
              <c:multiLvlStrCache>
                <c:ptCount val="3"/>
                <c:lvl>
                  <c:pt idx="0">
                    <c:v>Jan</c:v>
                  </c:pt>
                  <c:pt idx="1">
                    <c:v>Feb</c:v>
                  </c:pt>
                  <c:pt idx="2">
                    <c:v>Mar</c:v>
                  </c:pt>
                </c:lvl>
                <c:lvl>
                  <c:pt idx="0">
                    <c:v>2024</c:v>
                  </c:pt>
                </c:lvl>
              </c:multiLvlStrCache>
            </c:multiLvlStrRef>
          </c:cat>
          <c:val>
            <c:numRef>
              <c:f>'Pivot Table'!$B$33:$B$37</c:f>
              <c:numCache>
                <c:formatCode>_-[$$-409]* #,##0.00_ ;_-[$$-409]* \-#,##0.00\ ;_-[$$-409]* "-"??_ ;_-@_ </c:formatCode>
                <c:ptCount val="3"/>
                <c:pt idx="0">
                  <c:v>11251547</c:v>
                </c:pt>
                <c:pt idx="1">
                  <c:v>10804703</c:v>
                </c:pt>
                <c:pt idx="2">
                  <c:v>594480</c:v>
                </c:pt>
              </c:numCache>
            </c:numRef>
          </c:val>
          <c:smooth val="0"/>
          <c:extLst>
            <c:ext xmlns:c16="http://schemas.microsoft.com/office/drawing/2014/chart" uri="{C3380CC4-5D6E-409C-BE32-E72D297353CC}">
              <c16:uniqueId val="{00000000-5558-4C82-A8E4-A9D163B0329B}"/>
            </c:ext>
          </c:extLst>
        </c:ser>
        <c:dLbls>
          <c:showLegendKey val="0"/>
          <c:showVal val="0"/>
          <c:showCatName val="0"/>
          <c:showSerName val="0"/>
          <c:showPercent val="0"/>
          <c:showBubbleSize val="0"/>
        </c:dLbls>
        <c:marker val="1"/>
        <c:smooth val="0"/>
        <c:axId val="1664680927"/>
        <c:axId val="1664681887"/>
      </c:lineChart>
      <c:catAx>
        <c:axId val="166468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681887"/>
        <c:crosses val="autoZero"/>
        <c:auto val="1"/>
        <c:lblAlgn val="ctr"/>
        <c:lblOffset val="100"/>
        <c:noMultiLvlLbl val="0"/>
      </c:catAx>
      <c:valAx>
        <c:axId val="166468188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68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[sales_dataset_1000_rows.xlsx]Pivot Table!PivotTable7</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Table'!$B$57:$B$58</c:f>
              <c:strCache>
                <c:ptCount val="1"/>
                <c:pt idx="0">
                  <c:v>Female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A50-4011-A81B-3FF5A2BE4D9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A50-4011-A81B-3FF5A2BE4D9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A50-4011-A81B-3FF5A2BE4D93}"/>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A50-4011-A81B-3FF5A2BE4D93}"/>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A50-4011-A81B-3FF5A2BE4D93}"/>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DA50-4011-A81B-3FF5A2BE4D93}"/>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DA50-4011-A81B-3FF5A2BE4D93}"/>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DA50-4011-A81B-3FF5A2BE4D9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Table'!$A$59:$A$66</c:f>
              <c:strCache>
                <c:ptCount val="7"/>
                <c:pt idx="0">
                  <c:v>Bag</c:v>
                </c:pt>
                <c:pt idx="1">
                  <c:v>Jeans</c:v>
                </c:pt>
                <c:pt idx="2">
                  <c:v>Laptop</c:v>
                </c:pt>
                <c:pt idx="3">
                  <c:v>Phone</c:v>
                </c:pt>
                <c:pt idx="4">
                  <c:v>Shirt</c:v>
                </c:pt>
                <c:pt idx="5">
                  <c:v>Shoes</c:v>
                </c:pt>
                <c:pt idx="6">
                  <c:v>Tablet</c:v>
                </c:pt>
              </c:strCache>
            </c:strRef>
          </c:cat>
          <c:val>
            <c:numRef>
              <c:f>'Pivot Table'!$B$59:$B$66</c:f>
              <c:numCache>
                <c:formatCode>General</c:formatCode>
                <c:ptCount val="7"/>
                <c:pt idx="0">
                  <c:v>10</c:v>
                </c:pt>
                <c:pt idx="1">
                  <c:v>12</c:v>
                </c:pt>
                <c:pt idx="2">
                  <c:v>2</c:v>
                </c:pt>
                <c:pt idx="3">
                  <c:v>9</c:v>
                </c:pt>
                <c:pt idx="4">
                  <c:v>9</c:v>
                </c:pt>
                <c:pt idx="5">
                  <c:v>6</c:v>
                </c:pt>
                <c:pt idx="6">
                  <c:v>10</c:v>
                </c:pt>
              </c:numCache>
            </c:numRef>
          </c:val>
          <c:extLst>
            <c:ext xmlns:c16="http://schemas.microsoft.com/office/drawing/2014/chart" uri="{C3380CC4-5D6E-409C-BE32-E72D297353CC}">
              <c16:uniqueId val="{00000010-DA50-4011-A81B-3FF5A2BE4D9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7620</xdr:colOff>
      <xdr:row>35</xdr:row>
      <xdr:rowOff>87630</xdr:rowOff>
    </xdr:from>
    <xdr:to>
      <xdr:col>10</xdr:col>
      <xdr:colOff>312420</xdr:colOff>
      <xdr:row>50</xdr:row>
      <xdr:rowOff>87630</xdr:rowOff>
    </xdr:to>
    <xdr:graphicFrame macro="">
      <xdr:nvGraphicFramePr>
        <xdr:cNvPr id="2" name="Chart 1">
          <a:extLst>
            <a:ext uri="{FF2B5EF4-FFF2-40B4-BE49-F238E27FC236}">
              <a16:creationId xmlns:a16="http://schemas.microsoft.com/office/drawing/2014/main" id="{48BFB49A-7D6F-9A9C-C2D6-8A34C9CB4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601980</xdr:colOff>
      <xdr:row>0</xdr:row>
      <xdr:rowOff>30480</xdr:rowOff>
    </xdr:from>
    <xdr:to>
      <xdr:col>11</xdr:col>
      <xdr:colOff>396240</xdr:colOff>
      <xdr:row>11</xdr:row>
      <xdr:rowOff>175260</xdr:rowOff>
    </xdr:to>
    <xdr:graphicFrame macro="">
      <xdr:nvGraphicFramePr>
        <xdr:cNvPr id="3" name="Chart 2">
          <a:extLst>
            <a:ext uri="{FF2B5EF4-FFF2-40B4-BE49-F238E27FC236}">
              <a16:creationId xmlns:a16="http://schemas.microsoft.com/office/drawing/2014/main" id="{B78F7FAD-127B-3069-3036-48964ABB2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12</xdr:row>
      <xdr:rowOff>175260</xdr:rowOff>
    </xdr:from>
    <xdr:to>
      <xdr:col>12</xdr:col>
      <xdr:colOff>45720</xdr:colOff>
      <xdr:row>22</xdr:row>
      <xdr:rowOff>95250</xdr:rowOff>
    </xdr:to>
    <xdr:graphicFrame macro="">
      <xdr:nvGraphicFramePr>
        <xdr:cNvPr id="6" name="Chart 5">
          <a:extLst>
            <a:ext uri="{FF2B5EF4-FFF2-40B4-BE49-F238E27FC236}">
              <a16:creationId xmlns:a16="http://schemas.microsoft.com/office/drawing/2014/main" id="{4207F761-17DE-7AFE-D645-D71243996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22</xdr:row>
      <xdr:rowOff>167640</xdr:rowOff>
    </xdr:from>
    <xdr:to>
      <xdr:col>10</xdr:col>
      <xdr:colOff>563880</xdr:colOff>
      <xdr:row>32</xdr:row>
      <xdr:rowOff>106680</xdr:rowOff>
    </xdr:to>
    <xdr:graphicFrame macro="">
      <xdr:nvGraphicFramePr>
        <xdr:cNvPr id="7" name="Chart 6">
          <a:extLst>
            <a:ext uri="{FF2B5EF4-FFF2-40B4-BE49-F238E27FC236}">
              <a16:creationId xmlns:a16="http://schemas.microsoft.com/office/drawing/2014/main" id="{15EF37A4-E0C2-DBDC-B8B1-6BFB73811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419100</xdr:colOff>
      <xdr:row>56</xdr:row>
      <xdr:rowOff>0</xdr:rowOff>
    </xdr:from>
    <xdr:to>
      <xdr:col>10</xdr:col>
      <xdr:colOff>464820</xdr:colOff>
      <xdr:row>71</xdr:row>
      <xdr:rowOff>22860</xdr:rowOff>
    </xdr:to>
    <xdr:graphicFrame macro="">
      <xdr:nvGraphicFramePr>
        <xdr:cNvPr id="8" name="Chart 7">
          <a:extLst>
            <a:ext uri="{FF2B5EF4-FFF2-40B4-BE49-F238E27FC236}">
              <a16:creationId xmlns:a16="http://schemas.microsoft.com/office/drawing/2014/main" id="{7229DB33-940D-1E81-1C50-CB74FCD02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53340</xdr:colOff>
      <xdr:row>67</xdr:row>
      <xdr:rowOff>114300</xdr:rowOff>
    </xdr:from>
    <xdr:to>
      <xdr:col>2</xdr:col>
      <xdr:colOff>693420</xdr:colOff>
      <xdr:row>73</xdr:row>
      <xdr:rowOff>83820</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3B51DF5E-1D63-D9B2-67CF-84E0C2A62DA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14400" y="12367260"/>
              <a:ext cx="180594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xdr:colOff>
      <xdr:row>72</xdr:row>
      <xdr:rowOff>167640</xdr:rowOff>
    </xdr:from>
    <xdr:to>
      <xdr:col>7</xdr:col>
      <xdr:colOff>15240</xdr:colOff>
      <xdr:row>86</xdr:row>
      <xdr:rowOff>74295</xdr:rowOff>
    </xdr:to>
    <mc:AlternateContent xmlns:mc="http://schemas.openxmlformats.org/markup-compatibility/2006">
      <mc:Choice xmlns:a14="http://schemas.microsoft.com/office/drawing/2010/main" Requires="a14">
        <xdr:graphicFrame macro="">
          <xdr:nvGraphicFramePr>
            <xdr:cNvPr id="10" name="Product">
              <a:extLst>
                <a:ext uri="{FF2B5EF4-FFF2-40B4-BE49-F238E27FC236}">
                  <a16:creationId xmlns:a16="http://schemas.microsoft.com/office/drawing/2014/main" id="{A7501293-6561-B967-F370-9D1A53C3872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520440" y="13335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xdr:colOff>
      <xdr:row>73</xdr:row>
      <xdr:rowOff>15240</xdr:rowOff>
    </xdr:from>
    <xdr:to>
      <xdr:col>11</xdr:col>
      <xdr:colOff>7620</xdr:colOff>
      <xdr:row>86</xdr:row>
      <xdr:rowOff>104775</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16193743-2E8E-0FA9-2657-EADCC340A74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951220" y="13365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7</xdr:row>
      <xdr:rowOff>15240</xdr:rowOff>
    </xdr:from>
    <xdr:to>
      <xdr:col>12</xdr:col>
      <xdr:colOff>0</xdr:colOff>
      <xdr:row>22</xdr:row>
      <xdr:rowOff>0</xdr:rowOff>
    </xdr:to>
    <xdr:graphicFrame macro="">
      <xdr:nvGraphicFramePr>
        <xdr:cNvPr id="2" name="Chart 1">
          <a:extLst>
            <a:ext uri="{FF2B5EF4-FFF2-40B4-BE49-F238E27FC236}">
              <a16:creationId xmlns:a16="http://schemas.microsoft.com/office/drawing/2014/main" id="{97F76250-EAA4-408D-8F53-8196FCEB8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xdr:colOff>
      <xdr:row>7</xdr:row>
      <xdr:rowOff>22860</xdr:rowOff>
    </xdr:from>
    <xdr:to>
      <xdr:col>24</xdr:col>
      <xdr:colOff>22860</xdr:colOff>
      <xdr:row>22</xdr:row>
      <xdr:rowOff>0</xdr:rowOff>
    </xdr:to>
    <xdr:graphicFrame macro="">
      <xdr:nvGraphicFramePr>
        <xdr:cNvPr id="3" name="Chart 2">
          <a:extLst>
            <a:ext uri="{FF2B5EF4-FFF2-40B4-BE49-F238E27FC236}">
              <a16:creationId xmlns:a16="http://schemas.microsoft.com/office/drawing/2014/main" id="{F48F9D96-0D38-4558-B1E4-89725068A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23</xdr:row>
      <xdr:rowOff>114300</xdr:rowOff>
    </xdr:from>
    <xdr:to>
      <xdr:col>11</xdr:col>
      <xdr:colOff>601980</xdr:colOff>
      <xdr:row>40</xdr:row>
      <xdr:rowOff>7620</xdr:rowOff>
    </xdr:to>
    <xdr:graphicFrame macro="">
      <xdr:nvGraphicFramePr>
        <xdr:cNvPr id="4" name="Chart 3">
          <a:extLst>
            <a:ext uri="{FF2B5EF4-FFF2-40B4-BE49-F238E27FC236}">
              <a16:creationId xmlns:a16="http://schemas.microsoft.com/office/drawing/2014/main" id="{44D5BD97-6F40-47E6-9E74-5A1B97ED8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579120</xdr:colOff>
      <xdr:row>23</xdr:row>
      <xdr:rowOff>167640</xdr:rowOff>
    </xdr:from>
    <xdr:to>
      <xdr:col>22</xdr:col>
      <xdr:colOff>601980</xdr:colOff>
      <xdr:row>40</xdr:row>
      <xdr:rowOff>7620</xdr:rowOff>
    </xdr:to>
    <xdr:graphicFrame macro="">
      <xdr:nvGraphicFramePr>
        <xdr:cNvPr id="5" name="Chart 4">
          <a:extLst>
            <a:ext uri="{FF2B5EF4-FFF2-40B4-BE49-F238E27FC236}">
              <a16:creationId xmlns:a16="http://schemas.microsoft.com/office/drawing/2014/main" id="{4C685256-F6A7-4C64-A0B2-CE596B0CE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22860</xdr:colOff>
      <xdr:row>41</xdr:row>
      <xdr:rowOff>175260</xdr:rowOff>
    </xdr:from>
    <xdr:to>
      <xdr:col>18</xdr:col>
      <xdr:colOff>7620</xdr:colOff>
      <xdr:row>60</xdr:row>
      <xdr:rowOff>0</xdr:rowOff>
    </xdr:to>
    <xdr:graphicFrame macro="">
      <xdr:nvGraphicFramePr>
        <xdr:cNvPr id="6" name="Chart 5">
          <a:extLst>
            <a:ext uri="{FF2B5EF4-FFF2-40B4-BE49-F238E27FC236}">
              <a16:creationId xmlns:a16="http://schemas.microsoft.com/office/drawing/2014/main" id="{36146996-58F4-4F4E-8C82-960C98721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579120</xdr:colOff>
      <xdr:row>0</xdr:row>
      <xdr:rowOff>175261</xdr:rowOff>
    </xdr:from>
    <xdr:ext cx="5114101" cy="900000"/>
    <xdr:sp macro="" textlink="">
      <xdr:nvSpPr>
        <xdr:cNvPr id="7" name="Rectangle 6">
          <a:extLst>
            <a:ext uri="{FF2B5EF4-FFF2-40B4-BE49-F238E27FC236}">
              <a16:creationId xmlns:a16="http://schemas.microsoft.com/office/drawing/2014/main" id="{BCB15D65-60AC-EEC5-64E5-215C734D6518}"/>
            </a:ext>
          </a:extLst>
        </xdr:cNvPr>
        <xdr:cNvSpPr/>
      </xdr:nvSpPr>
      <xdr:spPr>
        <a:xfrm>
          <a:off x="1188720" y="175261"/>
          <a:ext cx="5114101" cy="900000"/>
        </a:xfrm>
        <a:prstGeom prst="rect">
          <a:avLst/>
        </a:prstGeom>
        <a:noFill/>
      </xdr:spPr>
      <xdr:txBody>
        <a:bodyPr wrap="none" lIns="91440" tIns="45720" rIns="91440" bIns="45720">
          <a:noAutofit/>
        </a:bodyPr>
        <a:lstStyle/>
        <a:p>
          <a:pPr algn="ctr"/>
          <a:r>
            <a:rPr lang="en-US" sz="5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SALES DATA ANALYSIS</a:t>
          </a:r>
        </a:p>
      </xdr:txBody>
    </xdr:sp>
    <xdr:clientData/>
  </xdr:oneCellAnchor>
  <xdr:twoCellAnchor editAs="oneCell">
    <xdr:from>
      <xdr:col>4</xdr:col>
      <xdr:colOff>426720</xdr:colOff>
      <xdr:row>50</xdr:row>
      <xdr:rowOff>0</xdr:rowOff>
    </xdr:from>
    <xdr:to>
      <xdr:col>7</xdr:col>
      <xdr:colOff>403860</xdr:colOff>
      <xdr:row>55</xdr:row>
      <xdr:rowOff>152400</xdr:rowOff>
    </xdr:to>
    <mc:AlternateContent xmlns:mc="http://schemas.openxmlformats.org/markup-compatibility/2006">
      <mc:Choice xmlns:a14="http://schemas.microsoft.com/office/drawing/2010/main" Requires="a14">
        <xdr:graphicFrame macro="">
          <xdr:nvGraphicFramePr>
            <xdr:cNvPr id="8" name="Gender 1">
              <a:extLst>
                <a:ext uri="{FF2B5EF4-FFF2-40B4-BE49-F238E27FC236}">
                  <a16:creationId xmlns:a16="http://schemas.microsoft.com/office/drawing/2014/main" id="{B8F90BD5-689F-4E2D-9D61-1D6D1FBD314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865120" y="9144000"/>
              <a:ext cx="180594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xdr:colOff>
      <xdr:row>62</xdr:row>
      <xdr:rowOff>160020</xdr:rowOff>
    </xdr:from>
    <xdr:to>
      <xdr:col>12</xdr:col>
      <xdr:colOff>15240</xdr:colOff>
      <xdr:row>76</xdr:row>
      <xdr:rowOff>66675</xdr:rowOff>
    </xdr:to>
    <mc:AlternateContent xmlns:mc="http://schemas.openxmlformats.org/markup-compatibility/2006">
      <mc:Choice xmlns:a14="http://schemas.microsoft.com/office/drawing/2010/main" Requires="a14">
        <xdr:graphicFrame macro="">
          <xdr:nvGraphicFramePr>
            <xdr:cNvPr id="9" name="Product 1">
              <a:extLst>
                <a:ext uri="{FF2B5EF4-FFF2-40B4-BE49-F238E27FC236}">
                  <a16:creationId xmlns:a16="http://schemas.microsoft.com/office/drawing/2014/main" id="{C151A59D-CD87-423F-A5FF-D68B6959360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501640" y="11498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63</xdr:row>
      <xdr:rowOff>0</xdr:rowOff>
    </xdr:from>
    <xdr:to>
      <xdr:col>15</xdr:col>
      <xdr:colOff>601980</xdr:colOff>
      <xdr:row>76</xdr:row>
      <xdr:rowOff>89535</xdr:rowOff>
    </xdr:to>
    <mc:AlternateContent xmlns:mc="http://schemas.openxmlformats.org/markup-compatibility/2006">
      <mc:Choice xmlns:a14="http://schemas.microsoft.com/office/drawing/2010/main" Requires="a14">
        <xdr:graphicFrame macro="">
          <xdr:nvGraphicFramePr>
            <xdr:cNvPr id="10" name="City 1">
              <a:extLst>
                <a:ext uri="{FF2B5EF4-FFF2-40B4-BE49-F238E27FC236}">
                  <a16:creationId xmlns:a16="http://schemas.microsoft.com/office/drawing/2014/main" id="{3086EA13-04AC-4424-B664-CD3ED714F2B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7917180" y="11521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ndran" refreshedDate="46145.556160763888" createdVersion="8" refreshedVersion="8" minRefreshableVersion="3" recordCount="1000" xr:uid="{93D47E65-F8CF-455C-B0F6-3CF4BF81D744}">
  <cacheSource type="worksheet">
    <worksheetSource name="Table4__2"/>
  </cacheSource>
  <cacheFields count="18">
    <cacheField name="Order ID" numFmtId="0">
      <sharedItems containsSemiMixedTypes="0" containsString="0" containsNumber="1" containsInteger="1" minValue="1001" maxValue="2000"/>
    </cacheField>
    <cacheField name="Customer Name" numFmtId="0">
      <sharedItems/>
    </cacheField>
    <cacheField name="Age_Category" numFmtId="0">
      <sharedItems/>
    </cacheField>
    <cacheField name="Age" numFmtId="0">
      <sharedItems containsSemiMixedTypes="0" containsString="0" containsNumber="1" containsInteger="1" minValue="18" maxValue="50"/>
    </cacheField>
    <cacheField name="Age_group" numFmtId="0">
      <sharedItems/>
    </cacheField>
    <cacheField name="Gender" numFmtId="0">
      <sharedItems count="2">
        <s v="Male"/>
        <s v="Female"/>
      </sharedItems>
    </cacheField>
    <cacheField name="Product" numFmtId="0">
      <sharedItems count="8">
        <s v="Phone"/>
        <s v="Jeans"/>
        <s v="Shirt"/>
        <s v="Tablet"/>
        <s v="Shoes"/>
        <s v="Watch"/>
        <s v="Laptop"/>
        <s v="Bag"/>
      </sharedItems>
    </cacheField>
    <cacheField name="Category_1" numFmtId="0">
      <sharedItems count="3">
        <s v="Electronics"/>
        <s v="Clothing"/>
        <s v="Accessories"/>
      </sharedItems>
    </cacheField>
    <cacheField name="Quantity" numFmtId="0">
      <sharedItems containsSemiMixedTypes="0" containsString="0" containsNumber="1" containsInteger="1" minValue="1" maxValue="5"/>
    </cacheField>
    <cacheField name="Price" numFmtId="165">
      <sharedItems containsSemiMixedTypes="0" containsString="0" containsNumber="1" containsInteger="1" minValue="568" maxValue="49929"/>
    </cacheField>
    <cacheField name="Total_Sales" numFmtId="165">
      <sharedItems containsSemiMixedTypes="0" containsString="0" containsNumber="1" containsInteger="1" minValue="1000" maxValue="226005"/>
    </cacheField>
    <cacheField name="Order_Date" numFmtId="14">
      <sharedItems containsSemiMixedTypes="0" containsNonDate="0" containsDate="1" containsString="0" minDate="2024-01-01T00:00:00" maxDate="2024-03-02T00:00:00" count="61">
        <d v="2024-01-07T00:00:00"/>
        <d v="2024-02-05T00:00:00"/>
        <d v="2024-01-22T00:00:00"/>
        <d v="2024-01-11T00:00:00"/>
        <d v="2024-02-02T00:00:00"/>
        <d v="2024-01-29T00:00:00"/>
        <d v="2024-01-28T00:00:00"/>
        <d v="2024-01-13T00:00:00"/>
        <d v="2024-02-28T00:00:00"/>
        <d v="2024-01-27T00:00:00"/>
        <d v="2024-02-29T00:00:00"/>
        <d v="2024-01-30T00:00:00"/>
        <d v="2024-01-12T00:00:00"/>
        <d v="2024-02-01T00:00:00"/>
        <d v="2024-02-15T00:00:00"/>
        <d v="2024-02-19T00:00:00"/>
        <d v="2024-03-01T00:00:00"/>
        <d v="2024-01-19T00:00:00"/>
        <d v="2024-02-18T00:00:00"/>
        <d v="2024-02-26T00:00:00"/>
        <d v="2024-02-20T00:00:00"/>
        <d v="2024-02-13T00:00:00"/>
        <d v="2024-01-05T00:00:00"/>
        <d v="2024-02-12T00:00:00"/>
        <d v="2024-02-16T00:00:00"/>
        <d v="2024-02-03T00:00:00"/>
        <d v="2024-01-18T00:00:00"/>
        <d v="2024-01-23T00:00:00"/>
        <d v="2024-01-26T00:00:00"/>
        <d v="2024-01-02T00:00:00"/>
        <d v="2024-02-24T00:00:00"/>
        <d v="2024-02-10T00:00:00"/>
        <d v="2024-01-08T00:00:00"/>
        <d v="2024-01-10T00:00:00"/>
        <d v="2024-02-14T00:00:00"/>
        <d v="2024-01-09T00:00:00"/>
        <d v="2024-01-06T00:00:00"/>
        <d v="2024-01-24T00:00:00"/>
        <d v="2024-01-15T00:00:00"/>
        <d v="2024-01-03T00:00:00"/>
        <d v="2024-01-04T00:00:00"/>
        <d v="2024-01-14T00:00:00"/>
        <d v="2024-02-07T00:00:00"/>
        <d v="2024-01-25T00:00:00"/>
        <d v="2024-02-17T00:00:00"/>
        <d v="2024-01-01T00:00:00"/>
        <d v="2024-01-21T00:00:00"/>
        <d v="2024-02-27T00:00:00"/>
        <d v="2024-02-06T00:00:00"/>
        <d v="2024-02-04T00:00:00"/>
        <d v="2024-01-16T00:00:00"/>
        <d v="2024-01-17T00:00:00"/>
        <d v="2024-02-11T00:00:00"/>
        <d v="2024-01-20T00:00:00"/>
        <d v="2024-02-21T00:00:00"/>
        <d v="2024-02-08T00:00:00"/>
        <d v="2024-02-22T00:00:00"/>
        <d v="2024-02-09T00:00:00"/>
        <d v="2024-01-31T00:00:00"/>
        <d v="2024-02-23T00:00:00"/>
        <d v="2024-02-25T00:00:00"/>
      </sharedItems>
      <fieldGroup par="17"/>
    </cacheField>
    <cacheField name="Sales Category2" numFmtId="165">
      <sharedItems count="3">
        <s v="High"/>
        <s v="Low"/>
        <s v="Medium"/>
      </sharedItems>
    </cacheField>
    <cacheField name="City" numFmtId="0">
      <sharedItems count="5">
        <s v="HYDERABAD"/>
        <s v="DELHI"/>
        <s v="CHENNAI"/>
        <s v="MUMBAI"/>
        <s v="BANGALORE"/>
      </sharedItems>
    </cacheField>
    <cacheField name="Month" numFmtId="0">
      <sharedItems containsSemiMixedTypes="0" containsString="0" containsNumber="1" containsInteger="1" minValue="1" maxValue="3" count="3">
        <n v="1"/>
        <n v="2"/>
        <n v="3"/>
      </sharedItems>
    </cacheField>
    <cacheField name="Year" numFmtId="0">
      <sharedItems containsSemiMixedTypes="0" containsString="0" containsNumber="1" containsInteger="1" minValue="2024" maxValue="2024"/>
    </cacheField>
    <cacheField name="Months (Order_Date)" numFmtId="0" databaseField="0">
      <fieldGroup base="11">
        <rangePr groupBy="months" startDate="2024-01-01T00:00:00" endDate="2024-03-02T00:00:00"/>
        <groupItems count="14">
          <s v="&lt;01-01-2024"/>
          <s v="Jan"/>
          <s v="Feb"/>
          <s v="Mar"/>
          <s v="Apr"/>
          <s v="May"/>
          <s v="Jun"/>
          <s v="Jul"/>
          <s v="Aug"/>
          <s v="Sep"/>
          <s v="Oct"/>
          <s v="Nov"/>
          <s v="Dec"/>
          <s v="&gt;02-03-2024"/>
        </groupItems>
      </fieldGroup>
    </cacheField>
    <cacheField name="Years (Order_Date)" numFmtId="0" databaseField="0">
      <fieldGroup base="11">
        <rangePr groupBy="years" startDate="2024-01-01T00:00:00" endDate="2024-03-02T00:00:00"/>
        <groupItems count="3">
          <s v="&lt;01-01-2024"/>
          <s v="2024"/>
          <s v="&gt;02-03-2024"/>
        </groupItems>
      </fieldGroup>
    </cacheField>
  </cacheFields>
  <extLst>
    <ext xmlns:x14="http://schemas.microsoft.com/office/spreadsheetml/2009/9/main" uri="{725AE2AE-9491-48be-B2B4-4EB974FC3084}">
      <x14:pivotCacheDefinition pivotCacheId="512644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s v="Ravi"/>
    <s v="Senior"/>
    <n v="50"/>
    <s v="31-50"/>
    <x v="0"/>
    <x v="0"/>
    <x v="0"/>
    <n v="2"/>
    <n v="13960"/>
    <n v="27920"/>
    <x v="0"/>
    <x v="0"/>
    <x v="0"/>
    <x v="0"/>
    <n v="2024"/>
  </r>
  <r>
    <n v="1002"/>
    <s v="Sneha"/>
    <s v="Adult"/>
    <n v="34"/>
    <s v="31-50"/>
    <x v="1"/>
    <x v="1"/>
    <x v="1"/>
    <n v="3"/>
    <n v="6733"/>
    <n v="20199"/>
    <x v="1"/>
    <x v="0"/>
    <x v="1"/>
    <x v="1"/>
    <n v="2024"/>
  </r>
  <r>
    <n v="1003"/>
    <s v="Ajay"/>
    <s v="Adult"/>
    <n v="30"/>
    <s v="21-30"/>
    <x v="1"/>
    <x v="2"/>
    <x v="1"/>
    <n v="2"/>
    <n v="49737"/>
    <n v="99474"/>
    <x v="2"/>
    <x v="0"/>
    <x v="1"/>
    <x v="0"/>
    <n v="2024"/>
  </r>
  <r>
    <n v="1004"/>
    <s v="Arun"/>
    <s v="Senior"/>
    <n v="40"/>
    <s v="31-50"/>
    <x v="0"/>
    <x v="3"/>
    <x v="0"/>
    <n v="2"/>
    <n v="1000"/>
    <n v="2000"/>
    <x v="3"/>
    <x v="1"/>
    <x v="2"/>
    <x v="0"/>
    <n v="2024"/>
  </r>
  <r>
    <n v="1005"/>
    <s v="Sneha"/>
    <s v="Senior"/>
    <n v="45"/>
    <s v="31-50"/>
    <x v="1"/>
    <x v="3"/>
    <x v="0"/>
    <n v="4"/>
    <n v="1000"/>
    <n v="4000"/>
    <x v="4"/>
    <x v="1"/>
    <x v="2"/>
    <x v="1"/>
    <n v="2024"/>
  </r>
  <r>
    <n v="1006"/>
    <s v="Priya"/>
    <s v="Adult"/>
    <n v="30"/>
    <s v="21-30"/>
    <x v="1"/>
    <x v="3"/>
    <x v="0"/>
    <n v="2"/>
    <n v="1000"/>
    <n v="2000"/>
    <x v="5"/>
    <x v="1"/>
    <x v="2"/>
    <x v="0"/>
    <n v="2024"/>
  </r>
  <r>
    <n v="1007"/>
    <s v="Anita"/>
    <s v="Adult"/>
    <n v="32"/>
    <s v="31-50"/>
    <x v="0"/>
    <x v="3"/>
    <x v="0"/>
    <n v="2"/>
    <n v="1000"/>
    <n v="2000"/>
    <x v="6"/>
    <x v="1"/>
    <x v="2"/>
    <x v="0"/>
    <n v="2024"/>
  </r>
  <r>
    <n v="1008"/>
    <s v="Meena"/>
    <s v="Adult"/>
    <n v="30"/>
    <s v="21-30"/>
    <x v="1"/>
    <x v="3"/>
    <x v="0"/>
    <n v="3"/>
    <n v="2505"/>
    <n v="7515"/>
    <x v="7"/>
    <x v="2"/>
    <x v="0"/>
    <x v="0"/>
    <n v="2024"/>
  </r>
  <r>
    <n v="1009"/>
    <s v="Anita"/>
    <s v="Adult"/>
    <n v="30"/>
    <s v="21-30"/>
    <x v="0"/>
    <x v="4"/>
    <x v="2"/>
    <n v="5"/>
    <n v="15644"/>
    <n v="78220"/>
    <x v="8"/>
    <x v="0"/>
    <x v="3"/>
    <x v="1"/>
    <n v="2024"/>
  </r>
  <r>
    <n v="1010"/>
    <s v="Anita"/>
    <s v="Adult"/>
    <n v="28"/>
    <s v="21-30"/>
    <x v="1"/>
    <x v="5"/>
    <x v="2"/>
    <n v="2"/>
    <n v="5945"/>
    <n v="11890"/>
    <x v="7"/>
    <x v="0"/>
    <x v="4"/>
    <x v="0"/>
    <n v="2024"/>
  </r>
  <r>
    <n v="1011"/>
    <s v="Neha"/>
    <s v="Adult"/>
    <n v="30"/>
    <s v="21-30"/>
    <x v="0"/>
    <x v="4"/>
    <x v="2"/>
    <n v="2"/>
    <n v="1000"/>
    <n v="2000"/>
    <x v="9"/>
    <x v="1"/>
    <x v="3"/>
    <x v="0"/>
    <n v="2024"/>
  </r>
  <r>
    <n v="1012"/>
    <s v="Surya"/>
    <s v="Senior"/>
    <n v="48"/>
    <s v="31-50"/>
    <x v="1"/>
    <x v="3"/>
    <x v="0"/>
    <n v="2"/>
    <n v="1000"/>
    <n v="2000"/>
    <x v="10"/>
    <x v="1"/>
    <x v="2"/>
    <x v="1"/>
    <n v="2024"/>
  </r>
  <r>
    <n v="1013"/>
    <s v="Surya"/>
    <s v="Adult"/>
    <n v="30"/>
    <s v="21-30"/>
    <x v="0"/>
    <x v="1"/>
    <x v="1"/>
    <n v="2"/>
    <n v="1000"/>
    <n v="2000"/>
    <x v="11"/>
    <x v="1"/>
    <x v="4"/>
    <x v="0"/>
    <n v="2024"/>
  </r>
  <r>
    <n v="1014"/>
    <s v="Arun"/>
    <s v="Adult"/>
    <n v="30"/>
    <s v="21-30"/>
    <x v="0"/>
    <x v="6"/>
    <x v="0"/>
    <n v="2"/>
    <n v="1000"/>
    <n v="2000"/>
    <x v="12"/>
    <x v="1"/>
    <x v="1"/>
    <x v="0"/>
    <n v="2024"/>
  </r>
  <r>
    <n v="1015"/>
    <s v="Sneha"/>
    <s v="Senior"/>
    <n v="48"/>
    <s v="31-50"/>
    <x v="0"/>
    <x v="0"/>
    <x v="0"/>
    <n v="2"/>
    <n v="1000"/>
    <n v="2000"/>
    <x v="11"/>
    <x v="1"/>
    <x v="0"/>
    <x v="0"/>
    <n v="2024"/>
  </r>
  <r>
    <n v="1016"/>
    <s v="Ramesh"/>
    <s v="Adult"/>
    <n v="30"/>
    <s v="21-30"/>
    <x v="1"/>
    <x v="7"/>
    <x v="2"/>
    <n v="2"/>
    <n v="1000"/>
    <n v="2000"/>
    <x v="10"/>
    <x v="1"/>
    <x v="2"/>
    <x v="1"/>
    <n v="2024"/>
  </r>
  <r>
    <n v="1017"/>
    <s v="Manoj"/>
    <s v="Adult"/>
    <n v="30"/>
    <s v="21-30"/>
    <x v="1"/>
    <x v="7"/>
    <x v="2"/>
    <n v="1"/>
    <n v="34599"/>
    <n v="34599"/>
    <x v="13"/>
    <x v="0"/>
    <x v="4"/>
    <x v="1"/>
    <n v="2024"/>
  </r>
  <r>
    <n v="1018"/>
    <s v="Divya"/>
    <s v="Adult"/>
    <n v="26"/>
    <s v="21-30"/>
    <x v="0"/>
    <x v="4"/>
    <x v="2"/>
    <n v="2"/>
    <n v="1000"/>
    <n v="2000"/>
    <x v="9"/>
    <x v="1"/>
    <x v="1"/>
    <x v="0"/>
    <n v="2024"/>
  </r>
  <r>
    <n v="1019"/>
    <s v="Priya"/>
    <s v="Adult"/>
    <n v="30"/>
    <s v="21-30"/>
    <x v="0"/>
    <x v="1"/>
    <x v="1"/>
    <n v="1"/>
    <n v="1000"/>
    <n v="1000"/>
    <x v="14"/>
    <x v="1"/>
    <x v="3"/>
    <x v="1"/>
    <n v="2024"/>
  </r>
  <r>
    <n v="1020"/>
    <s v="Vikram"/>
    <s v="Adult"/>
    <n v="30"/>
    <s v="21-30"/>
    <x v="1"/>
    <x v="1"/>
    <x v="1"/>
    <n v="2"/>
    <n v="1000"/>
    <n v="2000"/>
    <x v="15"/>
    <x v="1"/>
    <x v="1"/>
    <x v="1"/>
    <n v="2024"/>
  </r>
  <r>
    <n v="1021"/>
    <s v="Lakshmi"/>
    <s v="Teen"/>
    <n v="19"/>
    <s v="0-20"/>
    <x v="0"/>
    <x v="2"/>
    <x v="1"/>
    <n v="2"/>
    <n v="1000"/>
    <n v="2000"/>
    <x v="16"/>
    <x v="1"/>
    <x v="4"/>
    <x v="2"/>
    <n v="2024"/>
  </r>
  <r>
    <n v="1022"/>
    <s v="Sneha"/>
    <s v="Adult"/>
    <n v="28"/>
    <s v="21-30"/>
    <x v="1"/>
    <x v="5"/>
    <x v="2"/>
    <n v="2"/>
    <n v="1000"/>
    <n v="2000"/>
    <x v="2"/>
    <x v="1"/>
    <x v="4"/>
    <x v="0"/>
    <n v="2024"/>
  </r>
  <r>
    <n v="1023"/>
    <s v="Ravi"/>
    <s v="Senior"/>
    <n v="43"/>
    <s v="31-50"/>
    <x v="0"/>
    <x v="1"/>
    <x v="1"/>
    <n v="2"/>
    <n v="1000"/>
    <n v="2000"/>
    <x v="17"/>
    <x v="1"/>
    <x v="3"/>
    <x v="0"/>
    <n v="2024"/>
  </r>
  <r>
    <n v="1024"/>
    <s v="Asha"/>
    <s v="Senior"/>
    <n v="46"/>
    <s v="31-50"/>
    <x v="1"/>
    <x v="6"/>
    <x v="0"/>
    <n v="2"/>
    <n v="1000"/>
    <n v="2000"/>
    <x v="4"/>
    <x v="1"/>
    <x v="1"/>
    <x v="1"/>
    <n v="2024"/>
  </r>
  <r>
    <n v="1025"/>
    <s v="Manoj"/>
    <s v="Senior"/>
    <n v="45"/>
    <s v="31-50"/>
    <x v="1"/>
    <x v="1"/>
    <x v="1"/>
    <n v="5"/>
    <n v="1000"/>
    <n v="5000"/>
    <x v="9"/>
    <x v="1"/>
    <x v="1"/>
    <x v="0"/>
    <n v="2024"/>
  </r>
  <r>
    <n v="1026"/>
    <s v="Kiran"/>
    <s v="Adult"/>
    <n v="30"/>
    <s v="21-30"/>
    <x v="1"/>
    <x v="3"/>
    <x v="0"/>
    <n v="1"/>
    <n v="16677"/>
    <n v="16677"/>
    <x v="18"/>
    <x v="0"/>
    <x v="3"/>
    <x v="1"/>
    <n v="2024"/>
  </r>
  <r>
    <n v="1027"/>
    <s v="Ravi"/>
    <s v="Senior"/>
    <n v="47"/>
    <s v="31-50"/>
    <x v="0"/>
    <x v="6"/>
    <x v="0"/>
    <n v="2"/>
    <n v="1000"/>
    <n v="2000"/>
    <x v="19"/>
    <x v="1"/>
    <x v="2"/>
    <x v="1"/>
    <n v="2024"/>
  </r>
  <r>
    <n v="1028"/>
    <s v="Manoj"/>
    <s v="Adult"/>
    <n v="29"/>
    <s v="21-30"/>
    <x v="0"/>
    <x v="7"/>
    <x v="2"/>
    <n v="2"/>
    <n v="49227"/>
    <n v="98454"/>
    <x v="20"/>
    <x v="0"/>
    <x v="0"/>
    <x v="1"/>
    <n v="2024"/>
  </r>
  <r>
    <n v="1029"/>
    <s v="Pooja"/>
    <s v="Adult"/>
    <n v="34"/>
    <s v="31-50"/>
    <x v="1"/>
    <x v="6"/>
    <x v="0"/>
    <n v="3"/>
    <n v="1000"/>
    <n v="3000"/>
    <x v="20"/>
    <x v="1"/>
    <x v="3"/>
    <x v="1"/>
    <n v="2024"/>
  </r>
  <r>
    <n v="1030"/>
    <s v="Arun"/>
    <s v="Senior"/>
    <n v="45"/>
    <s v="31-50"/>
    <x v="0"/>
    <x v="2"/>
    <x v="1"/>
    <n v="3"/>
    <n v="3754"/>
    <n v="11262"/>
    <x v="5"/>
    <x v="0"/>
    <x v="4"/>
    <x v="0"/>
    <n v="2024"/>
  </r>
  <r>
    <n v="1031"/>
    <s v="Lakshmi"/>
    <s v="Adult"/>
    <n v="30"/>
    <s v="21-30"/>
    <x v="1"/>
    <x v="3"/>
    <x v="0"/>
    <n v="5"/>
    <n v="36400"/>
    <n v="182000"/>
    <x v="21"/>
    <x v="0"/>
    <x v="4"/>
    <x v="1"/>
    <n v="2024"/>
  </r>
  <r>
    <n v="1032"/>
    <s v="Pooja"/>
    <s v="Adult"/>
    <n v="30"/>
    <s v="21-30"/>
    <x v="0"/>
    <x v="0"/>
    <x v="0"/>
    <n v="1"/>
    <n v="1000"/>
    <n v="1000"/>
    <x v="7"/>
    <x v="1"/>
    <x v="0"/>
    <x v="0"/>
    <n v="2024"/>
  </r>
  <r>
    <n v="1033"/>
    <s v="Manoj"/>
    <s v="Adult"/>
    <n v="30"/>
    <s v="21-30"/>
    <x v="1"/>
    <x v="2"/>
    <x v="1"/>
    <n v="1"/>
    <n v="1000"/>
    <n v="1000"/>
    <x v="22"/>
    <x v="1"/>
    <x v="3"/>
    <x v="0"/>
    <n v="2024"/>
  </r>
  <r>
    <n v="1034"/>
    <s v="Arun"/>
    <s v="Adult"/>
    <n v="30"/>
    <s v="21-30"/>
    <x v="0"/>
    <x v="2"/>
    <x v="1"/>
    <n v="2"/>
    <n v="29455"/>
    <n v="58910"/>
    <x v="23"/>
    <x v="0"/>
    <x v="4"/>
    <x v="1"/>
    <n v="2024"/>
  </r>
  <r>
    <n v="1035"/>
    <s v="Karthik"/>
    <s v="Adult"/>
    <n v="30"/>
    <s v="21-30"/>
    <x v="0"/>
    <x v="5"/>
    <x v="2"/>
    <n v="5"/>
    <n v="1000"/>
    <n v="5000"/>
    <x v="24"/>
    <x v="1"/>
    <x v="1"/>
    <x v="1"/>
    <n v="2024"/>
  </r>
  <r>
    <n v="1036"/>
    <s v="Asha"/>
    <s v="Adult"/>
    <n v="30"/>
    <s v="21-30"/>
    <x v="0"/>
    <x v="4"/>
    <x v="2"/>
    <n v="4"/>
    <n v="1000"/>
    <n v="4000"/>
    <x v="25"/>
    <x v="1"/>
    <x v="4"/>
    <x v="1"/>
    <n v="2024"/>
  </r>
  <r>
    <n v="1037"/>
    <s v="Vikram"/>
    <s v="Adult"/>
    <n v="37"/>
    <s v="31-50"/>
    <x v="0"/>
    <x v="7"/>
    <x v="2"/>
    <n v="2"/>
    <n v="1000"/>
    <n v="2000"/>
    <x v="3"/>
    <x v="1"/>
    <x v="3"/>
    <x v="0"/>
    <n v="2024"/>
  </r>
  <r>
    <n v="1038"/>
    <s v="Vikram"/>
    <s v="Senior"/>
    <n v="40"/>
    <s v="31-50"/>
    <x v="1"/>
    <x v="0"/>
    <x v="0"/>
    <n v="2"/>
    <n v="35763"/>
    <n v="71526"/>
    <x v="26"/>
    <x v="0"/>
    <x v="3"/>
    <x v="0"/>
    <n v="2024"/>
  </r>
  <r>
    <n v="1039"/>
    <s v="Karthik"/>
    <s v="Senior"/>
    <n v="47"/>
    <s v="31-50"/>
    <x v="1"/>
    <x v="6"/>
    <x v="0"/>
    <n v="5"/>
    <n v="1000"/>
    <n v="5000"/>
    <x v="27"/>
    <x v="1"/>
    <x v="1"/>
    <x v="0"/>
    <n v="2024"/>
  </r>
  <r>
    <n v="1040"/>
    <s v="Sneha"/>
    <s v="Adult"/>
    <n v="30"/>
    <s v="21-30"/>
    <x v="0"/>
    <x v="2"/>
    <x v="1"/>
    <n v="2"/>
    <n v="1000"/>
    <n v="2000"/>
    <x v="28"/>
    <x v="1"/>
    <x v="3"/>
    <x v="0"/>
    <n v="2024"/>
  </r>
  <r>
    <n v="1041"/>
    <s v="Asha"/>
    <s v="Adult"/>
    <n v="28"/>
    <s v="21-30"/>
    <x v="1"/>
    <x v="4"/>
    <x v="2"/>
    <n v="4"/>
    <n v="1000"/>
    <n v="4000"/>
    <x v="29"/>
    <x v="1"/>
    <x v="4"/>
    <x v="0"/>
    <n v="2024"/>
  </r>
  <r>
    <n v="1042"/>
    <s v="Arun"/>
    <s v="Adult"/>
    <n v="30"/>
    <s v="21-30"/>
    <x v="0"/>
    <x v="2"/>
    <x v="1"/>
    <n v="2"/>
    <n v="9264"/>
    <n v="18528"/>
    <x v="19"/>
    <x v="0"/>
    <x v="2"/>
    <x v="1"/>
    <n v="2024"/>
  </r>
  <r>
    <n v="1043"/>
    <s v="Lakshmi"/>
    <s v="Adult"/>
    <n v="30"/>
    <s v="21-30"/>
    <x v="1"/>
    <x v="0"/>
    <x v="0"/>
    <n v="5"/>
    <n v="1557"/>
    <n v="7785"/>
    <x v="30"/>
    <x v="2"/>
    <x v="3"/>
    <x v="1"/>
    <n v="2024"/>
  </r>
  <r>
    <n v="1044"/>
    <s v="Priya"/>
    <s v="Adult"/>
    <n v="30"/>
    <s v="21-30"/>
    <x v="0"/>
    <x v="3"/>
    <x v="0"/>
    <n v="2"/>
    <n v="49020"/>
    <n v="98040"/>
    <x v="31"/>
    <x v="0"/>
    <x v="3"/>
    <x v="1"/>
    <n v="2024"/>
  </r>
  <r>
    <n v="1045"/>
    <s v="Sneha"/>
    <s v="Senior"/>
    <n v="46"/>
    <s v="31-50"/>
    <x v="0"/>
    <x v="6"/>
    <x v="0"/>
    <n v="3"/>
    <n v="1000"/>
    <n v="3000"/>
    <x v="26"/>
    <x v="1"/>
    <x v="4"/>
    <x v="0"/>
    <n v="2024"/>
  </r>
  <r>
    <n v="1046"/>
    <s v="Manoj"/>
    <s v="Adult"/>
    <n v="30"/>
    <s v="21-30"/>
    <x v="1"/>
    <x v="6"/>
    <x v="0"/>
    <n v="2"/>
    <n v="1000"/>
    <n v="2000"/>
    <x v="0"/>
    <x v="1"/>
    <x v="3"/>
    <x v="0"/>
    <n v="2024"/>
  </r>
  <r>
    <n v="1047"/>
    <s v="Karthik"/>
    <s v="Adult"/>
    <n v="30"/>
    <s v="21-30"/>
    <x v="1"/>
    <x v="6"/>
    <x v="0"/>
    <n v="2"/>
    <n v="1000"/>
    <n v="2000"/>
    <x v="0"/>
    <x v="1"/>
    <x v="1"/>
    <x v="0"/>
    <n v="2024"/>
  </r>
  <r>
    <n v="1048"/>
    <s v="Surya"/>
    <s v="Adult"/>
    <n v="25"/>
    <s v="21-30"/>
    <x v="1"/>
    <x v="5"/>
    <x v="2"/>
    <n v="2"/>
    <n v="18392"/>
    <n v="36784"/>
    <x v="3"/>
    <x v="0"/>
    <x v="0"/>
    <x v="0"/>
    <n v="2024"/>
  </r>
  <r>
    <n v="1049"/>
    <s v="Vikram"/>
    <s v="Adult"/>
    <n v="30"/>
    <s v="21-30"/>
    <x v="1"/>
    <x v="1"/>
    <x v="1"/>
    <n v="2"/>
    <n v="1000"/>
    <n v="2000"/>
    <x v="32"/>
    <x v="1"/>
    <x v="1"/>
    <x v="0"/>
    <n v="2024"/>
  </r>
  <r>
    <n v="1050"/>
    <s v="Meena"/>
    <s v="Adult"/>
    <n v="30"/>
    <s v="21-30"/>
    <x v="0"/>
    <x v="0"/>
    <x v="0"/>
    <n v="2"/>
    <n v="1000"/>
    <n v="2000"/>
    <x v="33"/>
    <x v="1"/>
    <x v="2"/>
    <x v="0"/>
    <n v="2024"/>
  </r>
  <r>
    <n v="1051"/>
    <s v="Manoj"/>
    <s v="Adult"/>
    <n v="24"/>
    <s v="21-30"/>
    <x v="0"/>
    <x v="2"/>
    <x v="1"/>
    <n v="2"/>
    <n v="1000"/>
    <n v="2000"/>
    <x v="34"/>
    <x v="1"/>
    <x v="1"/>
    <x v="1"/>
    <n v="2024"/>
  </r>
  <r>
    <n v="1052"/>
    <s v="Surya"/>
    <s v="Senior"/>
    <n v="47"/>
    <s v="31-50"/>
    <x v="1"/>
    <x v="4"/>
    <x v="2"/>
    <n v="2"/>
    <n v="1000"/>
    <n v="2000"/>
    <x v="35"/>
    <x v="1"/>
    <x v="0"/>
    <x v="0"/>
    <n v="2024"/>
  </r>
  <r>
    <n v="1053"/>
    <s v="Meena"/>
    <s v="Adult"/>
    <n v="27"/>
    <s v="21-30"/>
    <x v="1"/>
    <x v="3"/>
    <x v="0"/>
    <n v="2"/>
    <n v="41672"/>
    <n v="83344"/>
    <x v="31"/>
    <x v="0"/>
    <x v="3"/>
    <x v="1"/>
    <n v="2024"/>
  </r>
  <r>
    <n v="1054"/>
    <s v="Lakshmi"/>
    <s v="Adult"/>
    <n v="30"/>
    <s v="21-30"/>
    <x v="1"/>
    <x v="6"/>
    <x v="0"/>
    <n v="4"/>
    <n v="1000"/>
    <n v="4000"/>
    <x v="21"/>
    <x v="1"/>
    <x v="4"/>
    <x v="1"/>
    <n v="2024"/>
  </r>
  <r>
    <n v="1055"/>
    <s v="Arun"/>
    <s v="Adult"/>
    <n v="30"/>
    <s v="21-30"/>
    <x v="1"/>
    <x v="7"/>
    <x v="2"/>
    <n v="1"/>
    <n v="1000"/>
    <n v="1000"/>
    <x v="36"/>
    <x v="1"/>
    <x v="2"/>
    <x v="0"/>
    <n v="2024"/>
  </r>
  <r>
    <n v="1056"/>
    <s v="Neha"/>
    <s v="Adult"/>
    <n v="23"/>
    <s v="21-30"/>
    <x v="0"/>
    <x v="2"/>
    <x v="1"/>
    <n v="2"/>
    <n v="1000"/>
    <n v="2000"/>
    <x v="24"/>
    <x v="1"/>
    <x v="0"/>
    <x v="1"/>
    <n v="2024"/>
  </r>
  <r>
    <n v="1057"/>
    <s v="Meena"/>
    <s v="Adult"/>
    <n v="30"/>
    <s v="21-30"/>
    <x v="0"/>
    <x v="2"/>
    <x v="1"/>
    <n v="3"/>
    <n v="1000"/>
    <n v="3000"/>
    <x v="30"/>
    <x v="1"/>
    <x v="2"/>
    <x v="1"/>
    <n v="2024"/>
  </r>
  <r>
    <n v="1058"/>
    <s v="Neha"/>
    <s v="Adult"/>
    <n v="32"/>
    <s v="31-50"/>
    <x v="0"/>
    <x v="7"/>
    <x v="2"/>
    <n v="1"/>
    <n v="41173"/>
    <n v="41173"/>
    <x v="37"/>
    <x v="0"/>
    <x v="3"/>
    <x v="0"/>
    <n v="2024"/>
  </r>
  <r>
    <n v="1059"/>
    <s v="Anita"/>
    <s v="Adult"/>
    <n v="20"/>
    <s v="0-20"/>
    <x v="0"/>
    <x v="0"/>
    <x v="0"/>
    <n v="5"/>
    <n v="662"/>
    <n v="3310"/>
    <x v="17"/>
    <x v="1"/>
    <x v="1"/>
    <x v="0"/>
    <n v="2024"/>
  </r>
  <r>
    <n v="1060"/>
    <s v="Divya"/>
    <s v="Adult"/>
    <n v="30"/>
    <s v="21-30"/>
    <x v="0"/>
    <x v="6"/>
    <x v="0"/>
    <n v="3"/>
    <n v="1000"/>
    <n v="3000"/>
    <x v="3"/>
    <x v="1"/>
    <x v="0"/>
    <x v="0"/>
    <n v="2024"/>
  </r>
  <r>
    <n v="1061"/>
    <s v="Lakshmi"/>
    <s v="Adult"/>
    <n v="30"/>
    <s v="21-30"/>
    <x v="0"/>
    <x v="4"/>
    <x v="2"/>
    <n v="2"/>
    <n v="1000"/>
    <n v="2000"/>
    <x v="38"/>
    <x v="1"/>
    <x v="3"/>
    <x v="0"/>
    <n v="2024"/>
  </r>
  <r>
    <n v="1062"/>
    <s v="Ajay"/>
    <s v="Adult"/>
    <n v="36"/>
    <s v="31-50"/>
    <x v="0"/>
    <x v="2"/>
    <x v="1"/>
    <n v="2"/>
    <n v="1000"/>
    <n v="2000"/>
    <x v="39"/>
    <x v="1"/>
    <x v="1"/>
    <x v="0"/>
    <n v="2024"/>
  </r>
  <r>
    <n v="1063"/>
    <s v="Asha"/>
    <s v="Senior"/>
    <n v="45"/>
    <s v="31-50"/>
    <x v="0"/>
    <x v="3"/>
    <x v="0"/>
    <n v="2"/>
    <n v="23027"/>
    <n v="46054"/>
    <x v="40"/>
    <x v="0"/>
    <x v="2"/>
    <x v="0"/>
    <n v="2024"/>
  </r>
  <r>
    <n v="1064"/>
    <s v="Pooja"/>
    <s v="Senior"/>
    <n v="41"/>
    <s v="31-50"/>
    <x v="0"/>
    <x v="3"/>
    <x v="0"/>
    <n v="2"/>
    <n v="18041"/>
    <n v="36082"/>
    <x v="15"/>
    <x v="0"/>
    <x v="3"/>
    <x v="1"/>
    <n v="2024"/>
  </r>
  <r>
    <n v="1065"/>
    <s v="Kiran"/>
    <s v="Adult"/>
    <n v="25"/>
    <s v="21-30"/>
    <x v="1"/>
    <x v="0"/>
    <x v="0"/>
    <n v="4"/>
    <n v="1000"/>
    <n v="4000"/>
    <x v="8"/>
    <x v="1"/>
    <x v="1"/>
    <x v="1"/>
    <n v="2024"/>
  </r>
  <r>
    <n v="1066"/>
    <s v="Sneha"/>
    <s v="Adult"/>
    <n v="30"/>
    <s v="21-30"/>
    <x v="0"/>
    <x v="6"/>
    <x v="0"/>
    <n v="4"/>
    <n v="1000"/>
    <n v="4000"/>
    <x v="38"/>
    <x v="1"/>
    <x v="2"/>
    <x v="0"/>
    <n v="2024"/>
  </r>
  <r>
    <n v="1067"/>
    <s v="Ravi"/>
    <s v="Senior"/>
    <n v="40"/>
    <s v="31-50"/>
    <x v="0"/>
    <x v="3"/>
    <x v="0"/>
    <n v="2"/>
    <n v="1000"/>
    <n v="2000"/>
    <x v="38"/>
    <x v="1"/>
    <x v="0"/>
    <x v="0"/>
    <n v="2024"/>
  </r>
  <r>
    <n v="1068"/>
    <s v="Neha"/>
    <s v="Senior"/>
    <n v="43"/>
    <s v="31-50"/>
    <x v="0"/>
    <x v="7"/>
    <x v="2"/>
    <n v="2"/>
    <n v="41430"/>
    <n v="82860"/>
    <x v="16"/>
    <x v="0"/>
    <x v="1"/>
    <x v="2"/>
    <n v="2024"/>
  </r>
  <r>
    <n v="1069"/>
    <s v="Priya"/>
    <s v="Adult"/>
    <n v="38"/>
    <s v="31-50"/>
    <x v="0"/>
    <x v="3"/>
    <x v="0"/>
    <n v="3"/>
    <n v="1000"/>
    <n v="3000"/>
    <x v="37"/>
    <x v="1"/>
    <x v="2"/>
    <x v="0"/>
    <n v="2024"/>
  </r>
  <r>
    <n v="1070"/>
    <s v="Divya"/>
    <s v="Adult"/>
    <n v="23"/>
    <s v="21-30"/>
    <x v="0"/>
    <x v="0"/>
    <x v="0"/>
    <n v="3"/>
    <n v="1000"/>
    <n v="3000"/>
    <x v="18"/>
    <x v="1"/>
    <x v="0"/>
    <x v="1"/>
    <n v="2024"/>
  </r>
  <r>
    <n v="1071"/>
    <s v="Meena"/>
    <s v="Adult"/>
    <n v="30"/>
    <s v="21-30"/>
    <x v="0"/>
    <x v="6"/>
    <x v="0"/>
    <n v="2"/>
    <n v="22529"/>
    <n v="45058"/>
    <x v="7"/>
    <x v="0"/>
    <x v="4"/>
    <x v="0"/>
    <n v="2024"/>
  </r>
  <r>
    <n v="1072"/>
    <s v="Kiran"/>
    <s v="Adult"/>
    <n v="30"/>
    <s v="21-30"/>
    <x v="0"/>
    <x v="3"/>
    <x v="0"/>
    <n v="5"/>
    <n v="5188"/>
    <n v="25940"/>
    <x v="41"/>
    <x v="0"/>
    <x v="1"/>
    <x v="0"/>
    <n v="2024"/>
  </r>
  <r>
    <n v="1073"/>
    <s v="Ravi"/>
    <s v="Adult"/>
    <n v="30"/>
    <s v="21-30"/>
    <x v="0"/>
    <x v="6"/>
    <x v="0"/>
    <n v="2"/>
    <n v="1000"/>
    <n v="2000"/>
    <x v="26"/>
    <x v="1"/>
    <x v="4"/>
    <x v="0"/>
    <n v="2024"/>
  </r>
  <r>
    <n v="1074"/>
    <s v="Ramesh"/>
    <s v="Adult"/>
    <n v="30"/>
    <s v="21-30"/>
    <x v="0"/>
    <x v="3"/>
    <x v="0"/>
    <n v="4"/>
    <n v="1000"/>
    <n v="4000"/>
    <x v="3"/>
    <x v="1"/>
    <x v="2"/>
    <x v="0"/>
    <n v="2024"/>
  </r>
  <r>
    <n v="1075"/>
    <s v="Pooja"/>
    <s v="Adult"/>
    <n v="30"/>
    <s v="21-30"/>
    <x v="0"/>
    <x v="3"/>
    <x v="0"/>
    <n v="2"/>
    <n v="1000"/>
    <n v="2000"/>
    <x v="3"/>
    <x v="1"/>
    <x v="4"/>
    <x v="0"/>
    <n v="2024"/>
  </r>
  <r>
    <n v="1076"/>
    <s v="Arun"/>
    <s v="Adult"/>
    <n v="30"/>
    <s v="21-30"/>
    <x v="0"/>
    <x v="1"/>
    <x v="1"/>
    <n v="2"/>
    <n v="1000"/>
    <n v="2000"/>
    <x v="42"/>
    <x v="1"/>
    <x v="3"/>
    <x v="1"/>
    <n v="2024"/>
  </r>
  <r>
    <n v="1077"/>
    <s v="Priya"/>
    <s v="Adult"/>
    <n v="30"/>
    <s v="21-30"/>
    <x v="0"/>
    <x v="2"/>
    <x v="1"/>
    <n v="2"/>
    <n v="1000"/>
    <n v="2000"/>
    <x v="42"/>
    <x v="1"/>
    <x v="3"/>
    <x v="1"/>
    <n v="2024"/>
  </r>
  <r>
    <n v="1078"/>
    <s v="Arun"/>
    <s v="Adult"/>
    <n v="30"/>
    <s v="21-30"/>
    <x v="1"/>
    <x v="0"/>
    <x v="0"/>
    <n v="5"/>
    <n v="1000"/>
    <n v="5000"/>
    <x v="1"/>
    <x v="1"/>
    <x v="0"/>
    <x v="1"/>
    <n v="2024"/>
  </r>
  <r>
    <n v="1079"/>
    <s v="Ramesh"/>
    <s v="Adult"/>
    <n v="37"/>
    <s v="31-50"/>
    <x v="1"/>
    <x v="2"/>
    <x v="1"/>
    <n v="2"/>
    <n v="1000"/>
    <n v="2000"/>
    <x v="43"/>
    <x v="1"/>
    <x v="1"/>
    <x v="0"/>
    <n v="2024"/>
  </r>
  <r>
    <n v="1080"/>
    <s v="Surya"/>
    <s v="Senior"/>
    <n v="42"/>
    <s v="31-50"/>
    <x v="0"/>
    <x v="6"/>
    <x v="0"/>
    <n v="4"/>
    <n v="12166"/>
    <n v="48664"/>
    <x v="28"/>
    <x v="0"/>
    <x v="0"/>
    <x v="0"/>
    <n v="2024"/>
  </r>
  <r>
    <n v="1081"/>
    <s v="Ramesh"/>
    <s v="Adult"/>
    <n v="30"/>
    <s v="21-30"/>
    <x v="1"/>
    <x v="2"/>
    <x v="1"/>
    <n v="2"/>
    <n v="1000"/>
    <n v="2000"/>
    <x v="44"/>
    <x v="1"/>
    <x v="2"/>
    <x v="1"/>
    <n v="2024"/>
  </r>
  <r>
    <n v="1082"/>
    <s v="Sneha"/>
    <s v="Adult"/>
    <n v="30"/>
    <s v="21-30"/>
    <x v="1"/>
    <x v="1"/>
    <x v="1"/>
    <n v="2"/>
    <n v="1000"/>
    <n v="2000"/>
    <x v="5"/>
    <x v="1"/>
    <x v="2"/>
    <x v="0"/>
    <n v="2024"/>
  </r>
  <r>
    <n v="1083"/>
    <s v="Meena"/>
    <s v="Adult"/>
    <n v="39"/>
    <s v="31-50"/>
    <x v="1"/>
    <x v="7"/>
    <x v="2"/>
    <n v="5"/>
    <n v="1000"/>
    <n v="5000"/>
    <x v="12"/>
    <x v="1"/>
    <x v="3"/>
    <x v="0"/>
    <n v="2024"/>
  </r>
  <r>
    <n v="1084"/>
    <s v="Vikram"/>
    <s v="Adult"/>
    <n v="38"/>
    <s v="31-50"/>
    <x v="1"/>
    <x v="7"/>
    <x v="2"/>
    <n v="2"/>
    <n v="1000"/>
    <n v="2000"/>
    <x v="45"/>
    <x v="1"/>
    <x v="0"/>
    <x v="0"/>
    <n v="2024"/>
  </r>
  <r>
    <n v="1085"/>
    <s v="Lakshmi"/>
    <s v="Adult"/>
    <n v="29"/>
    <s v="21-30"/>
    <x v="0"/>
    <x v="6"/>
    <x v="0"/>
    <n v="1"/>
    <n v="21190"/>
    <n v="21190"/>
    <x v="43"/>
    <x v="0"/>
    <x v="1"/>
    <x v="0"/>
    <n v="2024"/>
  </r>
  <r>
    <n v="1086"/>
    <s v="Manoj"/>
    <s v="Adult"/>
    <n v="30"/>
    <s v="21-30"/>
    <x v="0"/>
    <x v="2"/>
    <x v="1"/>
    <n v="2"/>
    <n v="21903"/>
    <n v="43806"/>
    <x v="26"/>
    <x v="0"/>
    <x v="4"/>
    <x v="0"/>
    <n v="2024"/>
  </r>
  <r>
    <n v="1087"/>
    <s v="Manoj"/>
    <s v="Adult"/>
    <n v="30"/>
    <s v="21-30"/>
    <x v="0"/>
    <x v="6"/>
    <x v="0"/>
    <n v="2"/>
    <n v="49818"/>
    <n v="99636"/>
    <x v="24"/>
    <x v="0"/>
    <x v="2"/>
    <x v="1"/>
    <n v="2024"/>
  </r>
  <r>
    <n v="1088"/>
    <s v="Divya"/>
    <s v="Adult"/>
    <n v="30"/>
    <s v="21-30"/>
    <x v="0"/>
    <x v="3"/>
    <x v="0"/>
    <n v="5"/>
    <n v="12794"/>
    <n v="63970"/>
    <x v="24"/>
    <x v="0"/>
    <x v="3"/>
    <x v="1"/>
    <n v="2024"/>
  </r>
  <r>
    <n v="1089"/>
    <s v="Sneha"/>
    <s v="Adult"/>
    <n v="30"/>
    <s v="21-30"/>
    <x v="1"/>
    <x v="6"/>
    <x v="0"/>
    <n v="5"/>
    <n v="1000"/>
    <n v="5000"/>
    <x v="36"/>
    <x v="1"/>
    <x v="3"/>
    <x v="0"/>
    <n v="2024"/>
  </r>
  <r>
    <n v="1090"/>
    <s v="Sneha"/>
    <s v="Adult"/>
    <n v="22"/>
    <s v="21-30"/>
    <x v="0"/>
    <x v="3"/>
    <x v="0"/>
    <n v="2"/>
    <n v="18507"/>
    <n v="37014"/>
    <x v="44"/>
    <x v="0"/>
    <x v="2"/>
    <x v="1"/>
    <n v="2024"/>
  </r>
  <r>
    <n v="1091"/>
    <s v="Ravi"/>
    <s v="Adult"/>
    <n v="30"/>
    <s v="21-30"/>
    <x v="1"/>
    <x v="3"/>
    <x v="0"/>
    <n v="2"/>
    <n v="1000"/>
    <n v="2000"/>
    <x v="13"/>
    <x v="1"/>
    <x v="4"/>
    <x v="1"/>
    <n v="2024"/>
  </r>
  <r>
    <n v="1092"/>
    <s v="Ravi"/>
    <s v="Adult"/>
    <n v="30"/>
    <s v="21-30"/>
    <x v="1"/>
    <x v="7"/>
    <x v="2"/>
    <n v="1"/>
    <n v="1000"/>
    <n v="1000"/>
    <x v="46"/>
    <x v="1"/>
    <x v="3"/>
    <x v="0"/>
    <n v="2024"/>
  </r>
  <r>
    <n v="1093"/>
    <s v="Sneha"/>
    <s v="Adult"/>
    <n v="30"/>
    <s v="21-30"/>
    <x v="1"/>
    <x v="7"/>
    <x v="2"/>
    <n v="2"/>
    <n v="46496"/>
    <n v="92992"/>
    <x v="19"/>
    <x v="0"/>
    <x v="4"/>
    <x v="1"/>
    <n v="2024"/>
  </r>
  <r>
    <n v="1094"/>
    <s v="Vikram"/>
    <s v="Adult"/>
    <n v="30"/>
    <s v="21-30"/>
    <x v="0"/>
    <x v="1"/>
    <x v="1"/>
    <n v="2"/>
    <n v="1000"/>
    <n v="2000"/>
    <x v="47"/>
    <x v="1"/>
    <x v="4"/>
    <x v="1"/>
    <n v="2024"/>
  </r>
  <r>
    <n v="1095"/>
    <s v="Pooja"/>
    <s v="Senior"/>
    <n v="45"/>
    <s v="31-50"/>
    <x v="1"/>
    <x v="3"/>
    <x v="0"/>
    <n v="2"/>
    <n v="1000"/>
    <n v="2000"/>
    <x v="48"/>
    <x v="1"/>
    <x v="1"/>
    <x v="1"/>
    <n v="2024"/>
  </r>
  <r>
    <n v="1096"/>
    <s v="Ravi"/>
    <s v="Adult"/>
    <n v="30"/>
    <s v="21-30"/>
    <x v="0"/>
    <x v="2"/>
    <x v="1"/>
    <n v="3"/>
    <n v="37004"/>
    <n v="111012"/>
    <x v="14"/>
    <x v="0"/>
    <x v="4"/>
    <x v="1"/>
    <n v="2024"/>
  </r>
  <r>
    <n v="1097"/>
    <s v="Ramesh"/>
    <s v="Senior"/>
    <n v="47"/>
    <s v="31-50"/>
    <x v="1"/>
    <x v="2"/>
    <x v="1"/>
    <n v="4"/>
    <n v="1000"/>
    <n v="4000"/>
    <x v="39"/>
    <x v="1"/>
    <x v="4"/>
    <x v="0"/>
    <n v="2024"/>
  </r>
  <r>
    <n v="1098"/>
    <s v="Pooja"/>
    <s v="Adult"/>
    <n v="30"/>
    <s v="21-30"/>
    <x v="0"/>
    <x v="5"/>
    <x v="2"/>
    <n v="5"/>
    <n v="5198"/>
    <n v="25990"/>
    <x v="9"/>
    <x v="0"/>
    <x v="2"/>
    <x v="0"/>
    <n v="2024"/>
  </r>
  <r>
    <n v="1099"/>
    <s v="Anita"/>
    <s v="Adult"/>
    <n v="26"/>
    <s v="21-30"/>
    <x v="0"/>
    <x v="3"/>
    <x v="0"/>
    <n v="5"/>
    <n v="30128"/>
    <n v="150640"/>
    <x v="35"/>
    <x v="0"/>
    <x v="0"/>
    <x v="0"/>
    <n v="2024"/>
  </r>
  <r>
    <n v="1100"/>
    <s v="Ajay"/>
    <s v="Adult"/>
    <n v="30"/>
    <s v="21-30"/>
    <x v="0"/>
    <x v="4"/>
    <x v="2"/>
    <n v="2"/>
    <n v="1000"/>
    <n v="2000"/>
    <x v="47"/>
    <x v="1"/>
    <x v="4"/>
    <x v="1"/>
    <n v="2024"/>
  </r>
  <r>
    <n v="1101"/>
    <s v="Meena"/>
    <s v="Adult"/>
    <n v="30"/>
    <s v="21-30"/>
    <x v="0"/>
    <x v="5"/>
    <x v="2"/>
    <n v="3"/>
    <n v="16654"/>
    <n v="49962"/>
    <x v="49"/>
    <x v="0"/>
    <x v="4"/>
    <x v="1"/>
    <n v="2024"/>
  </r>
  <r>
    <n v="1102"/>
    <s v="Ajay"/>
    <s v="Senior"/>
    <n v="45"/>
    <s v="31-50"/>
    <x v="1"/>
    <x v="7"/>
    <x v="2"/>
    <n v="2"/>
    <n v="17222"/>
    <n v="34444"/>
    <x v="14"/>
    <x v="0"/>
    <x v="4"/>
    <x v="1"/>
    <n v="2024"/>
  </r>
  <r>
    <n v="1103"/>
    <s v="Neha"/>
    <s v="Adult"/>
    <n v="30"/>
    <s v="21-30"/>
    <x v="1"/>
    <x v="7"/>
    <x v="2"/>
    <n v="3"/>
    <n v="1000"/>
    <n v="3000"/>
    <x v="37"/>
    <x v="1"/>
    <x v="0"/>
    <x v="0"/>
    <n v="2024"/>
  </r>
  <r>
    <n v="1104"/>
    <s v="Ramesh"/>
    <s v="Adult"/>
    <n v="31"/>
    <s v="31-50"/>
    <x v="0"/>
    <x v="7"/>
    <x v="2"/>
    <n v="2"/>
    <n v="1000"/>
    <n v="2000"/>
    <x v="21"/>
    <x v="1"/>
    <x v="4"/>
    <x v="1"/>
    <n v="2024"/>
  </r>
  <r>
    <n v="1105"/>
    <s v="Surya"/>
    <s v="Senior"/>
    <n v="48"/>
    <s v="31-50"/>
    <x v="1"/>
    <x v="6"/>
    <x v="0"/>
    <n v="4"/>
    <n v="1469"/>
    <n v="5876"/>
    <x v="27"/>
    <x v="2"/>
    <x v="3"/>
    <x v="0"/>
    <n v="2024"/>
  </r>
  <r>
    <n v="1106"/>
    <s v="Arun"/>
    <s v="Adult"/>
    <n v="35"/>
    <s v="31-50"/>
    <x v="0"/>
    <x v="4"/>
    <x v="2"/>
    <n v="4"/>
    <n v="1000"/>
    <n v="4000"/>
    <x v="14"/>
    <x v="1"/>
    <x v="1"/>
    <x v="1"/>
    <n v="2024"/>
  </r>
  <r>
    <n v="1107"/>
    <s v="Karthik"/>
    <s v="Adult"/>
    <n v="30"/>
    <s v="21-30"/>
    <x v="0"/>
    <x v="7"/>
    <x v="2"/>
    <n v="2"/>
    <n v="36465"/>
    <n v="72930"/>
    <x v="29"/>
    <x v="0"/>
    <x v="3"/>
    <x v="0"/>
    <n v="2024"/>
  </r>
  <r>
    <n v="1108"/>
    <s v="Ramesh"/>
    <s v="Adult"/>
    <n v="27"/>
    <s v="21-30"/>
    <x v="0"/>
    <x v="3"/>
    <x v="0"/>
    <n v="5"/>
    <n v="1000"/>
    <n v="5000"/>
    <x v="44"/>
    <x v="1"/>
    <x v="4"/>
    <x v="1"/>
    <n v="2024"/>
  </r>
  <r>
    <n v="1109"/>
    <s v="Pooja"/>
    <s v="Senior"/>
    <n v="46"/>
    <s v="31-50"/>
    <x v="1"/>
    <x v="7"/>
    <x v="2"/>
    <n v="2"/>
    <n v="1000"/>
    <n v="2000"/>
    <x v="44"/>
    <x v="1"/>
    <x v="1"/>
    <x v="1"/>
    <n v="2024"/>
  </r>
  <r>
    <n v="1110"/>
    <s v="Surya"/>
    <s v="Adult"/>
    <n v="28"/>
    <s v="21-30"/>
    <x v="1"/>
    <x v="0"/>
    <x v="0"/>
    <n v="2"/>
    <n v="1417"/>
    <n v="2834"/>
    <x v="50"/>
    <x v="1"/>
    <x v="2"/>
    <x v="0"/>
    <n v="2024"/>
  </r>
  <r>
    <n v="1111"/>
    <s v="Anita"/>
    <s v="Adult"/>
    <n v="30"/>
    <s v="21-30"/>
    <x v="1"/>
    <x v="1"/>
    <x v="1"/>
    <n v="3"/>
    <n v="1000"/>
    <n v="3000"/>
    <x v="36"/>
    <x v="1"/>
    <x v="3"/>
    <x v="0"/>
    <n v="2024"/>
  </r>
  <r>
    <n v="1112"/>
    <s v="Divya"/>
    <s v="Adult"/>
    <n v="29"/>
    <s v="21-30"/>
    <x v="1"/>
    <x v="5"/>
    <x v="2"/>
    <n v="2"/>
    <n v="1000"/>
    <n v="2000"/>
    <x v="49"/>
    <x v="1"/>
    <x v="3"/>
    <x v="1"/>
    <n v="2024"/>
  </r>
  <r>
    <n v="1113"/>
    <s v="Anita"/>
    <s v="Adult"/>
    <n v="30"/>
    <s v="21-30"/>
    <x v="1"/>
    <x v="4"/>
    <x v="2"/>
    <n v="2"/>
    <n v="27322"/>
    <n v="54644"/>
    <x v="9"/>
    <x v="0"/>
    <x v="0"/>
    <x v="0"/>
    <n v="2024"/>
  </r>
  <r>
    <n v="1114"/>
    <s v="Asha"/>
    <s v="Senior"/>
    <n v="45"/>
    <s v="31-50"/>
    <x v="0"/>
    <x v="7"/>
    <x v="2"/>
    <n v="4"/>
    <n v="1000"/>
    <n v="4000"/>
    <x v="9"/>
    <x v="1"/>
    <x v="1"/>
    <x v="0"/>
    <n v="2024"/>
  </r>
  <r>
    <n v="1115"/>
    <s v="Ramesh"/>
    <s v="Adult"/>
    <n v="21"/>
    <s v="21-30"/>
    <x v="1"/>
    <x v="1"/>
    <x v="1"/>
    <n v="1"/>
    <n v="12924"/>
    <n v="12924"/>
    <x v="42"/>
    <x v="0"/>
    <x v="4"/>
    <x v="1"/>
    <n v="2024"/>
  </r>
  <r>
    <n v="1116"/>
    <s v="Surya"/>
    <s v="Adult"/>
    <n v="30"/>
    <s v="21-30"/>
    <x v="0"/>
    <x v="2"/>
    <x v="1"/>
    <n v="5"/>
    <n v="1000"/>
    <n v="5000"/>
    <x v="51"/>
    <x v="1"/>
    <x v="2"/>
    <x v="0"/>
    <n v="2024"/>
  </r>
  <r>
    <n v="1117"/>
    <s v="Arun"/>
    <s v="Adult"/>
    <n v="30"/>
    <s v="21-30"/>
    <x v="0"/>
    <x v="6"/>
    <x v="0"/>
    <n v="5"/>
    <n v="1000"/>
    <n v="5000"/>
    <x v="9"/>
    <x v="1"/>
    <x v="1"/>
    <x v="0"/>
    <n v="2024"/>
  </r>
  <r>
    <n v="1118"/>
    <s v="Anita"/>
    <s v="Senior"/>
    <n v="47"/>
    <s v="31-50"/>
    <x v="1"/>
    <x v="7"/>
    <x v="2"/>
    <n v="3"/>
    <n v="1000"/>
    <n v="3000"/>
    <x v="52"/>
    <x v="1"/>
    <x v="1"/>
    <x v="1"/>
    <n v="2024"/>
  </r>
  <r>
    <n v="1119"/>
    <s v="Karthik"/>
    <s v="Adult"/>
    <n v="30"/>
    <s v="21-30"/>
    <x v="0"/>
    <x v="2"/>
    <x v="1"/>
    <n v="2"/>
    <n v="7929"/>
    <n v="15858"/>
    <x v="41"/>
    <x v="0"/>
    <x v="4"/>
    <x v="0"/>
    <n v="2024"/>
  </r>
  <r>
    <n v="1120"/>
    <s v="Asha"/>
    <s v="Adult"/>
    <n v="35"/>
    <s v="31-50"/>
    <x v="1"/>
    <x v="6"/>
    <x v="0"/>
    <n v="2"/>
    <n v="1000"/>
    <n v="2000"/>
    <x v="8"/>
    <x v="1"/>
    <x v="4"/>
    <x v="1"/>
    <n v="2024"/>
  </r>
  <r>
    <n v="1121"/>
    <s v="Sneha"/>
    <s v="Senior"/>
    <n v="40"/>
    <s v="31-50"/>
    <x v="1"/>
    <x v="4"/>
    <x v="2"/>
    <n v="4"/>
    <n v="16134"/>
    <n v="64536"/>
    <x v="33"/>
    <x v="0"/>
    <x v="2"/>
    <x v="0"/>
    <n v="2024"/>
  </r>
  <r>
    <n v="1122"/>
    <s v="Vikram"/>
    <s v="Adult"/>
    <n v="30"/>
    <s v="21-30"/>
    <x v="1"/>
    <x v="3"/>
    <x v="0"/>
    <n v="2"/>
    <n v="43604"/>
    <n v="87208"/>
    <x v="16"/>
    <x v="0"/>
    <x v="1"/>
    <x v="2"/>
    <n v="2024"/>
  </r>
  <r>
    <n v="1123"/>
    <s v="Meena"/>
    <s v="Adult"/>
    <n v="30"/>
    <s v="21-30"/>
    <x v="0"/>
    <x v="2"/>
    <x v="1"/>
    <n v="2"/>
    <n v="1000"/>
    <n v="2000"/>
    <x v="39"/>
    <x v="1"/>
    <x v="1"/>
    <x v="0"/>
    <n v="2024"/>
  </r>
  <r>
    <n v="1124"/>
    <s v="Meena"/>
    <s v="Senior"/>
    <n v="41"/>
    <s v="31-50"/>
    <x v="0"/>
    <x v="0"/>
    <x v="0"/>
    <n v="2"/>
    <n v="8359"/>
    <n v="16718"/>
    <x v="19"/>
    <x v="0"/>
    <x v="1"/>
    <x v="1"/>
    <n v="2024"/>
  </r>
  <r>
    <n v="1125"/>
    <s v="Anita"/>
    <s v="Adult"/>
    <n v="30"/>
    <s v="21-30"/>
    <x v="1"/>
    <x v="7"/>
    <x v="2"/>
    <n v="2"/>
    <n v="1000"/>
    <n v="2000"/>
    <x v="53"/>
    <x v="1"/>
    <x v="2"/>
    <x v="0"/>
    <n v="2024"/>
  </r>
  <r>
    <n v="1126"/>
    <s v="Anita"/>
    <s v="Adult"/>
    <n v="25"/>
    <s v="21-30"/>
    <x v="1"/>
    <x v="7"/>
    <x v="2"/>
    <n v="2"/>
    <n v="45782"/>
    <n v="91564"/>
    <x v="44"/>
    <x v="0"/>
    <x v="4"/>
    <x v="1"/>
    <n v="2024"/>
  </r>
  <r>
    <n v="1127"/>
    <s v="Ajay"/>
    <s v="Adult"/>
    <n v="28"/>
    <s v="21-30"/>
    <x v="0"/>
    <x v="0"/>
    <x v="0"/>
    <n v="2"/>
    <n v="1000"/>
    <n v="2000"/>
    <x v="19"/>
    <x v="1"/>
    <x v="3"/>
    <x v="1"/>
    <n v="2024"/>
  </r>
  <r>
    <n v="1128"/>
    <s v="Kiran"/>
    <s v="Adult"/>
    <n v="30"/>
    <s v="21-30"/>
    <x v="1"/>
    <x v="5"/>
    <x v="2"/>
    <n v="5"/>
    <n v="1000"/>
    <n v="5000"/>
    <x v="54"/>
    <x v="1"/>
    <x v="3"/>
    <x v="1"/>
    <n v="2024"/>
  </r>
  <r>
    <n v="1129"/>
    <s v="Surya"/>
    <s v="Adult"/>
    <n v="39"/>
    <s v="31-50"/>
    <x v="1"/>
    <x v="3"/>
    <x v="0"/>
    <n v="2"/>
    <n v="1000"/>
    <n v="2000"/>
    <x v="23"/>
    <x v="1"/>
    <x v="0"/>
    <x v="1"/>
    <n v="2024"/>
  </r>
  <r>
    <n v="1130"/>
    <s v="Neha"/>
    <s v="Adult"/>
    <n v="28"/>
    <s v="21-30"/>
    <x v="0"/>
    <x v="3"/>
    <x v="0"/>
    <n v="4"/>
    <n v="42671"/>
    <n v="170684"/>
    <x v="29"/>
    <x v="0"/>
    <x v="4"/>
    <x v="0"/>
    <n v="2024"/>
  </r>
  <r>
    <n v="1131"/>
    <s v="Lakshmi"/>
    <s v="Adult"/>
    <n v="28"/>
    <s v="21-30"/>
    <x v="0"/>
    <x v="2"/>
    <x v="1"/>
    <n v="2"/>
    <n v="34309"/>
    <n v="68618"/>
    <x v="39"/>
    <x v="0"/>
    <x v="2"/>
    <x v="0"/>
    <n v="2024"/>
  </r>
  <r>
    <n v="1132"/>
    <s v="Priya"/>
    <s v="Adult"/>
    <n v="27"/>
    <s v="21-30"/>
    <x v="0"/>
    <x v="2"/>
    <x v="1"/>
    <n v="4"/>
    <n v="15517"/>
    <n v="62068"/>
    <x v="55"/>
    <x v="0"/>
    <x v="4"/>
    <x v="1"/>
    <n v="2024"/>
  </r>
  <r>
    <n v="1133"/>
    <s v="Asha"/>
    <s v="Adult"/>
    <n v="30"/>
    <s v="21-30"/>
    <x v="0"/>
    <x v="0"/>
    <x v="0"/>
    <n v="2"/>
    <n v="1000"/>
    <n v="2000"/>
    <x v="31"/>
    <x v="1"/>
    <x v="0"/>
    <x v="1"/>
    <n v="2024"/>
  </r>
  <r>
    <n v="1134"/>
    <s v="Karthik"/>
    <s v="Adult"/>
    <n v="30"/>
    <s v="21-30"/>
    <x v="1"/>
    <x v="1"/>
    <x v="1"/>
    <n v="4"/>
    <n v="1000"/>
    <n v="4000"/>
    <x v="27"/>
    <x v="1"/>
    <x v="2"/>
    <x v="0"/>
    <n v="2024"/>
  </r>
  <r>
    <n v="1135"/>
    <s v="Sneha"/>
    <s v="Adult"/>
    <n v="30"/>
    <s v="21-30"/>
    <x v="1"/>
    <x v="7"/>
    <x v="2"/>
    <n v="2"/>
    <n v="1000"/>
    <n v="2000"/>
    <x v="56"/>
    <x v="1"/>
    <x v="2"/>
    <x v="1"/>
    <n v="2024"/>
  </r>
  <r>
    <n v="1136"/>
    <s v="Asha"/>
    <s v="Adult"/>
    <n v="30"/>
    <s v="21-30"/>
    <x v="0"/>
    <x v="3"/>
    <x v="0"/>
    <n v="3"/>
    <n v="1000"/>
    <n v="3000"/>
    <x v="4"/>
    <x v="1"/>
    <x v="0"/>
    <x v="1"/>
    <n v="2024"/>
  </r>
  <r>
    <n v="1137"/>
    <s v="Surya"/>
    <s v="Senior"/>
    <n v="42"/>
    <s v="31-50"/>
    <x v="1"/>
    <x v="4"/>
    <x v="2"/>
    <n v="3"/>
    <n v="1000"/>
    <n v="3000"/>
    <x v="54"/>
    <x v="1"/>
    <x v="0"/>
    <x v="1"/>
    <n v="2024"/>
  </r>
  <r>
    <n v="1138"/>
    <s v="Sneha"/>
    <s v="Senior"/>
    <n v="46"/>
    <s v="31-50"/>
    <x v="0"/>
    <x v="5"/>
    <x v="2"/>
    <n v="2"/>
    <n v="1000"/>
    <n v="2000"/>
    <x v="35"/>
    <x v="1"/>
    <x v="4"/>
    <x v="0"/>
    <n v="2024"/>
  </r>
  <r>
    <n v="1139"/>
    <s v="Divya"/>
    <s v="Adult"/>
    <n v="22"/>
    <s v="21-30"/>
    <x v="0"/>
    <x v="1"/>
    <x v="1"/>
    <n v="2"/>
    <n v="4840"/>
    <n v="9680"/>
    <x v="31"/>
    <x v="2"/>
    <x v="4"/>
    <x v="1"/>
    <n v="2024"/>
  </r>
  <r>
    <n v="1140"/>
    <s v="Ajay"/>
    <s v="Senior"/>
    <n v="50"/>
    <s v="31-50"/>
    <x v="0"/>
    <x v="1"/>
    <x v="1"/>
    <n v="4"/>
    <n v="13906"/>
    <n v="55624"/>
    <x v="17"/>
    <x v="0"/>
    <x v="2"/>
    <x v="0"/>
    <n v="2024"/>
  </r>
  <r>
    <n v="1141"/>
    <s v="Lakshmi"/>
    <s v="Senior"/>
    <n v="42"/>
    <s v="31-50"/>
    <x v="0"/>
    <x v="6"/>
    <x v="0"/>
    <n v="2"/>
    <n v="46872"/>
    <n v="93744"/>
    <x v="15"/>
    <x v="0"/>
    <x v="0"/>
    <x v="1"/>
    <n v="2024"/>
  </r>
  <r>
    <n v="1142"/>
    <s v="Asha"/>
    <s v="Adult"/>
    <n v="30"/>
    <s v="21-30"/>
    <x v="0"/>
    <x v="1"/>
    <x v="1"/>
    <n v="2"/>
    <n v="1000"/>
    <n v="2000"/>
    <x v="5"/>
    <x v="1"/>
    <x v="4"/>
    <x v="0"/>
    <n v="2024"/>
  </r>
  <r>
    <n v="1143"/>
    <s v="Priya"/>
    <s v="Adult"/>
    <n v="30"/>
    <s v="21-30"/>
    <x v="0"/>
    <x v="2"/>
    <x v="1"/>
    <n v="1"/>
    <n v="1000"/>
    <n v="1000"/>
    <x v="29"/>
    <x v="1"/>
    <x v="2"/>
    <x v="0"/>
    <n v="2024"/>
  </r>
  <r>
    <n v="1144"/>
    <s v="Neha"/>
    <s v="Adult"/>
    <n v="24"/>
    <s v="21-30"/>
    <x v="1"/>
    <x v="2"/>
    <x v="1"/>
    <n v="4"/>
    <n v="11679"/>
    <n v="46716"/>
    <x v="20"/>
    <x v="0"/>
    <x v="4"/>
    <x v="1"/>
    <n v="2024"/>
  </r>
  <r>
    <n v="1145"/>
    <s v="Karthik"/>
    <s v="Adult"/>
    <n v="30"/>
    <s v="21-30"/>
    <x v="1"/>
    <x v="5"/>
    <x v="2"/>
    <n v="2"/>
    <n v="1000"/>
    <n v="2000"/>
    <x v="51"/>
    <x v="1"/>
    <x v="1"/>
    <x v="0"/>
    <n v="2024"/>
  </r>
  <r>
    <n v="1146"/>
    <s v="Kiran"/>
    <s v="Adult"/>
    <n v="30"/>
    <s v="21-30"/>
    <x v="1"/>
    <x v="4"/>
    <x v="2"/>
    <n v="2"/>
    <n v="12855"/>
    <n v="25710"/>
    <x v="0"/>
    <x v="0"/>
    <x v="0"/>
    <x v="0"/>
    <n v="2024"/>
  </r>
  <r>
    <n v="1147"/>
    <s v="Anita"/>
    <s v="Senior"/>
    <n v="43"/>
    <s v="31-50"/>
    <x v="1"/>
    <x v="4"/>
    <x v="2"/>
    <n v="3"/>
    <n v="1000"/>
    <n v="3000"/>
    <x v="33"/>
    <x v="1"/>
    <x v="1"/>
    <x v="0"/>
    <n v="2024"/>
  </r>
  <r>
    <n v="1148"/>
    <s v="Divya"/>
    <s v="Adult"/>
    <n v="27"/>
    <s v="21-30"/>
    <x v="0"/>
    <x v="7"/>
    <x v="2"/>
    <n v="2"/>
    <n v="1000"/>
    <n v="2000"/>
    <x v="5"/>
    <x v="1"/>
    <x v="1"/>
    <x v="0"/>
    <n v="2024"/>
  </r>
  <r>
    <n v="1149"/>
    <s v="Pooja"/>
    <s v="Adult"/>
    <n v="30"/>
    <s v="21-30"/>
    <x v="0"/>
    <x v="4"/>
    <x v="2"/>
    <n v="4"/>
    <n v="1000"/>
    <n v="4000"/>
    <x v="52"/>
    <x v="1"/>
    <x v="2"/>
    <x v="1"/>
    <n v="2024"/>
  </r>
  <r>
    <n v="1150"/>
    <s v="Meena"/>
    <s v="Senior"/>
    <n v="48"/>
    <s v="31-50"/>
    <x v="0"/>
    <x v="6"/>
    <x v="0"/>
    <n v="2"/>
    <n v="1000"/>
    <n v="2000"/>
    <x v="39"/>
    <x v="1"/>
    <x v="0"/>
    <x v="0"/>
    <n v="2024"/>
  </r>
  <r>
    <n v="1151"/>
    <s v="Asha"/>
    <s v="Senior"/>
    <n v="44"/>
    <s v="31-50"/>
    <x v="0"/>
    <x v="7"/>
    <x v="2"/>
    <n v="2"/>
    <n v="1000"/>
    <n v="2000"/>
    <x v="52"/>
    <x v="1"/>
    <x v="3"/>
    <x v="1"/>
    <n v="2024"/>
  </r>
  <r>
    <n v="1152"/>
    <s v="Manoj"/>
    <s v="Senior"/>
    <n v="48"/>
    <s v="31-50"/>
    <x v="1"/>
    <x v="2"/>
    <x v="1"/>
    <n v="2"/>
    <n v="1000"/>
    <n v="2000"/>
    <x v="6"/>
    <x v="1"/>
    <x v="2"/>
    <x v="0"/>
    <n v="2024"/>
  </r>
  <r>
    <n v="1153"/>
    <s v="Karthik"/>
    <s v="Adult"/>
    <n v="30"/>
    <s v="21-30"/>
    <x v="0"/>
    <x v="6"/>
    <x v="0"/>
    <n v="2"/>
    <n v="1000"/>
    <n v="2000"/>
    <x v="3"/>
    <x v="1"/>
    <x v="4"/>
    <x v="0"/>
    <n v="2024"/>
  </r>
  <r>
    <n v="1154"/>
    <s v="Anita"/>
    <s v="Adult"/>
    <n v="35"/>
    <s v="31-50"/>
    <x v="0"/>
    <x v="4"/>
    <x v="2"/>
    <n v="1"/>
    <n v="1000"/>
    <n v="1000"/>
    <x v="57"/>
    <x v="1"/>
    <x v="0"/>
    <x v="1"/>
    <n v="2024"/>
  </r>
  <r>
    <n v="1155"/>
    <s v="Priya"/>
    <s v="Adult"/>
    <n v="30"/>
    <s v="21-30"/>
    <x v="1"/>
    <x v="5"/>
    <x v="2"/>
    <n v="2"/>
    <n v="1000"/>
    <n v="2000"/>
    <x v="9"/>
    <x v="1"/>
    <x v="3"/>
    <x v="0"/>
    <n v="2024"/>
  </r>
  <r>
    <n v="1156"/>
    <s v="Divya"/>
    <s v="Adult"/>
    <n v="20"/>
    <s v="0-20"/>
    <x v="1"/>
    <x v="7"/>
    <x v="2"/>
    <n v="2"/>
    <n v="1000"/>
    <n v="2000"/>
    <x v="11"/>
    <x v="1"/>
    <x v="4"/>
    <x v="0"/>
    <n v="2024"/>
  </r>
  <r>
    <n v="1157"/>
    <s v="Manoj"/>
    <s v="Senior"/>
    <n v="46"/>
    <s v="31-50"/>
    <x v="1"/>
    <x v="5"/>
    <x v="2"/>
    <n v="5"/>
    <n v="1000"/>
    <n v="5000"/>
    <x v="1"/>
    <x v="1"/>
    <x v="3"/>
    <x v="1"/>
    <n v="2024"/>
  </r>
  <r>
    <n v="1158"/>
    <s v="Priya"/>
    <s v="Adult"/>
    <n v="30"/>
    <s v="21-30"/>
    <x v="0"/>
    <x v="0"/>
    <x v="0"/>
    <n v="2"/>
    <n v="30958"/>
    <n v="61916"/>
    <x v="37"/>
    <x v="0"/>
    <x v="2"/>
    <x v="0"/>
    <n v="2024"/>
  </r>
  <r>
    <n v="1159"/>
    <s v="Pooja"/>
    <s v="Senior"/>
    <n v="47"/>
    <s v="31-50"/>
    <x v="0"/>
    <x v="4"/>
    <x v="2"/>
    <n v="5"/>
    <n v="1000"/>
    <n v="5000"/>
    <x v="33"/>
    <x v="1"/>
    <x v="1"/>
    <x v="0"/>
    <n v="2024"/>
  </r>
  <r>
    <n v="1160"/>
    <s v="Ajay"/>
    <s v="Adult"/>
    <n v="24"/>
    <s v="21-30"/>
    <x v="0"/>
    <x v="0"/>
    <x v="0"/>
    <n v="2"/>
    <n v="1000"/>
    <n v="2000"/>
    <x v="29"/>
    <x v="1"/>
    <x v="4"/>
    <x v="0"/>
    <n v="2024"/>
  </r>
  <r>
    <n v="1161"/>
    <s v="Arun"/>
    <s v="Adult"/>
    <n v="30"/>
    <s v="21-30"/>
    <x v="1"/>
    <x v="5"/>
    <x v="2"/>
    <n v="5"/>
    <n v="1000"/>
    <n v="5000"/>
    <x v="37"/>
    <x v="1"/>
    <x v="0"/>
    <x v="0"/>
    <n v="2024"/>
  </r>
  <r>
    <n v="1162"/>
    <s v="Surya"/>
    <s v="Adult"/>
    <n v="30"/>
    <s v="21-30"/>
    <x v="1"/>
    <x v="7"/>
    <x v="2"/>
    <n v="2"/>
    <n v="1000"/>
    <n v="2000"/>
    <x v="54"/>
    <x v="1"/>
    <x v="2"/>
    <x v="1"/>
    <n v="2024"/>
  </r>
  <r>
    <n v="1163"/>
    <s v="Pooja"/>
    <s v="Senior"/>
    <n v="46"/>
    <s v="31-50"/>
    <x v="0"/>
    <x v="2"/>
    <x v="1"/>
    <n v="2"/>
    <n v="46647"/>
    <n v="93294"/>
    <x v="13"/>
    <x v="0"/>
    <x v="4"/>
    <x v="1"/>
    <n v="2024"/>
  </r>
  <r>
    <n v="1164"/>
    <s v="Manoj"/>
    <s v="Adult"/>
    <n v="30"/>
    <s v="21-30"/>
    <x v="0"/>
    <x v="4"/>
    <x v="2"/>
    <n v="5"/>
    <n v="1000"/>
    <n v="5000"/>
    <x v="0"/>
    <x v="1"/>
    <x v="0"/>
    <x v="0"/>
    <n v="2024"/>
  </r>
  <r>
    <n v="1165"/>
    <s v="Neha"/>
    <s v="Adult"/>
    <n v="30"/>
    <s v="21-30"/>
    <x v="1"/>
    <x v="1"/>
    <x v="1"/>
    <n v="2"/>
    <n v="1000"/>
    <n v="2000"/>
    <x v="34"/>
    <x v="1"/>
    <x v="3"/>
    <x v="1"/>
    <n v="2024"/>
  </r>
  <r>
    <n v="1166"/>
    <s v="Ravi"/>
    <s v="Adult"/>
    <n v="28"/>
    <s v="21-30"/>
    <x v="0"/>
    <x v="0"/>
    <x v="0"/>
    <n v="3"/>
    <n v="1000"/>
    <n v="3000"/>
    <x v="32"/>
    <x v="1"/>
    <x v="3"/>
    <x v="0"/>
    <n v="2024"/>
  </r>
  <r>
    <n v="1167"/>
    <s v="Pooja"/>
    <s v="Adult"/>
    <n v="30"/>
    <s v="21-30"/>
    <x v="1"/>
    <x v="5"/>
    <x v="2"/>
    <n v="2"/>
    <n v="1000"/>
    <n v="2000"/>
    <x v="34"/>
    <x v="1"/>
    <x v="1"/>
    <x v="1"/>
    <n v="2024"/>
  </r>
  <r>
    <n v="1168"/>
    <s v="Karthik"/>
    <s v="Adult"/>
    <n v="30"/>
    <s v="21-30"/>
    <x v="1"/>
    <x v="1"/>
    <x v="1"/>
    <n v="2"/>
    <n v="1000"/>
    <n v="2000"/>
    <x v="6"/>
    <x v="1"/>
    <x v="3"/>
    <x v="0"/>
    <n v="2024"/>
  </r>
  <r>
    <n v="1169"/>
    <s v="Arun"/>
    <s v="Adult"/>
    <n v="34"/>
    <s v="31-50"/>
    <x v="0"/>
    <x v="0"/>
    <x v="0"/>
    <n v="2"/>
    <n v="1000"/>
    <n v="2000"/>
    <x v="48"/>
    <x v="1"/>
    <x v="2"/>
    <x v="1"/>
    <n v="2024"/>
  </r>
  <r>
    <n v="1170"/>
    <s v="Divya"/>
    <s v="Adult"/>
    <n v="25"/>
    <s v="21-30"/>
    <x v="0"/>
    <x v="4"/>
    <x v="2"/>
    <n v="5"/>
    <n v="1000"/>
    <n v="5000"/>
    <x v="51"/>
    <x v="1"/>
    <x v="3"/>
    <x v="0"/>
    <n v="2024"/>
  </r>
  <r>
    <n v="1171"/>
    <s v="Asha"/>
    <s v="Adult"/>
    <n v="35"/>
    <s v="31-50"/>
    <x v="0"/>
    <x v="3"/>
    <x v="0"/>
    <n v="2"/>
    <n v="1000"/>
    <n v="2000"/>
    <x v="18"/>
    <x v="1"/>
    <x v="2"/>
    <x v="1"/>
    <n v="2024"/>
  </r>
  <r>
    <n v="1172"/>
    <s v="Kiran"/>
    <s v="Adult"/>
    <n v="30"/>
    <s v="21-30"/>
    <x v="0"/>
    <x v="4"/>
    <x v="2"/>
    <n v="5"/>
    <n v="45201"/>
    <n v="226005"/>
    <x v="52"/>
    <x v="0"/>
    <x v="2"/>
    <x v="1"/>
    <n v="2024"/>
  </r>
  <r>
    <n v="1173"/>
    <s v="Surya"/>
    <s v="Adult"/>
    <n v="38"/>
    <s v="31-50"/>
    <x v="0"/>
    <x v="0"/>
    <x v="0"/>
    <n v="2"/>
    <n v="1000"/>
    <n v="2000"/>
    <x v="3"/>
    <x v="1"/>
    <x v="0"/>
    <x v="0"/>
    <n v="2024"/>
  </r>
  <r>
    <n v="1174"/>
    <s v="Asha"/>
    <s v="Adult"/>
    <n v="22"/>
    <s v="21-30"/>
    <x v="0"/>
    <x v="3"/>
    <x v="0"/>
    <n v="2"/>
    <n v="26026"/>
    <n v="52052"/>
    <x v="44"/>
    <x v="0"/>
    <x v="0"/>
    <x v="1"/>
    <n v="2024"/>
  </r>
  <r>
    <n v="1175"/>
    <s v="Vikram"/>
    <s v="Adult"/>
    <n v="30"/>
    <s v="21-30"/>
    <x v="1"/>
    <x v="2"/>
    <x v="1"/>
    <n v="4"/>
    <n v="1000"/>
    <n v="4000"/>
    <x v="37"/>
    <x v="1"/>
    <x v="3"/>
    <x v="0"/>
    <n v="2024"/>
  </r>
  <r>
    <n v="1176"/>
    <s v="Arun"/>
    <s v="Adult"/>
    <n v="30"/>
    <s v="21-30"/>
    <x v="0"/>
    <x v="2"/>
    <x v="1"/>
    <n v="2"/>
    <n v="40637"/>
    <n v="81274"/>
    <x v="42"/>
    <x v="0"/>
    <x v="4"/>
    <x v="1"/>
    <n v="2024"/>
  </r>
  <r>
    <n v="1177"/>
    <s v="Meena"/>
    <s v="Adult"/>
    <n v="30"/>
    <s v="21-30"/>
    <x v="0"/>
    <x v="1"/>
    <x v="1"/>
    <n v="5"/>
    <n v="1000"/>
    <n v="5000"/>
    <x v="58"/>
    <x v="1"/>
    <x v="0"/>
    <x v="0"/>
    <n v="2024"/>
  </r>
  <r>
    <n v="1178"/>
    <s v="Lakshmi"/>
    <s v="Senior"/>
    <n v="42"/>
    <s v="31-50"/>
    <x v="0"/>
    <x v="5"/>
    <x v="2"/>
    <n v="5"/>
    <n v="1000"/>
    <n v="5000"/>
    <x v="59"/>
    <x v="1"/>
    <x v="1"/>
    <x v="1"/>
    <n v="2024"/>
  </r>
  <r>
    <n v="1179"/>
    <s v="Lakshmi"/>
    <s v="Adult"/>
    <n v="30"/>
    <s v="21-30"/>
    <x v="0"/>
    <x v="2"/>
    <x v="1"/>
    <n v="4"/>
    <n v="1000"/>
    <n v="4000"/>
    <x v="9"/>
    <x v="1"/>
    <x v="3"/>
    <x v="0"/>
    <n v="2024"/>
  </r>
  <r>
    <n v="1180"/>
    <s v="Ramesh"/>
    <s v="Senior"/>
    <n v="45"/>
    <s v="31-50"/>
    <x v="1"/>
    <x v="2"/>
    <x v="1"/>
    <n v="5"/>
    <n v="1000"/>
    <n v="5000"/>
    <x v="14"/>
    <x v="1"/>
    <x v="2"/>
    <x v="1"/>
    <n v="2024"/>
  </r>
  <r>
    <n v="1181"/>
    <s v="Kiran"/>
    <s v="Adult"/>
    <n v="32"/>
    <s v="31-50"/>
    <x v="0"/>
    <x v="7"/>
    <x v="2"/>
    <n v="5"/>
    <n v="22484"/>
    <n v="112420"/>
    <x v="8"/>
    <x v="0"/>
    <x v="0"/>
    <x v="1"/>
    <n v="2024"/>
  </r>
  <r>
    <n v="1182"/>
    <s v="Asha"/>
    <s v="Adult"/>
    <n v="32"/>
    <s v="31-50"/>
    <x v="0"/>
    <x v="6"/>
    <x v="0"/>
    <n v="2"/>
    <n v="48960"/>
    <n v="97920"/>
    <x v="48"/>
    <x v="0"/>
    <x v="1"/>
    <x v="1"/>
    <n v="2024"/>
  </r>
  <r>
    <n v="1183"/>
    <s v="Priya"/>
    <s v="Adult"/>
    <n v="30"/>
    <s v="21-30"/>
    <x v="0"/>
    <x v="7"/>
    <x v="2"/>
    <n v="2"/>
    <n v="1000"/>
    <n v="2000"/>
    <x v="23"/>
    <x v="1"/>
    <x v="3"/>
    <x v="1"/>
    <n v="2024"/>
  </r>
  <r>
    <n v="1184"/>
    <s v="Asha"/>
    <s v="Adult"/>
    <n v="30"/>
    <s v="21-30"/>
    <x v="0"/>
    <x v="7"/>
    <x v="2"/>
    <n v="3"/>
    <n v="44402"/>
    <n v="133206"/>
    <x v="3"/>
    <x v="0"/>
    <x v="1"/>
    <x v="0"/>
    <n v="2024"/>
  </r>
  <r>
    <n v="1185"/>
    <s v="Sneha"/>
    <s v="Adult"/>
    <n v="30"/>
    <s v="21-30"/>
    <x v="0"/>
    <x v="1"/>
    <x v="1"/>
    <n v="1"/>
    <n v="1000"/>
    <n v="1000"/>
    <x v="30"/>
    <x v="1"/>
    <x v="2"/>
    <x v="1"/>
    <n v="2024"/>
  </r>
  <r>
    <n v="1186"/>
    <s v="Karthik"/>
    <s v="Adult"/>
    <n v="30"/>
    <s v="21-30"/>
    <x v="0"/>
    <x v="5"/>
    <x v="2"/>
    <n v="5"/>
    <n v="1000"/>
    <n v="5000"/>
    <x v="2"/>
    <x v="1"/>
    <x v="4"/>
    <x v="0"/>
    <n v="2024"/>
  </r>
  <r>
    <n v="1187"/>
    <s v="Ramesh"/>
    <s v="Adult"/>
    <n v="30"/>
    <s v="21-30"/>
    <x v="0"/>
    <x v="2"/>
    <x v="1"/>
    <n v="1"/>
    <n v="1000"/>
    <n v="1000"/>
    <x v="49"/>
    <x v="1"/>
    <x v="2"/>
    <x v="1"/>
    <n v="2024"/>
  </r>
  <r>
    <n v="1188"/>
    <s v="Divya"/>
    <s v="Teen"/>
    <n v="19"/>
    <s v="0-20"/>
    <x v="0"/>
    <x v="3"/>
    <x v="0"/>
    <n v="2"/>
    <n v="1000"/>
    <n v="2000"/>
    <x v="2"/>
    <x v="1"/>
    <x v="1"/>
    <x v="0"/>
    <n v="2024"/>
  </r>
  <r>
    <n v="1189"/>
    <s v="Lakshmi"/>
    <s v="Adult"/>
    <n v="30"/>
    <s v="21-30"/>
    <x v="0"/>
    <x v="6"/>
    <x v="0"/>
    <n v="2"/>
    <n v="12597"/>
    <n v="25194"/>
    <x v="7"/>
    <x v="0"/>
    <x v="3"/>
    <x v="0"/>
    <n v="2024"/>
  </r>
  <r>
    <n v="1190"/>
    <s v="Arun"/>
    <s v="Adult"/>
    <n v="30"/>
    <s v="21-30"/>
    <x v="0"/>
    <x v="5"/>
    <x v="2"/>
    <n v="2"/>
    <n v="9138"/>
    <n v="18276"/>
    <x v="14"/>
    <x v="0"/>
    <x v="3"/>
    <x v="1"/>
    <n v="2024"/>
  </r>
  <r>
    <n v="1191"/>
    <s v="Vikram"/>
    <s v="Senior"/>
    <n v="46"/>
    <s v="31-50"/>
    <x v="1"/>
    <x v="3"/>
    <x v="0"/>
    <n v="2"/>
    <n v="1000"/>
    <n v="2000"/>
    <x v="17"/>
    <x v="1"/>
    <x v="4"/>
    <x v="0"/>
    <n v="2024"/>
  </r>
  <r>
    <n v="1192"/>
    <s v="Divya"/>
    <s v="Senior"/>
    <n v="42"/>
    <s v="31-50"/>
    <x v="1"/>
    <x v="3"/>
    <x v="0"/>
    <n v="5"/>
    <n v="1000"/>
    <n v="5000"/>
    <x v="47"/>
    <x v="1"/>
    <x v="1"/>
    <x v="1"/>
    <n v="2024"/>
  </r>
  <r>
    <n v="1193"/>
    <s v="Sneha"/>
    <s v="Adult"/>
    <n v="30"/>
    <s v="21-30"/>
    <x v="0"/>
    <x v="1"/>
    <x v="1"/>
    <n v="1"/>
    <n v="8970"/>
    <n v="8970"/>
    <x v="51"/>
    <x v="2"/>
    <x v="4"/>
    <x v="0"/>
    <n v="2024"/>
  </r>
  <r>
    <n v="1194"/>
    <s v="Asha"/>
    <s v="Adult"/>
    <n v="30"/>
    <s v="21-30"/>
    <x v="1"/>
    <x v="3"/>
    <x v="0"/>
    <n v="2"/>
    <n v="8285"/>
    <n v="16570"/>
    <x v="39"/>
    <x v="0"/>
    <x v="2"/>
    <x v="0"/>
    <n v="2024"/>
  </r>
  <r>
    <n v="1195"/>
    <s v="Ramesh"/>
    <s v="Adult"/>
    <n v="30"/>
    <s v="21-30"/>
    <x v="0"/>
    <x v="7"/>
    <x v="2"/>
    <n v="2"/>
    <n v="1000"/>
    <n v="2000"/>
    <x v="2"/>
    <x v="1"/>
    <x v="2"/>
    <x v="0"/>
    <n v="2024"/>
  </r>
  <r>
    <n v="1196"/>
    <s v="Neha"/>
    <s v="Adult"/>
    <n v="30"/>
    <s v="21-30"/>
    <x v="0"/>
    <x v="6"/>
    <x v="0"/>
    <n v="2"/>
    <n v="1000"/>
    <n v="2000"/>
    <x v="60"/>
    <x v="1"/>
    <x v="3"/>
    <x v="1"/>
    <n v="2024"/>
  </r>
  <r>
    <n v="1197"/>
    <s v="Neha"/>
    <s v="Adult"/>
    <n v="30"/>
    <s v="21-30"/>
    <x v="0"/>
    <x v="7"/>
    <x v="2"/>
    <n v="2"/>
    <n v="1000"/>
    <n v="2000"/>
    <x v="8"/>
    <x v="1"/>
    <x v="3"/>
    <x v="1"/>
    <n v="2024"/>
  </r>
  <r>
    <n v="1198"/>
    <s v="Anita"/>
    <s v="Teen"/>
    <n v="19"/>
    <s v="0-20"/>
    <x v="0"/>
    <x v="2"/>
    <x v="1"/>
    <n v="2"/>
    <n v="1000"/>
    <n v="2000"/>
    <x v="31"/>
    <x v="1"/>
    <x v="4"/>
    <x v="1"/>
    <n v="2024"/>
  </r>
  <r>
    <n v="1199"/>
    <s v="Meena"/>
    <s v="Adult"/>
    <n v="35"/>
    <s v="31-50"/>
    <x v="0"/>
    <x v="0"/>
    <x v="0"/>
    <n v="4"/>
    <n v="1000"/>
    <n v="4000"/>
    <x v="7"/>
    <x v="1"/>
    <x v="1"/>
    <x v="0"/>
    <n v="2024"/>
  </r>
  <r>
    <n v="1200"/>
    <s v="Anita"/>
    <s v="Adult"/>
    <n v="30"/>
    <s v="21-30"/>
    <x v="0"/>
    <x v="1"/>
    <x v="1"/>
    <n v="2"/>
    <n v="35345"/>
    <n v="70690"/>
    <x v="49"/>
    <x v="0"/>
    <x v="0"/>
    <x v="1"/>
    <n v="2024"/>
  </r>
  <r>
    <n v="1201"/>
    <s v="Surya"/>
    <s v="Senior"/>
    <n v="50"/>
    <s v="31-50"/>
    <x v="0"/>
    <x v="0"/>
    <x v="0"/>
    <n v="3"/>
    <n v="1000"/>
    <n v="3000"/>
    <x v="18"/>
    <x v="1"/>
    <x v="1"/>
    <x v="1"/>
    <n v="2024"/>
  </r>
  <r>
    <n v="1202"/>
    <s v="Karthik"/>
    <s v="Adult"/>
    <n v="30"/>
    <s v="21-30"/>
    <x v="0"/>
    <x v="1"/>
    <x v="1"/>
    <n v="5"/>
    <n v="1000"/>
    <n v="5000"/>
    <x v="38"/>
    <x v="1"/>
    <x v="0"/>
    <x v="0"/>
    <n v="2024"/>
  </r>
  <r>
    <n v="1203"/>
    <s v="Asha"/>
    <s v="Adult"/>
    <n v="30"/>
    <s v="21-30"/>
    <x v="0"/>
    <x v="2"/>
    <x v="1"/>
    <n v="2"/>
    <n v="1000"/>
    <n v="2000"/>
    <x v="51"/>
    <x v="1"/>
    <x v="0"/>
    <x v="0"/>
    <n v="2024"/>
  </r>
  <r>
    <n v="1204"/>
    <s v="Lakshmi"/>
    <s v="Adult"/>
    <n v="36"/>
    <s v="31-50"/>
    <x v="0"/>
    <x v="5"/>
    <x v="2"/>
    <n v="2"/>
    <n v="1000"/>
    <n v="2000"/>
    <x v="57"/>
    <x v="1"/>
    <x v="2"/>
    <x v="1"/>
    <n v="2024"/>
  </r>
  <r>
    <n v="1205"/>
    <s v="Asha"/>
    <s v="Adult"/>
    <n v="22"/>
    <s v="21-30"/>
    <x v="0"/>
    <x v="5"/>
    <x v="2"/>
    <n v="2"/>
    <n v="35110"/>
    <n v="70220"/>
    <x v="29"/>
    <x v="0"/>
    <x v="3"/>
    <x v="0"/>
    <n v="2024"/>
  </r>
  <r>
    <n v="1206"/>
    <s v="Ajay"/>
    <s v="Adult"/>
    <n v="21"/>
    <s v="21-30"/>
    <x v="0"/>
    <x v="1"/>
    <x v="1"/>
    <n v="2"/>
    <n v="11760"/>
    <n v="23520"/>
    <x v="1"/>
    <x v="0"/>
    <x v="2"/>
    <x v="1"/>
    <n v="2024"/>
  </r>
  <r>
    <n v="1207"/>
    <s v="Karthik"/>
    <s v="Adult"/>
    <n v="29"/>
    <s v="21-30"/>
    <x v="0"/>
    <x v="2"/>
    <x v="1"/>
    <n v="1"/>
    <n v="1000"/>
    <n v="1000"/>
    <x v="48"/>
    <x v="1"/>
    <x v="4"/>
    <x v="1"/>
    <n v="2024"/>
  </r>
  <r>
    <n v="1208"/>
    <s v="Priya"/>
    <s v="Adult"/>
    <n v="34"/>
    <s v="31-50"/>
    <x v="1"/>
    <x v="6"/>
    <x v="0"/>
    <n v="2"/>
    <n v="1000"/>
    <n v="2000"/>
    <x v="32"/>
    <x v="1"/>
    <x v="3"/>
    <x v="0"/>
    <n v="2024"/>
  </r>
  <r>
    <n v="1209"/>
    <s v="Ajay"/>
    <s v="Senior"/>
    <n v="48"/>
    <s v="31-50"/>
    <x v="1"/>
    <x v="0"/>
    <x v="0"/>
    <n v="5"/>
    <n v="1000"/>
    <n v="5000"/>
    <x v="55"/>
    <x v="1"/>
    <x v="4"/>
    <x v="1"/>
    <n v="2024"/>
  </r>
  <r>
    <n v="1210"/>
    <s v="Manoj"/>
    <s v="Senior"/>
    <n v="47"/>
    <s v="31-50"/>
    <x v="0"/>
    <x v="6"/>
    <x v="0"/>
    <n v="2"/>
    <n v="1000"/>
    <n v="2000"/>
    <x v="8"/>
    <x v="1"/>
    <x v="2"/>
    <x v="1"/>
    <n v="2024"/>
  </r>
  <r>
    <n v="1211"/>
    <s v="Vikram"/>
    <s v="Adult"/>
    <n v="30"/>
    <s v="21-30"/>
    <x v="1"/>
    <x v="5"/>
    <x v="2"/>
    <n v="2"/>
    <n v="1000"/>
    <n v="2000"/>
    <x v="47"/>
    <x v="1"/>
    <x v="4"/>
    <x v="1"/>
    <n v="2024"/>
  </r>
  <r>
    <n v="1212"/>
    <s v="Sneha"/>
    <s v="Adult"/>
    <n v="30"/>
    <s v="21-30"/>
    <x v="0"/>
    <x v="4"/>
    <x v="2"/>
    <n v="2"/>
    <n v="6262"/>
    <n v="12524"/>
    <x v="60"/>
    <x v="0"/>
    <x v="4"/>
    <x v="1"/>
    <n v="2024"/>
  </r>
  <r>
    <n v="1213"/>
    <s v="Arun"/>
    <s v="Adult"/>
    <n v="30"/>
    <s v="21-30"/>
    <x v="0"/>
    <x v="5"/>
    <x v="2"/>
    <n v="4"/>
    <n v="1000"/>
    <n v="4000"/>
    <x v="27"/>
    <x v="1"/>
    <x v="0"/>
    <x v="0"/>
    <n v="2024"/>
  </r>
  <r>
    <n v="1214"/>
    <s v="Karthik"/>
    <s v="Adult"/>
    <n v="35"/>
    <s v="31-50"/>
    <x v="1"/>
    <x v="6"/>
    <x v="0"/>
    <n v="1"/>
    <n v="9120"/>
    <n v="9120"/>
    <x v="58"/>
    <x v="2"/>
    <x v="3"/>
    <x v="0"/>
    <n v="2024"/>
  </r>
  <r>
    <n v="1215"/>
    <s v="Lakshmi"/>
    <s v="Senior"/>
    <n v="48"/>
    <s v="31-50"/>
    <x v="0"/>
    <x v="5"/>
    <x v="2"/>
    <n v="5"/>
    <n v="35558"/>
    <n v="177790"/>
    <x v="57"/>
    <x v="0"/>
    <x v="3"/>
    <x v="1"/>
    <n v="2024"/>
  </r>
  <r>
    <n v="1216"/>
    <s v="Kiran"/>
    <s v="Adult"/>
    <n v="24"/>
    <s v="21-30"/>
    <x v="1"/>
    <x v="2"/>
    <x v="1"/>
    <n v="1"/>
    <n v="44304"/>
    <n v="44304"/>
    <x v="32"/>
    <x v="0"/>
    <x v="3"/>
    <x v="0"/>
    <n v="2024"/>
  </r>
  <r>
    <n v="1217"/>
    <s v="Ramesh"/>
    <s v="Senior"/>
    <n v="50"/>
    <s v="31-50"/>
    <x v="0"/>
    <x v="6"/>
    <x v="0"/>
    <n v="3"/>
    <n v="1000"/>
    <n v="3000"/>
    <x v="52"/>
    <x v="1"/>
    <x v="2"/>
    <x v="1"/>
    <n v="2024"/>
  </r>
  <r>
    <n v="1218"/>
    <s v="Kiran"/>
    <s v="Adult"/>
    <n v="30"/>
    <s v="21-30"/>
    <x v="0"/>
    <x v="7"/>
    <x v="2"/>
    <n v="2"/>
    <n v="1000"/>
    <n v="2000"/>
    <x v="48"/>
    <x v="1"/>
    <x v="2"/>
    <x v="1"/>
    <n v="2024"/>
  </r>
  <r>
    <n v="1219"/>
    <s v="Surya"/>
    <s v="Adult"/>
    <n v="30"/>
    <s v="21-30"/>
    <x v="0"/>
    <x v="1"/>
    <x v="1"/>
    <n v="2"/>
    <n v="1000"/>
    <n v="2000"/>
    <x v="31"/>
    <x v="1"/>
    <x v="1"/>
    <x v="1"/>
    <n v="2024"/>
  </r>
  <r>
    <n v="1220"/>
    <s v="Ravi"/>
    <s v="Adult"/>
    <n v="30"/>
    <s v="21-30"/>
    <x v="0"/>
    <x v="5"/>
    <x v="2"/>
    <n v="2"/>
    <n v="1000"/>
    <n v="2000"/>
    <x v="26"/>
    <x v="1"/>
    <x v="0"/>
    <x v="0"/>
    <n v="2024"/>
  </r>
  <r>
    <n v="1221"/>
    <s v="Anita"/>
    <s v="Adult"/>
    <n v="22"/>
    <s v="21-30"/>
    <x v="0"/>
    <x v="7"/>
    <x v="2"/>
    <n v="2"/>
    <n v="1000"/>
    <n v="2000"/>
    <x v="6"/>
    <x v="1"/>
    <x v="4"/>
    <x v="0"/>
    <n v="2024"/>
  </r>
  <r>
    <n v="1222"/>
    <s v="Arun"/>
    <s v="Adult"/>
    <n v="30"/>
    <s v="21-30"/>
    <x v="1"/>
    <x v="7"/>
    <x v="2"/>
    <n v="2"/>
    <n v="49651"/>
    <n v="99302"/>
    <x v="38"/>
    <x v="0"/>
    <x v="3"/>
    <x v="0"/>
    <n v="2024"/>
  </r>
  <r>
    <n v="1223"/>
    <s v="Sneha"/>
    <s v="Teen"/>
    <n v="19"/>
    <s v="0-20"/>
    <x v="1"/>
    <x v="5"/>
    <x v="2"/>
    <n v="1"/>
    <n v="1000"/>
    <n v="1000"/>
    <x v="3"/>
    <x v="1"/>
    <x v="4"/>
    <x v="0"/>
    <n v="2024"/>
  </r>
  <r>
    <n v="1224"/>
    <s v="Pooja"/>
    <s v="Adult"/>
    <n v="30"/>
    <s v="21-30"/>
    <x v="0"/>
    <x v="5"/>
    <x v="2"/>
    <n v="2"/>
    <n v="27499"/>
    <n v="54998"/>
    <x v="31"/>
    <x v="0"/>
    <x v="0"/>
    <x v="1"/>
    <n v="2024"/>
  </r>
  <r>
    <n v="1225"/>
    <s v="Anita"/>
    <s v="Adult"/>
    <n v="30"/>
    <s v="21-30"/>
    <x v="1"/>
    <x v="6"/>
    <x v="0"/>
    <n v="2"/>
    <n v="1000"/>
    <n v="2000"/>
    <x v="9"/>
    <x v="1"/>
    <x v="0"/>
    <x v="0"/>
    <n v="2024"/>
  </r>
  <r>
    <n v="1226"/>
    <s v="Priya"/>
    <s v="Adult"/>
    <n v="30"/>
    <s v="21-30"/>
    <x v="0"/>
    <x v="0"/>
    <x v="0"/>
    <n v="5"/>
    <n v="1000"/>
    <n v="5000"/>
    <x v="42"/>
    <x v="1"/>
    <x v="4"/>
    <x v="1"/>
    <n v="2024"/>
  </r>
  <r>
    <n v="1227"/>
    <s v="Neha"/>
    <s v="Senior"/>
    <n v="42"/>
    <s v="31-50"/>
    <x v="1"/>
    <x v="2"/>
    <x v="1"/>
    <n v="5"/>
    <n v="35550"/>
    <n v="177750"/>
    <x v="54"/>
    <x v="0"/>
    <x v="0"/>
    <x v="1"/>
    <n v="2024"/>
  </r>
  <r>
    <n v="1228"/>
    <s v="Karthik"/>
    <s v="Adult"/>
    <n v="30"/>
    <s v="21-30"/>
    <x v="0"/>
    <x v="5"/>
    <x v="2"/>
    <n v="2"/>
    <n v="47230"/>
    <n v="94460"/>
    <x v="25"/>
    <x v="0"/>
    <x v="1"/>
    <x v="1"/>
    <n v="2024"/>
  </r>
  <r>
    <n v="1229"/>
    <s v="Ramesh"/>
    <s v="Adult"/>
    <n v="38"/>
    <s v="31-50"/>
    <x v="0"/>
    <x v="0"/>
    <x v="0"/>
    <n v="2"/>
    <n v="1000"/>
    <n v="2000"/>
    <x v="55"/>
    <x v="1"/>
    <x v="1"/>
    <x v="1"/>
    <n v="2024"/>
  </r>
  <r>
    <n v="1230"/>
    <s v="Karthik"/>
    <s v="Adult"/>
    <n v="30"/>
    <s v="21-30"/>
    <x v="0"/>
    <x v="2"/>
    <x v="1"/>
    <n v="2"/>
    <n v="30631"/>
    <n v="61262"/>
    <x v="13"/>
    <x v="0"/>
    <x v="1"/>
    <x v="1"/>
    <n v="2024"/>
  </r>
  <r>
    <n v="1231"/>
    <s v="Neha"/>
    <s v="Adult"/>
    <n v="30"/>
    <s v="21-30"/>
    <x v="0"/>
    <x v="4"/>
    <x v="2"/>
    <n v="2"/>
    <n v="32714"/>
    <n v="65428"/>
    <x v="23"/>
    <x v="0"/>
    <x v="1"/>
    <x v="1"/>
    <n v="2024"/>
  </r>
  <r>
    <n v="1232"/>
    <s v="Arun"/>
    <s v="Adult"/>
    <n v="30"/>
    <s v="21-30"/>
    <x v="0"/>
    <x v="6"/>
    <x v="0"/>
    <n v="4"/>
    <n v="43142"/>
    <n v="172568"/>
    <x v="13"/>
    <x v="0"/>
    <x v="3"/>
    <x v="1"/>
    <n v="2024"/>
  </r>
  <r>
    <n v="1233"/>
    <s v="Ramesh"/>
    <s v="Adult"/>
    <n v="30"/>
    <s v="21-30"/>
    <x v="0"/>
    <x v="3"/>
    <x v="0"/>
    <n v="5"/>
    <n v="14266"/>
    <n v="71330"/>
    <x v="47"/>
    <x v="0"/>
    <x v="0"/>
    <x v="1"/>
    <n v="2024"/>
  </r>
  <r>
    <n v="1234"/>
    <s v="Pooja"/>
    <s v="Adult"/>
    <n v="30"/>
    <s v="21-30"/>
    <x v="1"/>
    <x v="3"/>
    <x v="0"/>
    <n v="2"/>
    <n v="12132"/>
    <n v="24264"/>
    <x v="28"/>
    <x v="0"/>
    <x v="0"/>
    <x v="0"/>
    <n v="2024"/>
  </r>
  <r>
    <n v="1235"/>
    <s v="Lakshmi"/>
    <s v="Senior"/>
    <n v="50"/>
    <s v="31-50"/>
    <x v="0"/>
    <x v="2"/>
    <x v="1"/>
    <n v="2"/>
    <n v="1000"/>
    <n v="2000"/>
    <x v="29"/>
    <x v="1"/>
    <x v="2"/>
    <x v="0"/>
    <n v="2024"/>
  </r>
  <r>
    <n v="1236"/>
    <s v="Pooja"/>
    <s v="Adult"/>
    <n v="36"/>
    <s v="31-50"/>
    <x v="0"/>
    <x v="1"/>
    <x v="1"/>
    <n v="3"/>
    <n v="1000"/>
    <n v="3000"/>
    <x v="31"/>
    <x v="1"/>
    <x v="2"/>
    <x v="1"/>
    <n v="2024"/>
  </r>
  <r>
    <n v="1237"/>
    <s v="Arun"/>
    <s v="Teen"/>
    <n v="18"/>
    <s v="0-20"/>
    <x v="0"/>
    <x v="4"/>
    <x v="2"/>
    <n v="2"/>
    <n v="1000"/>
    <n v="2000"/>
    <x v="10"/>
    <x v="1"/>
    <x v="0"/>
    <x v="1"/>
    <n v="2024"/>
  </r>
  <r>
    <n v="1238"/>
    <s v="Asha"/>
    <s v="Adult"/>
    <n v="30"/>
    <s v="21-30"/>
    <x v="0"/>
    <x v="7"/>
    <x v="2"/>
    <n v="5"/>
    <n v="5105"/>
    <n v="25525"/>
    <x v="60"/>
    <x v="0"/>
    <x v="1"/>
    <x v="1"/>
    <n v="2024"/>
  </r>
  <r>
    <n v="1239"/>
    <s v="Sneha"/>
    <s v="Adult"/>
    <n v="30"/>
    <s v="21-30"/>
    <x v="0"/>
    <x v="7"/>
    <x v="2"/>
    <n v="1"/>
    <n v="1000"/>
    <n v="1000"/>
    <x v="5"/>
    <x v="1"/>
    <x v="2"/>
    <x v="0"/>
    <n v="2024"/>
  </r>
  <r>
    <n v="1240"/>
    <s v="Arun"/>
    <s v="Adult"/>
    <n v="30"/>
    <s v="21-30"/>
    <x v="0"/>
    <x v="0"/>
    <x v="0"/>
    <n v="3"/>
    <n v="23030"/>
    <n v="69090"/>
    <x v="4"/>
    <x v="0"/>
    <x v="0"/>
    <x v="1"/>
    <n v="2024"/>
  </r>
  <r>
    <n v="1241"/>
    <s v="Sneha"/>
    <s v="Adult"/>
    <n v="31"/>
    <s v="31-50"/>
    <x v="0"/>
    <x v="3"/>
    <x v="0"/>
    <n v="2"/>
    <n v="1000"/>
    <n v="2000"/>
    <x v="32"/>
    <x v="1"/>
    <x v="4"/>
    <x v="0"/>
    <n v="2024"/>
  </r>
  <r>
    <n v="1242"/>
    <s v="Ravi"/>
    <s v="Adult"/>
    <n v="30"/>
    <s v="21-30"/>
    <x v="0"/>
    <x v="3"/>
    <x v="0"/>
    <n v="1"/>
    <n v="1000"/>
    <n v="1000"/>
    <x v="9"/>
    <x v="1"/>
    <x v="1"/>
    <x v="0"/>
    <n v="2024"/>
  </r>
  <r>
    <n v="1243"/>
    <s v="Asha"/>
    <s v="Adult"/>
    <n v="22"/>
    <s v="21-30"/>
    <x v="1"/>
    <x v="1"/>
    <x v="1"/>
    <n v="2"/>
    <n v="1000"/>
    <n v="2000"/>
    <x v="45"/>
    <x v="1"/>
    <x v="3"/>
    <x v="0"/>
    <n v="2024"/>
  </r>
  <r>
    <n v="1244"/>
    <s v="Asha"/>
    <s v="Adult"/>
    <n v="20"/>
    <s v="0-20"/>
    <x v="0"/>
    <x v="7"/>
    <x v="2"/>
    <n v="2"/>
    <n v="23629"/>
    <n v="47258"/>
    <x v="33"/>
    <x v="0"/>
    <x v="3"/>
    <x v="0"/>
    <n v="2024"/>
  </r>
  <r>
    <n v="1245"/>
    <s v="Ajay"/>
    <s v="Adult"/>
    <n v="37"/>
    <s v="31-50"/>
    <x v="0"/>
    <x v="6"/>
    <x v="0"/>
    <n v="2"/>
    <n v="1000"/>
    <n v="2000"/>
    <x v="14"/>
    <x v="1"/>
    <x v="4"/>
    <x v="1"/>
    <n v="2024"/>
  </r>
  <r>
    <n v="1246"/>
    <s v="Sneha"/>
    <s v="Adult"/>
    <n v="30"/>
    <s v="21-30"/>
    <x v="0"/>
    <x v="6"/>
    <x v="0"/>
    <n v="4"/>
    <n v="1000"/>
    <n v="4000"/>
    <x v="35"/>
    <x v="1"/>
    <x v="4"/>
    <x v="0"/>
    <n v="2024"/>
  </r>
  <r>
    <n v="1247"/>
    <s v="Sneha"/>
    <s v="Adult"/>
    <n v="39"/>
    <s v="31-50"/>
    <x v="0"/>
    <x v="1"/>
    <x v="1"/>
    <n v="2"/>
    <n v="1000"/>
    <n v="2000"/>
    <x v="41"/>
    <x v="1"/>
    <x v="1"/>
    <x v="0"/>
    <n v="2024"/>
  </r>
  <r>
    <n v="1248"/>
    <s v="Kiran"/>
    <s v="Adult"/>
    <n v="30"/>
    <s v="21-30"/>
    <x v="0"/>
    <x v="1"/>
    <x v="1"/>
    <n v="2"/>
    <n v="1000"/>
    <n v="2000"/>
    <x v="14"/>
    <x v="1"/>
    <x v="1"/>
    <x v="1"/>
    <n v="2024"/>
  </r>
  <r>
    <n v="1249"/>
    <s v="Arun"/>
    <s v="Adult"/>
    <n v="30"/>
    <s v="21-30"/>
    <x v="1"/>
    <x v="0"/>
    <x v="0"/>
    <n v="2"/>
    <n v="1000"/>
    <n v="2000"/>
    <x v="18"/>
    <x v="1"/>
    <x v="1"/>
    <x v="1"/>
    <n v="2024"/>
  </r>
  <r>
    <n v="1250"/>
    <s v="Meena"/>
    <s v="Adult"/>
    <n v="30"/>
    <s v="21-30"/>
    <x v="1"/>
    <x v="0"/>
    <x v="0"/>
    <n v="2"/>
    <n v="2753"/>
    <n v="5506"/>
    <x v="20"/>
    <x v="2"/>
    <x v="4"/>
    <x v="1"/>
    <n v="2024"/>
  </r>
  <r>
    <n v="1251"/>
    <s v="Vikram"/>
    <s v="Adult"/>
    <n v="30"/>
    <s v="21-30"/>
    <x v="0"/>
    <x v="2"/>
    <x v="1"/>
    <n v="2"/>
    <n v="1000"/>
    <n v="2000"/>
    <x v="49"/>
    <x v="1"/>
    <x v="3"/>
    <x v="1"/>
    <n v="2024"/>
  </r>
  <r>
    <n v="1252"/>
    <s v="Karthik"/>
    <s v="Adult"/>
    <n v="30"/>
    <s v="21-30"/>
    <x v="0"/>
    <x v="5"/>
    <x v="2"/>
    <n v="3"/>
    <n v="37585"/>
    <n v="112755"/>
    <x v="4"/>
    <x v="0"/>
    <x v="0"/>
    <x v="1"/>
    <n v="2024"/>
  </r>
  <r>
    <n v="1253"/>
    <s v="Neha"/>
    <s v="Adult"/>
    <n v="30"/>
    <s v="21-30"/>
    <x v="1"/>
    <x v="6"/>
    <x v="0"/>
    <n v="2"/>
    <n v="44477"/>
    <n v="88954"/>
    <x v="28"/>
    <x v="0"/>
    <x v="0"/>
    <x v="0"/>
    <n v="2024"/>
  </r>
  <r>
    <n v="1254"/>
    <s v="Vikram"/>
    <s v="Adult"/>
    <n v="23"/>
    <s v="21-30"/>
    <x v="0"/>
    <x v="3"/>
    <x v="0"/>
    <n v="5"/>
    <n v="1000"/>
    <n v="5000"/>
    <x v="58"/>
    <x v="1"/>
    <x v="4"/>
    <x v="0"/>
    <n v="2024"/>
  </r>
  <r>
    <n v="1255"/>
    <s v="Manoj"/>
    <s v="Adult"/>
    <n v="30"/>
    <s v="21-30"/>
    <x v="1"/>
    <x v="2"/>
    <x v="1"/>
    <n v="2"/>
    <n v="1668"/>
    <n v="3336"/>
    <x v="47"/>
    <x v="1"/>
    <x v="0"/>
    <x v="1"/>
    <n v="2024"/>
  </r>
  <r>
    <n v="1256"/>
    <s v="Manoj"/>
    <s v="Teen"/>
    <n v="19"/>
    <s v="0-20"/>
    <x v="0"/>
    <x v="2"/>
    <x v="1"/>
    <n v="2"/>
    <n v="15617"/>
    <n v="31234"/>
    <x v="25"/>
    <x v="0"/>
    <x v="4"/>
    <x v="1"/>
    <n v="2024"/>
  </r>
  <r>
    <n v="1257"/>
    <s v="Divya"/>
    <s v="Adult"/>
    <n v="26"/>
    <s v="21-30"/>
    <x v="0"/>
    <x v="0"/>
    <x v="0"/>
    <n v="2"/>
    <n v="1000"/>
    <n v="2000"/>
    <x v="5"/>
    <x v="1"/>
    <x v="3"/>
    <x v="0"/>
    <n v="2024"/>
  </r>
  <r>
    <n v="1258"/>
    <s v="Lakshmi"/>
    <s v="Adult"/>
    <n v="20"/>
    <s v="0-20"/>
    <x v="1"/>
    <x v="3"/>
    <x v="0"/>
    <n v="2"/>
    <n v="1000"/>
    <n v="2000"/>
    <x v="45"/>
    <x v="1"/>
    <x v="1"/>
    <x v="0"/>
    <n v="2024"/>
  </r>
  <r>
    <n v="1259"/>
    <s v="Divya"/>
    <s v="Adult"/>
    <n v="30"/>
    <s v="21-30"/>
    <x v="0"/>
    <x v="2"/>
    <x v="1"/>
    <n v="2"/>
    <n v="1000"/>
    <n v="2000"/>
    <x v="54"/>
    <x v="1"/>
    <x v="2"/>
    <x v="1"/>
    <n v="2024"/>
  </r>
  <r>
    <n v="1260"/>
    <s v="Asha"/>
    <s v="Adult"/>
    <n v="30"/>
    <s v="21-30"/>
    <x v="0"/>
    <x v="1"/>
    <x v="1"/>
    <n v="5"/>
    <n v="41508"/>
    <n v="207540"/>
    <x v="7"/>
    <x v="0"/>
    <x v="4"/>
    <x v="0"/>
    <n v="2024"/>
  </r>
  <r>
    <n v="1261"/>
    <s v="Surya"/>
    <s v="Adult"/>
    <n v="30"/>
    <s v="21-30"/>
    <x v="0"/>
    <x v="5"/>
    <x v="2"/>
    <n v="2"/>
    <n v="1000"/>
    <n v="2000"/>
    <x v="48"/>
    <x v="1"/>
    <x v="0"/>
    <x v="1"/>
    <n v="2024"/>
  </r>
  <r>
    <n v="1262"/>
    <s v="Asha"/>
    <s v="Senior"/>
    <n v="44"/>
    <s v="31-50"/>
    <x v="0"/>
    <x v="6"/>
    <x v="0"/>
    <n v="2"/>
    <n v="48628"/>
    <n v="97256"/>
    <x v="26"/>
    <x v="0"/>
    <x v="1"/>
    <x v="0"/>
    <n v="2024"/>
  </r>
  <r>
    <n v="1263"/>
    <s v="Ajay"/>
    <s v="Adult"/>
    <n v="30"/>
    <s v="21-30"/>
    <x v="0"/>
    <x v="0"/>
    <x v="0"/>
    <n v="2"/>
    <n v="1000"/>
    <n v="2000"/>
    <x v="18"/>
    <x v="1"/>
    <x v="1"/>
    <x v="1"/>
    <n v="2024"/>
  </r>
  <r>
    <n v="1264"/>
    <s v="Neha"/>
    <s v="Adult"/>
    <n v="30"/>
    <s v="21-30"/>
    <x v="0"/>
    <x v="7"/>
    <x v="2"/>
    <n v="4"/>
    <n v="1000"/>
    <n v="4000"/>
    <x v="36"/>
    <x v="1"/>
    <x v="0"/>
    <x v="0"/>
    <n v="2024"/>
  </r>
  <r>
    <n v="1265"/>
    <s v="Ravi"/>
    <s v="Adult"/>
    <n v="30"/>
    <s v="21-30"/>
    <x v="1"/>
    <x v="4"/>
    <x v="2"/>
    <n v="2"/>
    <n v="39355"/>
    <n v="78710"/>
    <x v="55"/>
    <x v="0"/>
    <x v="4"/>
    <x v="1"/>
    <n v="2024"/>
  </r>
  <r>
    <n v="1266"/>
    <s v="Neha"/>
    <s v="Adult"/>
    <n v="23"/>
    <s v="21-30"/>
    <x v="1"/>
    <x v="3"/>
    <x v="0"/>
    <n v="3"/>
    <n v="1000"/>
    <n v="3000"/>
    <x v="46"/>
    <x v="1"/>
    <x v="1"/>
    <x v="0"/>
    <n v="2024"/>
  </r>
  <r>
    <n v="1267"/>
    <s v="Lakshmi"/>
    <s v="Adult"/>
    <n v="32"/>
    <s v="31-50"/>
    <x v="0"/>
    <x v="1"/>
    <x v="1"/>
    <n v="2"/>
    <n v="2600"/>
    <n v="5200"/>
    <x v="17"/>
    <x v="2"/>
    <x v="4"/>
    <x v="0"/>
    <n v="2024"/>
  </r>
  <r>
    <n v="1268"/>
    <s v="Ajay"/>
    <s v="Adult"/>
    <n v="20"/>
    <s v="0-20"/>
    <x v="0"/>
    <x v="2"/>
    <x v="1"/>
    <n v="1"/>
    <n v="1000"/>
    <n v="1000"/>
    <x v="0"/>
    <x v="1"/>
    <x v="3"/>
    <x v="0"/>
    <n v="2024"/>
  </r>
  <r>
    <n v="1269"/>
    <s v="Ajay"/>
    <s v="Adult"/>
    <n v="26"/>
    <s v="21-30"/>
    <x v="1"/>
    <x v="2"/>
    <x v="1"/>
    <n v="1"/>
    <n v="13179"/>
    <n v="13179"/>
    <x v="56"/>
    <x v="0"/>
    <x v="3"/>
    <x v="1"/>
    <n v="2024"/>
  </r>
  <r>
    <n v="1270"/>
    <s v="Asha"/>
    <s v="Senior"/>
    <n v="49"/>
    <s v="31-50"/>
    <x v="1"/>
    <x v="1"/>
    <x v="1"/>
    <n v="2"/>
    <n v="1000"/>
    <n v="2000"/>
    <x v="19"/>
    <x v="1"/>
    <x v="2"/>
    <x v="1"/>
    <n v="2024"/>
  </r>
  <r>
    <n v="1271"/>
    <s v="Kiran"/>
    <s v="Adult"/>
    <n v="24"/>
    <s v="21-30"/>
    <x v="1"/>
    <x v="5"/>
    <x v="2"/>
    <n v="3"/>
    <n v="30059"/>
    <n v="90177"/>
    <x v="34"/>
    <x v="0"/>
    <x v="3"/>
    <x v="1"/>
    <n v="2024"/>
  </r>
  <r>
    <n v="1272"/>
    <s v="Arun"/>
    <s v="Senior"/>
    <n v="45"/>
    <s v="31-50"/>
    <x v="0"/>
    <x v="4"/>
    <x v="2"/>
    <n v="4"/>
    <n v="8706"/>
    <n v="34824"/>
    <x v="18"/>
    <x v="0"/>
    <x v="3"/>
    <x v="1"/>
    <n v="2024"/>
  </r>
  <r>
    <n v="1273"/>
    <s v="Arun"/>
    <s v="Adult"/>
    <n v="30"/>
    <s v="21-30"/>
    <x v="0"/>
    <x v="7"/>
    <x v="2"/>
    <n v="2"/>
    <n v="1000"/>
    <n v="2000"/>
    <x v="19"/>
    <x v="1"/>
    <x v="1"/>
    <x v="1"/>
    <n v="2024"/>
  </r>
  <r>
    <n v="1274"/>
    <s v="Anita"/>
    <s v="Senior"/>
    <n v="40"/>
    <s v="31-50"/>
    <x v="1"/>
    <x v="1"/>
    <x v="1"/>
    <n v="2"/>
    <n v="1000"/>
    <n v="2000"/>
    <x v="23"/>
    <x v="1"/>
    <x v="3"/>
    <x v="1"/>
    <n v="2024"/>
  </r>
  <r>
    <n v="1275"/>
    <s v="Asha"/>
    <s v="Adult"/>
    <n v="30"/>
    <s v="21-30"/>
    <x v="0"/>
    <x v="7"/>
    <x v="2"/>
    <n v="2"/>
    <n v="27437"/>
    <n v="54874"/>
    <x v="12"/>
    <x v="0"/>
    <x v="2"/>
    <x v="0"/>
    <n v="2024"/>
  </r>
  <r>
    <n v="1276"/>
    <s v="Lakshmi"/>
    <s v="Adult"/>
    <n v="26"/>
    <s v="21-30"/>
    <x v="0"/>
    <x v="5"/>
    <x v="2"/>
    <n v="2"/>
    <n v="1000"/>
    <n v="2000"/>
    <x v="36"/>
    <x v="1"/>
    <x v="4"/>
    <x v="0"/>
    <n v="2024"/>
  </r>
  <r>
    <n v="1277"/>
    <s v="Vikram"/>
    <s v="Senior"/>
    <n v="40"/>
    <s v="31-50"/>
    <x v="0"/>
    <x v="5"/>
    <x v="2"/>
    <n v="2"/>
    <n v="1000"/>
    <n v="2000"/>
    <x v="25"/>
    <x v="1"/>
    <x v="4"/>
    <x v="1"/>
    <n v="2024"/>
  </r>
  <r>
    <n v="1278"/>
    <s v="Ramesh"/>
    <s v="Adult"/>
    <n v="30"/>
    <s v="21-30"/>
    <x v="0"/>
    <x v="0"/>
    <x v="0"/>
    <n v="3"/>
    <n v="1000"/>
    <n v="3000"/>
    <x v="24"/>
    <x v="1"/>
    <x v="4"/>
    <x v="1"/>
    <n v="2024"/>
  </r>
  <r>
    <n v="1279"/>
    <s v="Karthik"/>
    <s v="Adult"/>
    <n v="25"/>
    <s v="21-30"/>
    <x v="0"/>
    <x v="5"/>
    <x v="2"/>
    <n v="2"/>
    <n v="1000"/>
    <n v="2000"/>
    <x v="16"/>
    <x v="1"/>
    <x v="2"/>
    <x v="2"/>
    <n v="2024"/>
  </r>
  <r>
    <n v="1280"/>
    <s v="Manoj"/>
    <s v="Teen"/>
    <n v="19"/>
    <s v="0-20"/>
    <x v="0"/>
    <x v="2"/>
    <x v="1"/>
    <n v="2"/>
    <n v="1000"/>
    <n v="2000"/>
    <x v="9"/>
    <x v="1"/>
    <x v="2"/>
    <x v="0"/>
    <n v="2024"/>
  </r>
  <r>
    <n v="1281"/>
    <s v="Arun"/>
    <s v="Adult"/>
    <n v="30"/>
    <s v="21-30"/>
    <x v="0"/>
    <x v="1"/>
    <x v="1"/>
    <n v="1"/>
    <n v="23993"/>
    <n v="23993"/>
    <x v="40"/>
    <x v="0"/>
    <x v="2"/>
    <x v="0"/>
    <n v="2024"/>
  </r>
  <r>
    <n v="1282"/>
    <s v="Arun"/>
    <s v="Adult"/>
    <n v="30"/>
    <s v="21-30"/>
    <x v="0"/>
    <x v="1"/>
    <x v="1"/>
    <n v="1"/>
    <n v="1000"/>
    <n v="1000"/>
    <x v="6"/>
    <x v="1"/>
    <x v="0"/>
    <x v="0"/>
    <n v="2024"/>
  </r>
  <r>
    <n v="1283"/>
    <s v="Ajay"/>
    <s v="Adult"/>
    <n v="30"/>
    <s v="21-30"/>
    <x v="0"/>
    <x v="1"/>
    <x v="1"/>
    <n v="2"/>
    <n v="1000"/>
    <n v="2000"/>
    <x v="27"/>
    <x v="1"/>
    <x v="0"/>
    <x v="0"/>
    <n v="2024"/>
  </r>
  <r>
    <n v="1284"/>
    <s v="Divya"/>
    <s v="Adult"/>
    <n v="30"/>
    <s v="21-30"/>
    <x v="0"/>
    <x v="3"/>
    <x v="0"/>
    <n v="2"/>
    <n v="47845"/>
    <n v="95690"/>
    <x v="41"/>
    <x v="0"/>
    <x v="0"/>
    <x v="0"/>
    <n v="2024"/>
  </r>
  <r>
    <n v="1285"/>
    <s v="Vikram"/>
    <s v="Adult"/>
    <n v="30"/>
    <s v="21-30"/>
    <x v="0"/>
    <x v="7"/>
    <x v="2"/>
    <n v="2"/>
    <n v="1000"/>
    <n v="2000"/>
    <x v="57"/>
    <x v="1"/>
    <x v="4"/>
    <x v="1"/>
    <n v="2024"/>
  </r>
  <r>
    <n v="1286"/>
    <s v="Asha"/>
    <s v="Adult"/>
    <n v="30"/>
    <s v="21-30"/>
    <x v="0"/>
    <x v="3"/>
    <x v="0"/>
    <n v="1"/>
    <n v="1000"/>
    <n v="1000"/>
    <x v="22"/>
    <x v="1"/>
    <x v="1"/>
    <x v="0"/>
    <n v="2024"/>
  </r>
  <r>
    <n v="1287"/>
    <s v="Ajay"/>
    <s v="Adult"/>
    <n v="30"/>
    <s v="21-30"/>
    <x v="0"/>
    <x v="4"/>
    <x v="2"/>
    <n v="2"/>
    <n v="1000"/>
    <n v="2000"/>
    <x v="9"/>
    <x v="1"/>
    <x v="3"/>
    <x v="0"/>
    <n v="2024"/>
  </r>
  <r>
    <n v="1288"/>
    <s v="Ramesh"/>
    <s v="Adult"/>
    <n v="30"/>
    <s v="21-30"/>
    <x v="1"/>
    <x v="3"/>
    <x v="0"/>
    <n v="2"/>
    <n v="1000"/>
    <n v="2000"/>
    <x v="54"/>
    <x v="1"/>
    <x v="1"/>
    <x v="1"/>
    <n v="2024"/>
  </r>
  <r>
    <n v="1289"/>
    <s v="Ravi"/>
    <s v="Senior"/>
    <n v="41"/>
    <s v="31-50"/>
    <x v="0"/>
    <x v="2"/>
    <x v="1"/>
    <n v="2"/>
    <n v="1000"/>
    <n v="2000"/>
    <x v="25"/>
    <x v="1"/>
    <x v="1"/>
    <x v="1"/>
    <n v="2024"/>
  </r>
  <r>
    <n v="1290"/>
    <s v="Divya"/>
    <s v="Senior"/>
    <n v="40"/>
    <s v="31-50"/>
    <x v="0"/>
    <x v="7"/>
    <x v="2"/>
    <n v="4"/>
    <n v="1000"/>
    <n v="4000"/>
    <x v="11"/>
    <x v="1"/>
    <x v="0"/>
    <x v="0"/>
    <n v="2024"/>
  </r>
  <r>
    <n v="1291"/>
    <s v="Neha"/>
    <s v="Adult"/>
    <n v="30"/>
    <s v="21-30"/>
    <x v="1"/>
    <x v="1"/>
    <x v="1"/>
    <n v="2"/>
    <n v="27313"/>
    <n v="54626"/>
    <x v="38"/>
    <x v="0"/>
    <x v="4"/>
    <x v="0"/>
    <n v="2024"/>
  </r>
  <r>
    <n v="1292"/>
    <s v="Pooja"/>
    <s v="Adult"/>
    <n v="30"/>
    <s v="21-30"/>
    <x v="0"/>
    <x v="5"/>
    <x v="2"/>
    <n v="2"/>
    <n v="1000"/>
    <n v="2000"/>
    <x v="32"/>
    <x v="1"/>
    <x v="1"/>
    <x v="0"/>
    <n v="2024"/>
  </r>
  <r>
    <n v="1293"/>
    <s v="Ajay"/>
    <s v="Adult"/>
    <n v="37"/>
    <s v="31-50"/>
    <x v="1"/>
    <x v="0"/>
    <x v="0"/>
    <n v="5"/>
    <n v="1000"/>
    <n v="5000"/>
    <x v="18"/>
    <x v="1"/>
    <x v="4"/>
    <x v="1"/>
    <n v="2024"/>
  </r>
  <r>
    <n v="1294"/>
    <s v="Meena"/>
    <s v="Adult"/>
    <n v="34"/>
    <s v="31-50"/>
    <x v="0"/>
    <x v="7"/>
    <x v="2"/>
    <n v="4"/>
    <n v="46799"/>
    <n v="187196"/>
    <x v="43"/>
    <x v="0"/>
    <x v="1"/>
    <x v="0"/>
    <n v="2024"/>
  </r>
  <r>
    <n v="1295"/>
    <s v="Surya"/>
    <s v="Adult"/>
    <n v="30"/>
    <s v="21-30"/>
    <x v="0"/>
    <x v="3"/>
    <x v="0"/>
    <n v="1"/>
    <n v="1000"/>
    <n v="1000"/>
    <x v="50"/>
    <x v="1"/>
    <x v="1"/>
    <x v="0"/>
    <n v="2024"/>
  </r>
  <r>
    <n v="1296"/>
    <s v="Arun"/>
    <s v="Adult"/>
    <n v="30"/>
    <s v="21-30"/>
    <x v="0"/>
    <x v="0"/>
    <x v="0"/>
    <n v="3"/>
    <n v="12583"/>
    <n v="37749"/>
    <x v="13"/>
    <x v="0"/>
    <x v="4"/>
    <x v="1"/>
    <n v="2024"/>
  </r>
  <r>
    <n v="1297"/>
    <s v="Asha"/>
    <s v="Senior"/>
    <n v="49"/>
    <s v="31-50"/>
    <x v="1"/>
    <x v="0"/>
    <x v="0"/>
    <n v="2"/>
    <n v="1000"/>
    <n v="2000"/>
    <x v="42"/>
    <x v="1"/>
    <x v="4"/>
    <x v="1"/>
    <n v="2024"/>
  </r>
  <r>
    <n v="1298"/>
    <s v="Lakshmi"/>
    <s v="Adult"/>
    <n v="30"/>
    <s v="21-30"/>
    <x v="1"/>
    <x v="3"/>
    <x v="0"/>
    <n v="5"/>
    <n v="36826"/>
    <n v="184130"/>
    <x v="16"/>
    <x v="0"/>
    <x v="3"/>
    <x v="2"/>
    <n v="2024"/>
  </r>
  <r>
    <n v="1299"/>
    <s v="Lakshmi"/>
    <s v="Adult"/>
    <n v="30"/>
    <s v="21-30"/>
    <x v="0"/>
    <x v="3"/>
    <x v="0"/>
    <n v="2"/>
    <n v="12932"/>
    <n v="25864"/>
    <x v="12"/>
    <x v="0"/>
    <x v="0"/>
    <x v="0"/>
    <n v="2024"/>
  </r>
  <r>
    <n v="1300"/>
    <s v="Neha"/>
    <s v="Adult"/>
    <n v="30"/>
    <s v="21-30"/>
    <x v="0"/>
    <x v="6"/>
    <x v="0"/>
    <n v="1"/>
    <n v="25097"/>
    <n v="25097"/>
    <x v="49"/>
    <x v="0"/>
    <x v="0"/>
    <x v="1"/>
    <n v="2024"/>
  </r>
  <r>
    <n v="1301"/>
    <s v="Kiran"/>
    <s v="Adult"/>
    <n v="30"/>
    <s v="21-30"/>
    <x v="1"/>
    <x v="0"/>
    <x v="0"/>
    <n v="1"/>
    <n v="1000"/>
    <n v="1000"/>
    <x v="50"/>
    <x v="1"/>
    <x v="0"/>
    <x v="0"/>
    <n v="2024"/>
  </r>
  <r>
    <n v="1302"/>
    <s v="Ravi"/>
    <s v="Adult"/>
    <n v="30"/>
    <s v="21-30"/>
    <x v="0"/>
    <x v="2"/>
    <x v="1"/>
    <n v="1"/>
    <n v="40480"/>
    <n v="40480"/>
    <x v="55"/>
    <x v="0"/>
    <x v="1"/>
    <x v="1"/>
    <n v="2024"/>
  </r>
  <r>
    <n v="1303"/>
    <s v="Neha"/>
    <s v="Senior"/>
    <n v="40"/>
    <s v="31-50"/>
    <x v="0"/>
    <x v="7"/>
    <x v="2"/>
    <n v="2"/>
    <n v="1000"/>
    <n v="2000"/>
    <x v="5"/>
    <x v="1"/>
    <x v="4"/>
    <x v="0"/>
    <n v="2024"/>
  </r>
  <r>
    <n v="1304"/>
    <s v="Manoj"/>
    <s v="Adult"/>
    <n v="23"/>
    <s v="21-30"/>
    <x v="1"/>
    <x v="6"/>
    <x v="0"/>
    <n v="3"/>
    <n v="1000"/>
    <n v="3000"/>
    <x v="30"/>
    <x v="1"/>
    <x v="2"/>
    <x v="1"/>
    <n v="2024"/>
  </r>
  <r>
    <n v="1305"/>
    <s v="Ajay"/>
    <s v="Adult"/>
    <n v="30"/>
    <s v="21-30"/>
    <x v="1"/>
    <x v="4"/>
    <x v="2"/>
    <n v="2"/>
    <n v="25140"/>
    <n v="50280"/>
    <x v="45"/>
    <x v="0"/>
    <x v="3"/>
    <x v="0"/>
    <n v="2024"/>
  </r>
  <r>
    <n v="1306"/>
    <s v="Anita"/>
    <s v="Teen"/>
    <n v="19"/>
    <s v="0-20"/>
    <x v="0"/>
    <x v="3"/>
    <x v="0"/>
    <n v="2"/>
    <n v="1000"/>
    <n v="2000"/>
    <x v="2"/>
    <x v="1"/>
    <x v="3"/>
    <x v="0"/>
    <n v="2024"/>
  </r>
  <r>
    <n v="1307"/>
    <s v="Kiran"/>
    <s v="Adult"/>
    <n v="30"/>
    <s v="21-30"/>
    <x v="0"/>
    <x v="7"/>
    <x v="2"/>
    <n v="2"/>
    <n v="20051"/>
    <n v="40102"/>
    <x v="31"/>
    <x v="0"/>
    <x v="1"/>
    <x v="1"/>
    <n v="2024"/>
  </r>
  <r>
    <n v="1308"/>
    <s v="Kiran"/>
    <s v="Adult"/>
    <n v="30"/>
    <s v="21-30"/>
    <x v="1"/>
    <x v="2"/>
    <x v="1"/>
    <n v="2"/>
    <n v="22517"/>
    <n v="45034"/>
    <x v="8"/>
    <x v="0"/>
    <x v="2"/>
    <x v="1"/>
    <n v="2024"/>
  </r>
  <r>
    <n v="1309"/>
    <s v="Lakshmi"/>
    <s v="Adult"/>
    <n v="36"/>
    <s v="31-50"/>
    <x v="0"/>
    <x v="4"/>
    <x v="2"/>
    <n v="2"/>
    <n v="1000"/>
    <n v="2000"/>
    <x v="12"/>
    <x v="1"/>
    <x v="3"/>
    <x v="0"/>
    <n v="2024"/>
  </r>
  <r>
    <n v="1310"/>
    <s v="Lakshmi"/>
    <s v="Adult"/>
    <n v="30"/>
    <s v="21-30"/>
    <x v="1"/>
    <x v="3"/>
    <x v="0"/>
    <n v="2"/>
    <n v="7277"/>
    <n v="14554"/>
    <x v="1"/>
    <x v="0"/>
    <x v="0"/>
    <x v="1"/>
    <n v="2024"/>
  </r>
  <r>
    <n v="1311"/>
    <s v="Priya"/>
    <s v="Adult"/>
    <n v="28"/>
    <s v="21-30"/>
    <x v="0"/>
    <x v="0"/>
    <x v="0"/>
    <n v="2"/>
    <n v="1000"/>
    <n v="2000"/>
    <x v="38"/>
    <x v="1"/>
    <x v="4"/>
    <x v="0"/>
    <n v="2024"/>
  </r>
  <r>
    <n v="1312"/>
    <s v="Lakshmi"/>
    <s v="Adult"/>
    <n v="30"/>
    <s v="21-30"/>
    <x v="1"/>
    <x v="0"/>
    <x v="0"/>
    <n v="2"/>
    <n v="1000"/>
    <n v="2000"/>
    <x v="30"/>
    <x v="1"/>
    <x v="1"/>
    <x v="1"/>
    <n v="2024"/>
  </r>
  <r>
    <n v="1313"/>
    <s v="Arun"/>
    <s v="Senior"/>
    <n v="48"/>
    <s v="31-50"/>
    <x v="1"/>
    <x v="4"/>
    <x v="2"/>
    <n v="2"/>
    <n v="1000"/>
    <n v="2000"/>
    <x v="44"/>
    <x v="1"/>
    <x v="3"/>
    <x v="1"/>
    <n v="2024"/>
  </r>
  <r>
    <n v="1314"/>
    <s v="Sneha"/>
    <s v="Adult"/>
    <n v="30"/>
    <s v="21-30"/>
    <x v="0"/>
    <x v="1"/>
    <x v="1"/>
    <n v="2"/>
    <n v="36607"/>
    <n v="73214"/>
    <x v="38"/>
    <x v="0"/>
    <x v="4"/>
    <x v="0"/>
    <n v="2024"/>
  </r>
  <r>
    <n v="1315"/>
    <s v="Priya"/>
    <s v="Adult"/>
    <n v="39"/>
    <s v="31-50"/>
    <x v="0"/>
    <x v="2"/>
    <x v="1"/>
    <n v="5"/>
    <n v="1000"/>
    <n v="5000"/>
    <x v="39"/>
    <x v="1"/>
    <x v="0"/>
    <x v="0"/>
    <n v="2024"/>
  </r>
  <r>
    <n v="1316"/>
    <s v="Kiran"/>
    <s v="Adult"/>
    <n v="32"/>
    <s v="31-50"/>
    <x v="0"/>
    <x v="5"/>
    <x v="2"/>
    <n v="2"/>
    <n v="1000"/>
    <n v="2000"/>
    <x v="56"/>
    <x v="1"/>
    <x v="4"/>
    <x v="1"/>
    <n v="2024"/>
  </r>
  <r>
    <n v="1317"/>
    <s v="Asha"/>
    <s v="Senior"/>
    <n v="47"/>
    <s v="31-50"/>
    <x v="1"/>
    <x v="2"/>
    <x v="1"/>
    <n v="2"/>
    <n v="1000"/>
    <n v="2000"/>
    <x v="51"/>
    <x v="1"/>
    <x v="3"/>
    <x v="0"/>
    <n v="2024"/>
  </r>
  <r>
    <n v="1318"/>
    <s v="Ajay"/>
    <s v="Adult"/>
    <n v="30"/>
    <s v="21-30"/>
    <x v="0"/>
    <x v="5"/>
    <x v="2"/>
    <n v="2"/>
    <n v="1000"/>
    <n v="2000"/>
    <x v="17"/>
    <x v="1"/>
    <x v="2"/>
    <x v="0"/>
    <n v="2024"/>
  </r>
  <r>
    <n v="1319"/>
    <s v="Divya"/>
    <s v="Adult"/>
    <n v="24"/>
    <s v="21-30"/>
    <x v="1"/>
    <x v="3"/>
    <x v="0"/>
    <n v="3"/>
    <n v="1000"/>
    <n v="3000"/>
    <x v="34"/>
    <x v="1"/>
    <x v="2"/>
    <x v="1"/>
    <n v="2024"/>
  </r>
  <r>
    <n v="1320"/>
    <s v="Surya"/>
    <s v="Adult"/>
    <n v="30"/>
    <s v="21-30"/>
    <x v="1"/>
    <x v="3"/>
    <x v="0"/>
    <n v="2"/>
    <n v="1000"/>
    <n v="2000"/>
    <x v="40"/>
    <x v="1"/>
    <x v="0"/>
    <x v="0"/>
    <n v="2024"/>
  </r>
  <r>
    <n v="1321"/>
    <s v="Priya"/>
    <s v="Adult"/>
    <n v="30"/>
    <s v="21-30"/>
    <x v="0"/>
    <x v="1"/>
    <x v="1"/>
    <n v="5"/>
    <n v="1000"/>
    <n v="5000"/>
    <x v="44"/>
    <x v="1"/>
    <x v="1"/>
    <x v="1"/>
    <n v="2024"/>
  </r>
  <r>
    <n v="1322"/>
    <s v="Kiran"/>
    <s v="Adult"/>
    <n v="30"/>
    <s v="21-30"/>
    <x v="0"/>
    <x v="6"/>
    <x v="0"/>
    <n v="2"/>
    <n v="1000"/>
    <n v="2000"/>
    <x v="46"/>
    <x v="1"/>
    <x v="1"/>
    <x v="0"/>
    <n v="2024"/>
  </r>
  <r>
    <n v="1323"/>
    <s v="Ajay"/>
    <s v="Senior"/>
    <n v="46"/>
    <s v="31-50"/>
    <x v="0"/>
    <x v="6"/>
    <x v="0"/>
    <n v="2"/>
    <n v="1000"/>
    <n v="2000"/>
    <x v="22"/>
    <x v="1"/>
    <x v="2"/>
    <x v="0"/>
    <n v="2024"/>
  </r>
  <r>
    <n v="1324"/>
    <s v="Meena"/>
    <s v="Adult"/>
    <n v="31"/>
    <s v="31-50"/>
    <x v="1"/>
    <x v="2"/>
    <x v="1"/>
    <n v="2"/>
    <n v="3733"/>
    <n v="7466"/>
    <x v="19"/>
    <x v="2"/>
    <x v="4"/>
    <x v="1"/>
    <n v="2024"/>
  </r>
  <r>
    <n v="1325"/>
    <s v="Ajay"/>
    <s v="Adult"/>
    <n v="30"/>
    <s v="21-30"/>
    <x v="1"/>
    <x v="4"/>
    <x v="2"/>
    <n v="2"/>
    <n v="2992"/>
    <n v="5984"/>
    <x v="17"/>
    <x v="2"/>
    <x v="0"/>
    <x v="0"/>
    <n v="2024"/>
  </r>
  <r>
    <n v="1326"/>
    <s v="Ramesh"/>
    <s v="Adult"/>
    <n v="30"/>
    <s v="21-30"/>
    <x v="0"/>
    <x v="1"/>
    <x v="1"/>
    <n v="2"/>
    <n v="14847"/>
    <n v="29694"/>
    <x v="47"/>
    <x v="0"/>
    <x v="4"/>
    <x v="1"/>
    <n v="2024"/>
  </r>
  <r>
    <n v="1327"/>
    <s v="Pooja"/>
    <s v="Adult"/>
    <n v="30"/>
    <s v="21-30"/>
    <x v="0"/>
    <x v="7"/>
    <x v="2"/>
    <n v="2"/>
    <n v="1000"/>
    <n v="2000"/>
    <x v="56"/>
    <x v="1"/>
    <x v="3"/>
    <x v="1"/>
    <n v="2024"/>
  </r>
  <r>
    <n v="1328"/>
    <s v="Asha"/>
    <s v="Senior"/>
    <n v="46"/>
    <s v="31-50"/>
    <x v="0"/>
    <x v="6"/>
    <x v="0"/>
    <n v="3"/>
    <n v="1000"/>
    <n v="3000"/>
    <x v="38"/>
    <x v="1"/>
    <x v="4"/>
    <x v="0"/>
    <n v="2024"/>
  </r>
  <r>
    <n v="1329"/>
    <s v="Karthik"/>
    <s v="Adult"/>
    <n v="26"/>
    <s v="21-30"/>
    <x v="0"/>
    <x v="2"/>
    <x v="1"/>
    <n v="5"/>
    <n v="1000"/>
    <n v="5000"/>
    <x v="49"/>
    <x v="1"/>
    <x v="2"/>
    <x v="1"/>
    <n v="2024"/>
  </r>
  <r>
    <n v="1330"/>
    <s v="Vikram"/>
    <s v="Adult"/>
    <n v="30"/>
    <s v="21-30"/>
    <x v="1"/>
    <x v="5"/>
    <x v="2"/>
    <n v="1"/>
    <n v="1000"/>
    <n v="1000"/>
    <x v="20"/>
    <x v="1"/>
    <x v="2"/>
    <x v="1"/>
    <n v="2024"/>
  </r>
  <r>
    <n v="1331"/>
    <s v="Priya"/>
    <s v="Senior"/>
    <n v="44"/>
    <s v="31-50"/>
    <x v="0"/>
    <x v="7"/>
    <x v="2"/>
    <n v="4"/>
    <n v="1000"/>
    <n v="4000"/>
    <x v="5"/>
    <x v="1"/>
    <x v="1"/>
    <x v="0"/>
    <n v="2024"/>
  </r>
  <r>
    <n v="1332"/>
    <s v="Kiran"/>
    <s v="Adult"/>
    <n v="30"/>
    <s v="21-30"/>
    <x v="0"/>
    <x v="6"/>
    <x v="0"/>
    <n v="5"/>
    <n v="1000"/>
    <n v="5000"/>
    <x v="3"/>
    <x v="1"/>
    <x v="3"/>
    <x v="0"/>
    <n v="2024"/>
  </r>
  <r>
    <n v="1333"/>
    <s v="Priya"/>
    <s v="Senior"/>
    <n v="48"/>
    <s v="31-50"/>
    <x v="1"/>
    <x v="4"/>
    <x v="2"/>
    <n v="3"/>
    <n v="1000"/>
    <n v="3000"/>
    <x v="52"/>
    <x v="1"/>
    <x v="2"/>
    <x v="1"/>
    <n v="2024"/>
  </r>
  <r>
    <n v="1334"/>
    <s v="Priya"/>
    <s v="Adult"/>
    <n v="30"/>
    <s v="21-30"/>
    <x v="1"/>
    <x v="6"/>
    <x v="0"/>
    <n v="5"/>
    <n v="27538"/>
    <n v="137690"/>
    <x v="3"/>
    <x v="0"/>
    <x v="3"/>
    <x v="0"/>
    <n v="2024"/>
  </r>
  <r>
    <n v="1335"/>
    <s v="Priya"/>
    <s v="Adult"/>
    <n v="23"/>
    <s v="21-30"/>
    <x v="0"/>
    <x v="0"/>
    <x v="0"/>
    <n v="2"/>
    <n v="13923"/>
    <n v="27846"/>
    <x v="50"/>
    <x v="0"/>
    <x v="4"/>
    <x v="0"/>
    <n v="2024"/>
  </r>
  <r>
    <n v="1336"/>
    <s v="Ajay"/>
    <s v="Adult"/>
    <n v="30"/>
    <s v="21-30"/>
    <x v="1"/>
    <x v="4"/>
    <x v="2"/>
    <n v="2"/>
    <n v="1000"/>
    <n v="2000"/>
    <x v="25"/>
    <x v="1"/>
    <x v="0"/>
    <x v="1"/>
    <n v="2024"/>
  </r>
  <r>
    <n v="1337"/>
    <s v="Neha"/>
    <s v="Adult"/>
    <n v="39"/>
    <s v="31-50"/>
    <x v="0"/>
    <x v="2"/>
    <x v="1"/>
    <n v="3"/>
    <n v="1000"/>
    <n v="3000"/>
    <x v="35"/>
    <x v="1"/>
    <x v="0"/>
    <x v="0"/>
    <n v="2024"/>
  </r>
  <r>
    <n v="1338"/>
    <s v="Manoj"/>
    <s v="Adult"/>
    <n v="30"/>
    <s v="21-30"/>
    <x v="0"/>
    <x v="0"/>
    <x v="0"/>
    <n v="2"/>
    <n v="975"/>
    <n v="1950"/>
    <x v="46"/>
    <x v="1"/>
    <x v="1"/>
    <x v="0"/>
    <n v="2024"/>
  </r>
  <r>
    <n v="1339"/>
    <s v="Karthik"/>
    <s v="Adult"/>
    <n v="30"/>
    <s v="21-30"/>
    <x v="1"/>
    <x v="3"/>
    <x v="0"/>
    <n v="2"/>
    <n v="4087"/>
    <n v="8174"/>
    <x v="14"/>
    <x v="2"/>
    <x v="0"/>
    <x v="1"/>
    <n v="2024"/>
  </r>
  <r>
    <n v="1340"/>
    <s v="Meena"/>
    <s v="Adult"/>
    <n v="32"/>
    <s v="31-50"/>
    <x v="0"/>
    <x v="3"/>
    <x v="0"/>
    <n v="2"/>
    <n v="1000"/>
    <n v="2000"/>
    <x v="52"/>
    <x v="1"/>
    <x v="3"/>
    <x v="1"/>
    <n v="2024"/>
  </r>
  <r>
    <n v="1341"/>
    <s v="Ajay"/>
    <s v="Adult"/>
    <n v="24"/>
    <s v="21-30"/>
    <x v="1"/>
    <x v="2"/>
    <x v="1"/>
    <n v="1"/>
    <n v="1000"/>
    <n v="1000"/>
    <x v="14"/>
    <x v="1"/>
    <x v="1"/>
    <x v="1"/>
    <n v="2024"/>
  </r>
  <r>
    <n v="1342"/>
    <s v="Manoj"/>
    <s v="Senior"/>
    <n v="48"/>
    <s v="31-50"/>
    <x v="0"/>
    <x v="2"/>
    <x v="1"/>
    <n v="2"/>
    <n v="1000"/>
    <n v="2000"/>
    <x v="21"/>
    <x v="1"/>
    <x v="3"/>
    <x v="1"/>
    <n v="2024"/>
  </r>
  <r>
    <n v="1343"/>
    <s v="Karthik"/>
    <s v="Adult"/>
    <n v="30"/>
    <s v="21-30"/>
    <x v="1"/>
    <x v="7"/>
    <x v="2"/>
    <n v="2"/>
    <n v="1000"/>
    <n v="2000"/>
    <x v="27"/>
    <x v="1"/>
    <x v="3"/>
    <x v="0"/>
    <n v="2024"/>
  </r>
  <r>
    <n v="1344"/>
    <s v="Anita"/>
    <s v="Adult"/>
    <n v="35"/>
    <s v="31-50"/>
    <x v="0"/>
    <x v="5"/>
    <x v="2"/>
    <n v="2"/>
    <n v="1000"/>
    <n v="2000"/>
    <x v="24"/>
    <x v="1"/>
    <x v="0"/>
    <x v="1"/>
    <n v="2024"/>
  </r>
  <r>
    <n v="1345"/>
    <s v="Meena"/>
    <s v="Adult"/>
    <n v="25"/>
    <s v="21-30"/>
    <x v="0"/>
    <x v="1"/>
    <x v="1"/>
    <n v="2"/>
    <n v="1000"/>
    <n v="2000"/>
    <x v="59"/>
    <x v="1"/>
    <x v="2"/>
    <x v="1"/>
    <n v="2024"/>
  </r>
  <r>
    <n v="1346"/>
    <s v="Neha"/>
    <s v="Adult"/>
    <n v="38"/>
    <s v="31-50"/>
    <x v="0"/>
    <x v="6"/>
    <x v="0"/>
    <n v="2"/>
    <n v="1000"/>
    <n v="2000"/>
    <x v="35"/>
    <x v="1"/>
    <x v="3"/>
    <x v="0"/>
    <n v="2024"/>
  </r>
  <r>
    <n v="1347"/>
    <s v="Sneha"/>
    <s v="Adult"/>
    <n v="37"/>
    <s v="31-50"/>
    <x v="1"/>
    <x v="6"/>
    <x v="0"/>
    <n v="2"/>
    <n v="44756"/>
    <n v="89512"/>
    <x v="42"/>
    <x v="0"/>
    <x v="0"/>
    <x v="1"/>
    <n v="2024"/>
  </r>
  <r>
    <n v="1348"/>
    <s v="Lakshmi"/>
    <s v="Adult"/>
    <n v="30"/>
    <s v="21-30"/>
    <x v="0"/>
    <x v="0"/>
    <x v="0"/>
    <n v="2"/>
    <n v="1000"/>
    <n v="2000"/>
    <x v="48"/>
    <x v="1"/>
    <x v="1"/>
    <x v="1"/>
    <n v="2024"/>
  </r>
  <r>
    <n v="1349"/>
    <s v="Ajay"/>
    <s v="Adult"/>
    <n v="30"/>
    <s v="21-30"/>
    <x v="0"/>
    <x v="2"/>
    <x v="1"/>
    <n v="4"/>
    <n v="1000"/>
    <n v="4000"/>
    <x v="45"/>
    <x v="1"/>
    <x v="1"/>
    <x v="0"/>
    <n v="2024"/>
  </r>
  <r>
    <n v="1350"/>
    <s v="Ravi"/>
    <s v="Adult"/>
    <n v="38"/>
    <s v="31-50"/>
    <x v="0"/>
    <x v="4"/>
    <x v="2"/>
    <n v="5"/>
    <n v="35110"/>
    <n v="175550"/>
    <x v="53"/>
    <x v="0"/>
    <x v="4"/>
    <x v="0"/>
    <n v="2024"/>
  </r>
  <r>
    <n v="1351"/>
    <s v="Vikram"/>
    <s v="Adult"/>
    <n v="30"/>
    <s v="21-30"/>
    <x v="1"/>
    <x v="0"/>
    <x v="0"/>
    <n v="2"/>
    <n v="1000"/>
    <n v="2000"/>
    <x v="2"/>
    <x v="1"/>
    <x v="1"/>
    <x v="0"/>
    <n v="2024"/>
  </r>
  <r>
    <n v="1352"/>
    <s v="Priya"/>
    <s v="Adult"/>
    <n v="30"/>
    <s v="21-30"/>
    <x v="0"/>
    <x v="7"/>
    <x v="2"/>
    <n v="2"/>
    <n v="40808"/>
    <n v="81616"/>
    <x v="56"/>
    <x v="0"/>
    <x v="1"/>
    <x v="1"/>
    <n v="2024"/>
  </r>
  <r>
    <n v="1353"/>
    <s v="Pooja"/>
    <s v="Adult"/>
    <n v="30"/>
    <s v="21-30"/>
    <x v="1"/>
    <x v="7"/>
    <x v="2"/>
    <n v="4"/>
    <n v="1000"/>
    <n v="4000"/>
    <x v="11"/>
    <x v="1"/>
    <x v="1"/>
    <x v="0"/>
    <n v="2024"/>
  </r>
  <r>
    <n v="1354"/>
    <s v="Manoj"/>
    <s v="Adult"/>
    <n v="25"/>
    <s v="21-30"/>
    <x v="0"/>
    <x v="6"/>
    <x v="0"/>
    <n v="1"/>
    <n v="1000"/>
    <n v="1000"/>
    <x v="39"/>
    <x v="1"/>
    <x v="0"/>
    <x v="0"/>
    <n v="2024"/>
  </r>
  <r>
    <n v="1355"/>
    <s v="Pooja"/>
    <s v="Senior"/>
    <n v="46"/>
    <s v="31-50"/>
    <x v="1"/>
    <x v="5"/>
    <x v="2"/>
    <n v="1"/>
    <n v="1000"/>
    <n v="1000"/>
    <x v="2"/>
    <x v="1"/>
    <x v="0"/>
    <x v="0"/>
    <n v="2024"/>
  </r>
  <r>
    <n v="1356"/>
    <s v="Asha"/>
    <s v="Senior"/>
    <n v="44"/>
    <s v="31-50"/>
    <x v="0"/>
    <x v="2"/>
    <x v="1"/>
    <n v="5"/>
    <n v="18769"/>
    <n v="93845"/>
    <x v="51"/>
    <x v="0"/>
    <x v="4"/>
    <x v="0"/>
    <n v="2024"/>
  </r>
  <r>
    <n v="1357"/>
    <s v="Anita"/>
    <s v="Adult"/>
    <n v="20"/>
    <s v="0-20"/>
    <x v="0"/>
    <x v="5"/>
    <x v="2"/>
    <n v="2"/>
    <n v="25211"/>
    <n v="50422"/>
    <x v="34"/>
    <x v="0"/>
    <x v="3"/>
    <x v="1"/>
    <n v="2024"/>
  </r>
  <r>
    <n v="1358"/>
    <s v="Neha"/>
    <s v="Adult"/>
    <n v="30"/>
    <s v="21-30"/>
    <x v="1"/>
    <x v="5"/>
    <x v="2"/>
    <n v="2"/>
    <n v="1000"/>
    <n v="2000"/>
    <x v="12"/>
    <x v="1"/>
    <x v="2"/>
    <x v="0"/>
    <n v="2024"/>
  </r>
  <r>
    <n v="1359"/>
    <s v="Surya"/>
    <s v="Adult"/>
    <n v="30"/>
    <s v="21-30"/>
    <x v="0"/>
    <x v="0"/>
    <x v="0"/>
    <n v="2"/>
    <n v="6751"/>
    <n v="13502"/>
    <x v="45"/>
    <x v="0"/>
    <x v="4"/>
    <x v="0"/>
    <n v="2024"/>
  </r>
  <r>
    <n v="1360"/>
    <s v="Neha"/>
    <s v="Adult"/>
    <n v="30"/>
    <s v="21-30"/>
    <x v="0"/>
    <x v="4"/>
    <x v="2"/>
    <n v="2"/>
    <n v="1000"/>
    <n v="2000"/>
    <x v="39"/>
    <x v="1"/>
    <x v="0"/>
    <x v="0"/>
    <n v="2024"/>
  </r>
  <r>
    <n v="1361"/>
    <s v="Arun"/>
    <s v="Senior"/>
    <n v="43"/>
    <s v="31-50"/>
    <x v="1"/>
    <x v="5"/>
    <x v="2"/>
    <n v="2"/>
    <n v="1000"/>
    <n v="2000"/>
    <x v="23"/>
    <x v="1"/>
    <x v="1"/>
    <x v="1"/>
    <n v="2024"/>
  </r>
  <r>
    <n v="1362"/>
    <s v="Lakshmi"/>
    <s v="Senior"/>
    <n v="48"/>
    <s v="31-50"/>
    <x v="1"/>
    <x v="3"/>
    <x v="0"/>
    <n v="2"/>
    <n v="1000"/>
    <n v="2000"/>
    <x v="33"/>
    <x v="1"/>
    <x v="1"/>
    <x v="0"/>
    <n v="2024"/>
  </r>
  <r>
    <n v="1363"/>
    <s v="Lakshmi"/>
    <s v="Adult"/>
    <n v="28"/>
    <s v="21-30"/>
    <x v="1"/>
    <x v="0"/>
    <x v="0"/>
    <n v="5"/>
    <n v="24852"/>
    <n v="124260"/>
    <x v="4"/>
    <x v="0"/>
    <x v="1"/>
    <x v="1"/>
    <n v="2024"/>
  </r>
  <r>
    <n v="1364"/>
    <s v="Sneha"/>
    <s v="Adult"/>
    <n v="35"/>
    <s v="31-50"/>
    <x v="1"/>
    <x v="1"/>
    <x v="1"/>
    <n v="2"/>
    <n v="26909"/>
    <n v="53818"/>
    <x v="15"/>
    <x v="0"/>
    <x v="0"/>
    <x v="1"/>
    <n v="2024"/>
  </r>
  <r>
    <n v="1365"/>
    <s v="Ajay"/>
    <s v="Adult"/>
    <n v="30"/>
    <s v="21-30"/>
    <x v="1"/>
    <x v="7"/>
    <x v="2"/>
    <n v="3"/>
    <n v="1000"/>
    <n v="3000"/>
    <x v="58"/>
    <x v="1"/>
    <x v="2"/>
    <x v="0"/>
    <n v="2024"/>
  </r>
  <r>
    <n v="1366"/>
    <s v="Sneha"/>
    <s v="Adult"/>
    <n v="21"/>
    <s v="21-30"/>
    <x v="1"/>
    <x v="0"/>
    <x v="0"/>
    <n v="1"/>
    <n v="1000"/>
    <n v="1000"/>
    <x v="43"/>
    <x v="1"/>
    <x v="0"/>
    <x v="0"/>
    <n v="2024"/>
  </r>
  <r>
    <n v="1367"/>
    <s v="Asha"/>
    <s v="Adult"/>
    <n v="30"/>
    <s v="21-30"/>
    <x v="0"/>
    <x v="3"/>
    <x v="0"/>
    <n v="3"/>
    <n v="1000"/>
    <n v="3000"/>
    <x v="26"/>
    <x v="1"/>
    <x v="3"/>
    <x v="0"/>
    <n v="2024"/>
  </r>
  <r>
    <n v="1368"/>
    <s v="Meena"/>
    <s v="Adult"/>
    <n v="30"/>
    <s v="21-30"/>
    <x v="0"/>
    <x v="1"/>
    <x v="1"/>
    <n v="2"/>
    <n v="1000"/>
    <n v="2000"/>
    <x v="27"/>
    <x v="1"/>
    <x v="3"/>
    <x v="0"/>
    <n v="2024"/>
  </r>
  <r>
    <n v="1369"/>
    <s v="Ajay"/>
    <s v="Adult"/>
    <n v="31"/>
    <s v="31-50"/>
    <x v="0"/>
    <x v="1"/>
    <x v="1"/>
    <n v="2"/>
    <n v="3988"/>
    <n v="7976"/>
    <x v="36"/>
    <x v="2"/>
    <x v="1"/>
    <x v="0"/>
    <n v="2024"/>
  </r>
  <r>
    <n v="1370"/>
    <s v="Ramesh"/>
    <s v="Adult"/>
    <n v="30"/>
    <s v="21-30"/>
    <x v="1"/>
    <x v="4"/>
    <x v="2"/>
    <n v="2"/>
    <n v="5981"/>
    <n v="11962"/>
    <x v="25"/>
    <x v="0"/>
    <x v="0"/>
    <x v="1"/>
    <n v="2024"/>
  </r>
  <r>
    <n v="1371"/>
    <s v="Ajay"/>
    <s v="Adult"/>
    <n v="30"/>
    <s v="21-30"/>
    <x v="0"/>
    <x v="4"/>
    <x v="2"/>
    <n v="3"/>
    <n v="45824"/>
    <n v="137472"/>
    <x v="19"/>
    <x v="0"/>
    <x v="4"/>
    <x v="1"/>
    <n v="2024"/>
  </r>
  <r>
    <n v="1372"/>
    <s v="Priya"/>
    <s v="Adult"/>
    <n v="30"/>
    <s v="21-30"/>
    <x v="0"/>
    <x v="0"/>
    <x v="0"/>
    <n v="2"/>
    <n v="1000"/>
    <n v="2000"/>
    <x v="2"/>
    <x v="1"/>
    <x v="2"/>
    <x v="0"/>
    <n v="2024"/>
  </r>
  <r>
    <n v="1373"/>
    <s v="Ajay"/>
    <s v="Adult"/>
    <n v="34"/>
    <s v="31-50"/>
    <x v="1"/>
    <x v="4"/>
    <x v="2"/>
    <n v="1"/>
    <n v="1000"/>
    <n v="1000"/>
    <x v="40"/>
    <x v="1"/>
    <x v="1"/>
    <x v="0"/>
    <n v="2024"/>
  </r>
  <r>
    <n v="1374"/>
    <s v="Priya"/>
    <s v="Senior"/>
    <n v="43"/>
    <s v="31-50"/>
    <x v="0"/>
    <x v="2"/>
    <x v="1"/>
    <n v="2"/>
    <n v="14495"/>
    <n v="28990"/>
    <x v="4"/>
    <x v="0"/>
    <x v="4"/>
    <x v="1"/>
    <n v="2024"/>
  </r>
  <r>
    <n v="1375"/>
    <s v="Ajay"/>
    <s v="Adult"/>
    <n v="33"/>
    <s v="31-50"/>
    <x v="0"/>
    <x v="1"/>
    <x v="1"/>
    <n v="2"/>
    <n v="1000"/>
    <n v="2000"/>
    <x v="40"/>
    <x v="1"/>
    <x v="1"/>
    <x v="0"/>
    <n v="2024"/>
  </r>
  <r>
    <n v="1376"/>
    <s v="Asha"/>
    <s v="Adult"/>
    <n v="30"/>
    <s v="21-30"/>
    <x v="0"/>
    <x v="0"/>
    <x v="0"/>
    <n v="1"/>
    <n v="1000"/>
    <n v="1000"/>
    <x v="58"/>
    <x v="1"/>
    <x v="3"/>
    <x v="0"/>
    <n v="2024"/>
  </r>
  <r>
    <n v="1377"/>
    <s v="Manoj"/>
    <s v="Adult"/>
    <n v="30"/>
    <s v="21-30"/>
    <x v="0"/>
    <x v="5"/>
    <x v="2"/>
    <n v="1"/>
    <n v="1000"/>
    <n v="1000"/>
    <x v="21"/>
    <x v="1"/>
    <x v="2"/>
    <x v="1"/>
    <n v="2024"/>
  </r>
  <r>
    <n v="1378"/>
    <s v="Vikram"/>
    <s v="Adult"/>
    <n v="38"/>
    <s v="31-50"/>
    <x v="0"/>
    <x v="0"/>
    <x v="0"/>
    <n v="2"/>
    <n v="39171"/>
    <n v="78342"/>
    <x v="40"/>
    <x v="0"/>
    <x v="1"/>
    <x v="0"/>
    <n v="2024"/>
  </r>
  <r>
    <n v="1379"/>
    <s v="Lakshmi"/>
    <s v="Adult"/>
    <n v="30"/>
    <s v="21-30"/>
    <x v="1"/>
    <x v="0"/>
    <x v="0"/>
    <n v="1"/>
    <n v="36265"/>
    <n v="36265"/>
    <x v="24"/>
    <x v="0"/>
    <x v="2"/>
    <x v="1"/>
    <n v="2024"/>
  </r>
  <r>
    <n v="1380"/>
    <s v="Meena"/>
    <s v="Senior"/>
    <n v="44"/>
    <s v="31-50"/>
    <x v="0"/>
    <x v="1"/>
    <x v="1"/>
    <n v="2"/>
    <n v="1000"/>
    <n v="2000"/>
    <x v="11"/>
    <x v="1"/>
    <x v="2"/>
    <x v="0"/>
    <n v="2024"/>
  </r>
  <r>
    <n v="1381"/>
    <s v="Karthik"/>
    <s v="Adult"/>
    <n v="30"/>
    <s v="21-30"/>
    <x v="0"/>
    <x v="5"/>
    <x v="2"/>
    <n v="1"/>
    <n v="1000"/>
    <n v="1000"/>
    <x v="49"/>
    <x v="1"/>
    <x v="2"/>
    <x v="1"/>
    <n v="2024"/>
  </r>
  <r>
    <n v="1382"/>
    <s v="Meena"/>
    <s v="Adult"/>
    <n v="29"/>
    <s v="21-30"/>
    <x v="0"/>
    <x v="1"/>
    <x v="1"/>
    <n v="2"/>
    <n v="18967"/>
    <n v="37934"/>
    <x v="17"/>
    <x v="0"/>
    <x v="4"/>
    <x v="0"/>
    <n v="2024"/>
  </r>
  <r>
    <n v="1383"/>
    <s v="Ravi"/>
    <s v="Adult"/>
    <n v="30"/>
    <s v="21-30"/>
    <x v="1"/>
    <x v="3"/>
    <x v="0"/>
    <n v="2"/>
    <n v="1000"/>
    <n v="2000"/>
    <x v="51"/>
    <x v="1"/>
    <x v="3"/>
    <x v="0"/>
    <n v="2024"/>
  </r>
  <r>
    <n v="1384"/>
    <s v="Ramesh"/>
    <s v="Adult"/>
    <n v="30"/>
    <s v="21-30"/>
    <x v="0"/>
    <x v="4"/>
    <x v="2"/>
    <n v="2"/>
    <n v="1000"/>
    <n v="2000"/>
    <x v="49"/>
    <x v="1"/>
    <x v="2"/>
    <x v="1"/>
    <n v="2024"/>
  </r>
  <r>
    <n v="1385"/>
    <s v="Anita"/>
    <s v="Adult"/>
    <n v="30"/>
    <s v="21-30"/>
    <x v="0"/>
    <x v="2"/>
    <x v="1"/>
    <n v="2"/>
    <n v="1000"/>
    <n v="2000"/>
    <x v="18"/>
    <x v="1"/>
    <x v="2"/>
    <x v="1"/>
    <n v="2024"/>
  </r>
  <r>
    <n v="1386"/>
    <s v="Neha"/>
    <s v="Senior"/>
    <n v="49"/>
    <s v="31-50"/>
    <x v="0"/>
    <x v="1"/>
    <x v="1"/>
    <n v="2"/>
    <n v="1000"/>
    <n v="2000"/>
    <x v="45"/>
    <x v="1"/>
    <x v="2"/>
    <x v="0"/>
    <n v="2024"/>
  </r>
  <r>
    <n v="1387"/>
    <s v="Sneha"/>
    <s v="Adult"/>
    <n v="21"/>
    <s v="21-30"/>
    <x v="0"/>
    <x v="0"/>
    <x v="0"/>
    <n v="2"/>
    <n v="31040"/>
    <n v="62080"/>
    <x v="28"/>
    <x v="0"/>
    <x v="0"/>
    <x v="0"/>
    <n v="2024"/>
  </r>
  <r>
    <n v="1388"/>
    <s v="Asha"/>
    <s v="Senior"/>
    <n v="50"/>
    <s v="31-50"/>
    <x v="0"/>
    <x v="6"/>
    <x v="0"/>
    <n v="3"/>
    <n v="18842"/>
    <n v="56526"/>
    <x v="27"/>
    <x v="0"/>
    <x v="1"/>
    <x v="0"/>
    <n v="2024"/>
  </r>
  <r>
    <n v="1389"/>
    <s v="Ravi"/>
    <s v="Adult"/>
    <n v="26"/>
    <s v="21-30"/>
    <x v="0"/>
    <x v="4"/>
    <x v="2"/>
    <n v="2"/>
    <n v="8786"/>
    <n v="17572"/>
    <x v="40"/>
    <x v="0"/>
    <x v="1"/>
    <x v="0"/>
    <n v="2024"/>
  </r>
  <r>
    <n v="1390"/>
    <s v="Vikram"/>
    <s v="Adult"/>
    <n v="30"/>
    <s v="21-30"/>
    <x v="1"/>
    <x v="2"/>
    <x v="1"/>
    <n v="5"/>
    <n v="1000"/>
    <n v="5000"/>
    <x v="39"/>
    <x v="1"/>
    <x v="1"/>
    <x v="0"/>
    <n v="2024"/>
  </r>
  <r>
    <n v="1391"/>
    <s v="Meena"/>
    <s v="Senior"/>
    <n v="40"/>
    <s v="31-50"/>
    <x v="0"/>
    <x v="7"/>
    <x v="2"/>
    <n v="3"/>
    <n v="1000"/>
    <n v="3000"/>
    <x v="18"/>
    <x v="1"/>
    <x v="2"/>
    <x v="1"/>
    <n v="2024"/>
  </r>
  <r>
    <n v="1392"/>
    <s v="Neha"/>
    <s v="Adult"/>
    <n v="21"/>
    <s v="21-30"/>
    <x v="0"/>
    <x v="4"/>
    <x v="2"/>
    <n v="2"/>
    <n v="1000"/>
    <n v="2000"/>
    <x v="11"/>
    <x v="1"/>
    <x v="1"/>
    <x v="0"/>
    <n v="2024"/>
  </r>
  <r>
    <n v="1393"/>
    <s v="Kiran"/>
    <s v="Adult"/>
    <n v="33"/>
    <s v="31-50"/>
    <x v="1"/>
    <x v="6"/>
    <x v="0"/>
    <n v="2"/>
    <n v="1000"/>
    <n v="2000"/>
    <x v="40"/>
    <x v="1"/>
    <x v="3"/>
    <x v="0"/>
    <n v="2024"/>
  </r>
  <r>
    <n v="1394"/>
    <s v="Divya"/>
    <s v="Adult"/>
    <n v="30"/>
    <s v="21-30"/>
    <x v="0"/>
    <x v="7"/>
    <x v="2"/>
    <n v="5"/>
    <n v="19729"/>
    <n v="98645"/>
    <x v="18"/>
    <x v="0"/>
    <x v="1"/>
    <x v="1"/>
    <n v="2024"/>
  </r>
  <r>
    <n v="1395"/>
    <s v="Sneha"/>
    <s v="Senior"/>
    <n v="44"/>
    <s v="31-50"/>
    <x v="1"/>
    <x v="4"/>
    <x v="2"/>
    <n v="3"/>
    <n v="32669"/>
    <n v="98007"/>
    <x v="15"/>
    <x v="0"/>
    <x v="4"/>
    <x v="1"/>
    <n v="2024"/>
  </r>
  <r>
    <n v="1396"/>
    <s v="Vikram"/>
    <s v="Senior"/>
    <n v="49"/>
    <s v="31-50"/>
    <x v="1"/>
    <x v="1"/>
    <x v="1"/>
    <n v="2"/>
    <n v="1000"/>
    <n v="2000"/>
    <x v="29"/>
    <x v="1"/>
    <x v="2"/>
    <x v="0"/>
    <n v="2024"/>
  </r>
  <r>
    <n v="1397"/>
    <s v="Surya"/>
    <s v="Senior"/>
    <n v="40"/>
    <s v="31-50"/>
    <x v="0"/>
    <x v="5"/>
    <x v="2"/>
    <n v="2"/>
    <n v="1000"/>
    <n v="2000"/>
    <x v="7"/>
    <x v="1"/>
    <x v="1"/>
    <x v="0"/>
    <n v="2024"/>
  </r>
  <r>
    <n v="1398"/>
    <s v="Sneha"/>
    <s v="Senior"/>
    <n v="44"/>
    <s v="31-50"/>
    <x v="0"/>
    <x v="3"/>
    <x v="0"/>
    <n v="2"/>
    <n v="1000"/>
    <n v="2000"/>
    <x v="10"/>
    <x v="1"/>
    <x v="4"/>
    <x v="1"/>
    <n v="2024"/>
  </r>
  <r>
    <n v="1399"/>
    <s v="Meena"/>
    <s v="Adult"/>
    <n v="30"/>
    <s v="21-30"/>
    <x v="0"/>
    <x v="2"/>
    <x v="1"/>
    <n v="2"/>
    <n v="37217"/>
    <n v="74434"/>
    <x v="14"/>
    <x v="0"/>
    <x v="4"/>
    <x v="1"/>
    <n v="2024"/>
  </r>
  <r>
    <n v="1400"/>
    <s v="Priya"/>
    <s v="Adult"/>
    <n v="36"/>
    <s v="31-50"/>
    <x v="0"/>
    <x v="5"/>
    <x v="2"/>
    <n v="2"/>
    <n v="48438"/>
    <n v="96876"/>
    <x v="0"/>
    <x v="0"/>
    <x v="1"/>
    <x v="0"/>
    <n v="2024"/>
  </r>
  <r>
    <n v="1401"/>
    <s v="Ravi"/>
    <s v="Adult"/>
    <n v="30"/>
    <s v="21-30"/>
    <x v="0"/>
    <x v="2"/>
    <x v="1"/>
    <n v="4"/>
    <n v="1000"/>
    <n v="4000"/>
    <x v="19"/>
    <x v="1"/>
    <x v="2"/>
    <x v="1"/>
    <n v="2024"/>
  </r>
  <r>
    <n v="1402"/>
    <s v="Asha"/>
    <s v="Adult"/>
    <n v="30"/>
    <s v="21-30"/>
    <x v="1"/>
    <x v="5"/>
    <x v="2"/>
    <n v="2"/>
    <n v="20701"/>
    <n v="41402"/>
    <x v="34"/>
    <x v="0"/>
    <x v="1"/>
    <x v="1"/>
    <n v="2024"/>
  </r>
  <r>
    <n v="1403"/>
    <s v="Priya"/>
    <s v="Adult"/>
    <n v="25"/>
    <s v="21-30"/>
    <x v="1"/>
    <x v="3"/>
    <x v="0"/>
    <n v="2"/>
    <n v="1000"/>
    <n v="2000"/>
    <x v="33"/>
    <x v="1"/>
    <x v="1"/>
    <x v="0"/>
    <n v="2024"/>
  </r>
  <r>
    <n v="1404"/>
    <s v="Surya"/>
    <s v="Adult"/>
    <n v="35"/>
    <s v="31-50"/>
    <x v="0"/>
    <x v="3"/>
    <x v="0"/>
    <n v="2"/>
    <n v="3451"/>
    <n v="6902"/>
    <x v="36"/>
    <x v="2"/>
    <x v="3"/>
    <x v="0"/>
    <n v="2024"/>
  </r>
  <r>
    <n v="1405"/>
    <s v="Ajay"/>
    <s v="Adult"/>
    <n v="30"/>
    <s v="21-30"/>
    <x v="1"/>
    <x v="1"/>
    <x v="1"/>
    <n v="4"/>
    <n v="1000"/>
    <n v="4000"/>
    <x v="3"/>
    <x v="1"/>
    <x v="2"/>
    <x v="0"/>
    <n v="2024"/>
  </r>
  <r>
    <n v="1406"/>
    <s v="Priya"/>
    <s v="Adult"/>
    <n v="30"/>
    <s v="21-30"/>
    <x v="0"/>
    <x v="3"/>
    <x v="0"/>
    <n v="2"/>
    <n v="42399"/>
    <n v="84798"/>
    <x v="15"/>
    <x v="0"/>
    <x v="4"/>
    <x v="1"/>
    <n v="2024"/>
  </r>
  <r>
    <n v="1407"/>
    <s v="Ajay"/>
    <s v="Adult"/>
    <n v="36"/>
    <s v="31-50"/>
    <x v="0"/>
    <x v="2"/>
    <x v="1"/>
    <n v="2"/>
    <n v="1000"/>
    <n v="2000"/>
    <x v="38"/>
    <x v="1"/>
    <x v="2"/>
    <x v="0"/>
    <n v="2024"/>
  </r>
  <r>
    <n v="1408"/>
    <s v="Neha"/>
    <s v="Adult"/>
    <n v="30"/>
    <s v="21-30"/>
    <x v="0"/>
    <x v="0"/>
    <x v="0"/>
    <n v="2"/>
    <n v="1000"/>
    <n v="2000"/>
    <x v="29"/>
    <x v="1"/>
    <x v="3"/>
    <x v="0"/>
    <n v="2024"/>
  </r>
  <r>
    <n v="1409"/>
    <s v="Meena"/>
    <s v="Senior"/>
    <n v="44"/>
    <s v="31-50"/>
    <x v="1"/>
    <x v="5"/>
    <x v="2"/>
    <n v="2"/>
    <n v="1000"/>
    <n v="2000"/>
    <x v="31"/>
    <x v="1"/>
    <x v="4"/>
    <x v="1"/>
    <n v="2024"/>
  </r>
  <r>
    <n v="1410"/>
    <s v="Asha"/>
    <s v="Senior"/>
    <n v="48"/>
    <s v="31-50"/>
    <x v="1"/>
    <x v="2"/>
    <x v="1"/>
    <n v="4"/>
    <n v="1000"/>
    <n v="4000"/>
    <x v="56"/>
    <x v="1"/>
    <x v="0"/>
    <x v="1"/>
    <n v="2024"/>
  </r>
  <r>
    <n v="1411"/>
    <s v="Vikram"/>
    <s v="Senior"/>
    <n v="43"/>
    <s v="31-50"/>
    <x v="0"/>
    <x v="6"/>
    <x v="0"/>
    <n v="2"/>
    <n v="43389"/>
    <n v="86778"/>
    <x v="31"/>
    <x v="0"/>
    <x v="2"/>
    <x v="1"/>
    <n v="2024"/>
  </r>
  <r>
    <n v="1412"/>
    <s v="Ramesh"/>
    <s v="Adult"/>
    <n v="30"/>
    <s v="21-30"/>
    <x v="1"/>
    <x v="1"/>
    <x v="1"/>
    <n v="1"/>
    <n v="1000"/>
    <n v="1000"/>
    <x v="35"/>
    <x v="1"/>
    <x v="4"/>
    <x v="0"/>
    <n v="2024"/>
  </r>
  <r>
    <n v="1413"/>
    <s v="Anita"/>
    <s v="Senior"/>
    <n v="43"/>
    <s v="31-50"/>
    <x v="0"/>
    <x v="6"/>
    <x v="0"/>
    <n v="2"/>
    <n v="1000"/>
    <n v="2000"/>
    <x v="16"/>
    <x v="1"/>
    <x v="2"/>
    <x v="2"/>
    <n v="2024"/>
  </r>
  <r>
    <n v="1414"/>
    <s v="Pooja"/>
    <s v="Adult"/>
    <n v="30"/>
    <s v="21-30"/>
    <x v="1"/>
    <x v="6"/>
    <x v="0"/>
    <n v="3"/>
    <n v="35711"/>
    <n v="107133"/>
    <x v="33"/>
    <x v="0"/>
    <x v="3"/>
    <x v="0"/>
    <n v="2024"/>
  </r>
  <r>
    <n v="1415"/>
    <s v="Manoj"/>
    <s v="Adult"/>
    <n v="30"/>
    <s v="21-30"/>
    <x v="0"/>
    <x v="6"/>
    <x v="0"/>
    <n v="2"/>
    <n v="1000"/>
    <n v="2000"/>
    <x v="0"/>
    <x v="1"/>
    <x v="3"/>
    <x v="0"/>
    <n v="2024"/>
  </r>
  <r>
    <n v="1416"/>
    <s v="Manoj"/>
    <s v="Adult"/>
    <n v="30"/>
    <s v="21-30"/>
    <x v="1"/>
    <x v="1"/>
    <x v="1"/>
    <n v="5"/>
    <n v="1000"/>
    <n v="5000"/>
    <x v="4"/>
    <x v="1"/>
    <x v="1"/>
    <x v="1"/>
    <n v="2024"/>
  </r>
  <r>
    <n v="1417"/>
    <s v="Surya"/>
    <s v="Adult"/>
    <n v="38"/>
    <s v="31-50"/>
    <x v="0"/>
    <x v="2"/>
    <x v="1"/>
    <n v="2"/>
    <n v="19513"/>
    <n v="39026"/>
    <x v="32"/>
    <x v="0"/>
    <x v="1"/>
    <x v="0"/>
    <n v="2024"/>
  </r>
  <r>
    <n v="1418"/>
    <s v="Manoj"/>
    <s v="Teen"/>
    <n v="18"/>
    <s v="0-20"/>
    <x v="0"/>
    <x v="6"/>
    <x v="0"/>
    <n v="2"/>
    <n v="1000"/>
    <n v="2000"/>
    <x v="53"/>
    <x v="1"/>
    <x v="2"/>
    <x v="0"/>
    <n v="2024"/>
  </r>
  <r>
    <n v="1419"/>
    <s v="Lakshmi"/>
    <s v="Adult"/>
    <n v="30"/>
    <s v="21-30"/>
    <x v="0"/>
    <x v="6"/>
    <x v="0"/>
    <n v="2"/>
    <n v="1000"/>
    <n v="2000"/>
    <x v="54"/>
    <x v="1"/>
    <x v="4"/>
    <x v="1"/>
    <n v="2024"/>
  </r>
  <r>
    <n v="1420"/>
    <s v="Divya"/>
    <s v="Adult"/>
    <n v="39"/>
    <s v="31-50"/>
    <x v="0"/>
    <x v="1"/>
    <x v="1"/>
    <n v="2"/>
    <n v="1000"/>
    <n v="2000"/>
    <x v="28"/>
    <x v="1"/>
    <x v="2"/>
    <x v="0"/>
    <n v="2024"/>
  </r>
  <r>
    <n v="1421"/>
    <s v="Anita"/>
    <s v="Senior"/>
    <n v="48"/>
    <s v="31-50"/>
    <x v="1"/>
    <x v="3"/>
    <x v="0"/>
    <n v="3"/>
    <n v="1000"/>
    <n v="3000"/>
    <x v="45"/>
    <x v="1"/>
    <x v="1"/>
    <x v="0"/>
    <n v="2024"/>
  </r>
  <r>
    <n v="1422"/>
    <s v="Neha"/>
    <s v="Adult"/>
    <n v="24"/>
    <s v="21-30"/>
    <x v="1"/>
    <x v="0"/>
    <x v="0"/>
    <n v="2"/>
    <n v="49330"/>
    <n v="98660"/>
    <x v="10"/>
    <x v="0"/>
    <x v="0"/>
    <x v="1"/>
    <n v="2024"/>
  </r>
  <r>
    <n v="1423"/>
    <s v="Ravi"/>
    <s v="Adult"/>
    <n v="39"/>
    <s v="31-50"/>
    <x v="0"/>
    <x v="6"/>
    <x v="0"/>
    <n v="2"/>
    <n v="1000"/>
    <n v="2000"/>
    <x v="50"/>
    <x v="1"/>
    <x v="4"/>
    <x v="0"/>
    <n v="2024"/>
  </r>
  <r>
    <n v="1424"/>
    <s v="Ramesh"/>
    <s v="Adult"/>
    <n v="30"/>
    <s v="21-30"/>
    <x v="0"/>
    <x v="0"/>
    <x v="0"/>
    <n v="5"/>
    <n v="1000"/>
    <n v="5000"/>
    <x v="47"/>
    <x v="1"/>
    <x v="2"/>
    <x v="1"/>
    <n v="2024"/>
  </r>
  <r>
    <n v="1425"/>
    <s v="Priya"/>
    <s v="Senior"/>
    <n v="48"/>
    <s v="31-50"/>
    <x v="0"/>
    <x v="6"/>
    <x v="0"/>
    <n v="5"/>
    <n v="1000"/>
    <n v="5000"/>
    <x v="22"/>
    <x v="1"/>
    <x v="1"/>
    <x v="0"/>
    <n v="2024"/>
  </r>
  <r>
    <n v="1426"/>
    <s v="Neha"/>
    <s v="Adult"/>
    <n v="21"/>
    <s v="21-30"/>
    <x v="1"/>
    <x v="5"/>
    <x v="2"/>
    <n v="2"/>
    <n v="1000"/>
    <n v="2000"/>
    <x v="28"/>
    <x v="1"/>
    <x v="2"/>
    <x v="0"/>
    <n v="2024"/>
  </r>
  <r>
    <n v="1427"/>
    <s v="Lakshmi"/>
    <s v="Senior"/>
    <n v="50"/>
    <s v="31-50"/>
    <x v="0"/>
    <x v="7"/>
    <x v="2"/>
    <n v="5"/>
    <n v="1000"/>
    <n v="5000"/>
    <x v="2"/>
    <x v="1"/>
    <x v="0"/>
    <x v="0"/>
    <n v="2024"/>
  </r>
  <r>
    <n v="1428"/>
    <s v="Anita"/>
    <s v="Adult"/>
    <n v="36"/>
    <s v="31-50"/>
    <x v="1"/>
    <x v="1"/>
    <x v="1"/>
    <n v="2"/>
    <n v="1000"/>
    <n v="2000"/>
    <x v="52"/>
    <x v="1"/>
    <x v="2"/>
    <x v="1"/>
    <n v="2024"/>
  </r>
  <r>
    <n v="1429"/>
    <s v="Arun"/>
    <s v="Adult"/>
    <n v="25"/>
    <s v="21-30"/>
    <x v="0"/>
    <x v="7"/>
    <x v="2"/>
    <n v="2"/>
    <n v="1000"/>
    <n v="2000"/>
    <x v="42"/>
    <x v="1"/>
    <x v="2"/>
    <x v="1"/>
    <n v="2024"/>
  </r>
  <r>
    <n v="1430"/>
    <s v="Anita"/>
    <s v="Senior"/>
    <n v="50"/>
    <s v="31-50"/>
    <x v="0"/>
    <x v="7"/>
    <x v="2"/>
    <n v="2"/>
    <n v="1000"/>
    <n v="2000"/>
    <x v="47"/>
    <x v="1"/>
    <x v="3"/>
    <x v="1"/>
    <n v="2024"/>
  </r>
  <r>
    <n v="1431"/>
    <s v="Vikram"/>
    <s v="Adult"/>
    <n v="28"/>
    <s v="21-30"/>
    <x v="0"/>
    <x v="5"/>
    <x v="2"/>
    <n v="4"/>
    <n v="1000"/>
    <n v="4000"/>
    <x v="3"/>
    <x v="1"/>
    <x v="3"/>
    <x v="0"/>
    <n v="2024"/>
  </r>
  <r>
    <n v="1432"/>
    <s v="Lakshmi"/>
    <s v="Adult"/>
    <n v="30"/>
    <s v="21-30"/>
    <x v="0"/>
    <x v="0"/>
    <x v="0"/>
    <n v="4"/>
    <n v="48197"/>
    <n v="192788"/>
    <x v="35"/>
    <x v="0"/>
    <x v="4"/>
    <x v="0"/>
    <n v="2024"/>
  </r>
  <r>
    <n v="1433"/>
    <s v="Sneha"/>
    <s v="Adult"/>
    <n v="30"/>
    <s v="21-30"/>
    <x v="1"/>
    <x v="7"/>
    <x v="2"/>
    <n v="5"/>
    <n v="1000"/>
    <n v="5000"/>
    <x v="4"/>
    <x v="1"/>
    <x v="0"/>
    <x v="1"/>
    <n v="2024"/>
  </r>
  <r>
    <n v="1434"/>
    <s v="Anita"/>
    <s v="Adult"/>
    <n v="20"/>
    <s v="0-20"/>
    <x v="0"/>
    <x v="2"/>
    <x v="1"/>
    <n v="2"/>
    <n v="1000"/>
    <n v="2000"/>
    <x v="17"/>
    <x v="1"/>
    <x v="3"/>
    <x v="0"/>
    <n v="2024"/>
  </r>
  <r>
    <n v="1435"/>
    <s v="Kiran"/>
    <s v="Adult"/>
    <n v="30"/>
    <s v="21-30"/>
    <x v="1"/>
    <x v="2"/>
    <x v="1"/>
    <n v="5"/>
    <n v="1000"/>
    <n v="5000"/>
    <x v="40"/>
    <x v="1"/>
    <x v="3"/>
    <x v="0"/>
    <n v="2024"/>
  </r>
  <r>
    <n v="1436"/>
    <s v="Kiran"/>
    <s v="Adult"/>
    <n v="23"/>
    <s v="21-30"/>
    <x v="0"/>
    <x v="0"/>
    <x v="0"/>
    <n v="5"/>
    <n v="1250"/>
    <n v="6250"/>
    <x v="14"/>
    <x v="2"/>
    <x v="2"/>
    <x v="1"/>
    <n v="2024"/>
  </r>
  <r>
    <n v="1437"/>
    <s v="Neha"/>
    <s v="Adult"/>
    <n v="30"/>
    <s v="21-30"/>
    <x v="0"/>
    <x v="4"/>
    <x v="2"/>
    <n v="3"/>
    <n v="19011"/>
    <n v="57033"/>
    <x v="11"/>
    <x v="0"/>
    <x v="4"/>
    <x v="0"/>
    <n v="2024"/>
  </r>
  <r>
    <n v="1438"/>
    <s v="Ravi"/>
    <s v="Adult"/>
    <n v="30"/>
    <s v="21-30"/>
    <x v="1"/>
    <x v="2"/>
    <x v="1"/>
    <n v="2"/>
    <n v="10141"/>
    <n v="20282"/>
    <x v="50"/>
    <x v="0"/>
    <x v="4"/>
    <x v="0"/>
    <n v="2024"/>
  </r>
  <r>
    <n v="1439"/>
    <s v="Neha"/>
    <s v="Adult"/>
    <n v="29"/>
    <s v="21-30"/>
    <x v="1"/>
    <x v="3"/>
    <x v="0"/>
    <n v="2"/>
    <n v="1000"/>
    <n v="2000"/>
    <x v="54"/>
    <x v="1"/>
    <x v="3"/>
    <x v="1"/>
    <n v="2024"/>
  </r>
  <r>
    <n v="1440"/>
    <s v="Pooja"/>
    <s v="Adult"/>
    <n v="36"/>
    <s v="31-50"/>
    <x v="1"/>
    <x v="1"/>
    <x v="1"/>
    <n v="2"/>
    <n v="9001"/>
    <n v="18002"/>
    <x v="44"/>
    <x v="0"/>
    <x v="2"/>
    <x v="1"/>
    <n v="2024"/>
  </r>
  <r>
    <n v="1441"/>
    <s v="Kiran"/>
    <s v="Adult"/>
    <n v="30"/>
    <s v="21-30"/>
    <x v="0"/>
    <x v="0"/>
    <x v="0"/>
    <n v="2"/>
    <n v="45069"/>
    <n v="90138"/>
    <x v="8"/>
    <x v="0"/>
    <x v="4"/>
    <x v="1"/>
    <n v="2024"/>
  </r>
  <r>
    <n v="1442"/>
    <s v="Karthik"/>
    <s v="Senior"/>
    <n v="48"/>
    <s v="31-50"/>
    <x v="0"/>
    <x v="2"/>
    <x v="1"/>
    <n v="2"/>
    <n v="1000"/>
    <n v="2000"/>
    <x v="58"/>
    <x v="1"/>
    <x v="1"/>
    <x v="0"/>
    <n v="2024"/>
  </r>
  <r>
    <n v="1443"/>
    <s v="Ajay"/>
    <s v="Adult"/>
    <n v="30"/>
    <s v="21-30"/>
    <x v="1"/>
    <x v="0"/>
    <x v="0"/>
    <n v="2"/>
    <n v="28766"/>
    <n v="57532"/>
    <x v="43"/>
    <x v="0"/>
    <x v="1"/>
    <x v="0"/>
    <n v="2024"/>
  </r>
  <r>
    <n v="1444"/>
    <s v="Neha"/>
    <s v="Adult"/>
    <n v="30"/>
    <s v="21-30"/>
    <x v="0"/>
    <x v="2"/>
    <x v="1"/>
    <n v="1"/>
    <n v="1000"/>
    <n v="1000"/>
    <x v="45"/>
    <x v="1"/>
    <x v="1"/>
    <x v="0"/>
    <n v="2024"/>
  </r>
  <r>
    <n v="1445"/>
    <s v="Vikram"/>
    <s v="Adult"/>
    <n v="30"/>
    <s v="21-30"/>
    <x v="0"/>
    <x v="6"/>
    <x v="0"/>
    <n v="4"/>
    <n v="1000"/>
    <n v="4000"/>
    <x v="23"/>
    <x v="1"/>
    <x v="2"/>
    <x v="1"/>
    <n v="2024"/>
  </r>
  <r>
    <n v="1446"/>
    <s v="Priya"/>
    <s v="Senior"/>
    <n v="46"/>
    <s v="31-50"/>
    <x v="0"/>
    <x v="4"/>
    <x v="2"/>
    <n v="2"/>
    <n v="1000"/>
    <n v="2000"/>
    <x v="59"/>
    <x v="1"/>
    <x v="0"/>
    <x v="1"/>
    <n v="2024"/>
  </r>
  <r>
    <n v="1447"/>
    <s v="Ajay"/>
    <s v="Adult"/>
    <n v="35"/>
    <s v="31-50"/>
    <x v="0"/>
    <x v="4"/>
    <x v="2"/>
    <n v="5"/>
    <n v="1000"/>
    <n v="5000"/>
    <x v="46"/>
    <x v="1"/>
    <x v="3"/>
    <x v="0"/>
    <n v="2024"/>
  </r>
  <r>
    <n v="1448"/>
    <s v="Ajay"/>
    <s v="Adult"/>
    <n v="30"/>
    <s v="21-30"/>
    <x v="1"/>
    <x v="7"/>
    <x v="2"/>
    <n v="2"/>
    <n v="1000"/>
    <n v="2000"/>
    <x v="16"/>
    <x v="1"/>
    <x v="2"/>
    <x v="2"/>
    <n v="2024"/>
  </r>
  <r>
    <n v="1449"/>
    <s v="Asha"/>
    <s v="Adult"/>
    <n v="30"/>
    <s v="21-30"/>
    <x v="1"/>
    <x v="1"/>
    <x v="1"/>
    <n v="2"/>
    <n v="1000"/>
    <n v="2000"/>
    <x v="18"/>
    <x v="1"/>
    <x v="1"/>
    <x v="1"/>
    <n v="2024"/>
  </r>
  <r>
    <n v="1450"/>
    <s v="Karthik"/>
    <s v="Senior"/>
    <n v="47"/>
    <s v="31-50"/>
    <x v="1"/>
    <x v="3"/>
    <x v="0"/>
    <n v="2"/>
    <n v="32514"/>
    <n v="65028"/>
    <x v="37"/>
    <x v="0"/>
    <x v="2"/>
    <x v="0"/>
    <n v="2024"/>
  </r>
  <r>
    <n v="1451"/>
    <s v="Neha"/>
    <s v="Adult"/>
    <n v="30"/>
    <s v="21-30"/>
    <x v="0"/>
    <x v="4"/>
    <x v="2"/>
    <n v="3"/>
    <n v="1000"/>
    <n v="3000"/>
    <x v="33"/>
    <x v="1"/>
    <x v="3"/>
    <x v="0"/>
    <n v="2024"/>
  </r>
  <r>
    <n v="1452"/>
    <s v="Sneha"/>
    <s v="Adult"/>
    <n v="30"/>
    <s v="21-30"/>
    <x v="0"/>
    <x v="0"/>
    <x v="0"/>
    <n v="2"/>
    <n v="1000"/>
    <n v="2000"/>
    <x v="29"/>
    <x v="1"/>
    <x v="0"/>
    <x v="0"/>
    <n v="2024"/>
  </r>
  <r>
    <n v="1453"/>
    <s v="Karthik"/>
    <s v="Adult"/>
    <n v="30"/>
    <s v="21-30"/>
    <x v="0"/>
    <x v="4"/>
    <x v="2"/>
    <n v="1"/>
    <n v="1000"/>
    <n v="1000"/>
    <x v="59"/>
    <x v="1"/>
    <x v="3"/>
    <x v="1"/>
    <n v="2024"/>
  </r>
  <r>
    <n v="1454"/>
    <s v="Ramesh"/>
    <s v="Adult"/>
    <n v="21"/>
    <s v="21-30"/>
    <x v="0"/>
    <x v="2"/>
    <x v="1"/>
    <n v="5"/>
    <n v="43431"/>
    <n v="217155"/>
    <x v="18"/>
    <x v="0"/>
    <x v="2"/>
    <x v="1"/>
    <n v="2024"/>
  </r>
  <r>
    <n v="1455"/>
    <s v="Manoj"/>
    <s v="Adult"/>
    <n v="30"/>
    <s v="21-30"/>
    <x v="0"/>
    <x v="4"/>
    <x v="2"/>
    <n v="3"/>
    <n v="16090"/>
    <n v="48270"/>
    <x v="4"/>
    <x v="0"/>
    <x v="2"/>
    <x v="1"/>
    <n v="2024"/>
  </r>
  <r>
    <n v="1456"/>
    <s v="Asha"/>
    <s v="Adult"/>
    <n v="30"/>
    <s v="21-30"/>
    <x v="1"/>
    <x v="0"/>
    <x v="0"/>
    <n v="2"/>
    <n v="15208"/>
    <n v="30416"/>
    <x v="41"/>
    <x v="0"/>
    <x v="1"/>
    <x v="0"/>
    <n v="2024"/>
  </r>
  <r>
    <n v="1457"/>
    <s v="Manoj"/>
    <s v="Adult"/>
    <n v="30"/>
    <s v="21-30"/>
    <x v="1"/>
    <x v="2"/>
    <x v="1"/>
    <n v="2"/>
    <n v="1000"/>
    <n v="2000"/>
    <x v="53"/>
    <x v="1"/>
    <x v="4"/>
    <x v="0"/>
    <n v="2024"/>
  </r>
  <r>
    <n v="1458"/>
    <s v="Ajay"/>
    <s v="Adult"/>
    <n v="30"/>
    <s v="21-30"/>
    <x v="0"/>
    <x v="1"/>
    <x v="1"/>
    <n v="4"/>
    <n v="16811"/>
    <n v="67244"/>
    <x v="8"/>
    <x v="0"/>
    <x v="2"/>
    <x v="1"/>
    <n v="2024"/>
  </r>
  <r>
    <n v="1459"/>
    <s v="Kiran"/>
    <s v="Adult"/>
    <n v="24"/>
    <s v="21-30"/>
    <x v="0"/>
    <x v="1"/>
    <x v="1"/>
    <n v="2"/>
    <n v="40431"/>
    <n v="80862"/>
    <x v="10"/>
    <x v="0"/>
    <x v="1"/>
    <x v="1"/>
    <n v="2024"/>
  </r>
  <r>
    <n v="1460"/>
    <s v="Kiran"/>
    <s v="Adult"/>
    <n v="30"/>
    <s v="21-30"/>
    <x v="0"/>
    <x v="6"/>
    <x v="0"/>
    <n v="3"/>
    <n v="1000"/>
    <n v="3000"/>
    <x v="2"/>
    <x v="1"/>
    <x v="4"/>
    <x v="0"/>
    <n v="2024"/>
  </r>
  <r>
    <n v="1461"/>
    <s v="Divya"/>
    <s v="Adult"/>
    <n v="30"/>
    <s v="21-30"/>
    <x v="0"/>
    <x v="2"/>
    <x v="1"/>
    <n v="2"/>
    <n v="1000"/>
    <n v="2000"/>
    <x v="28"/>
    <x v="1"/>
    <x v="3"/>
    <x v="0"/>
    <n v="2024"/>
  </r>
  <r>
    <n v="1462"/>
    <s v="Neha"/>
    <s v="Adult"/>
    <n v="30"/>
    <s v="21-30"/>
    <x v="0"/>
    <x v="4"/>
    <x v="2"/>
    <n v="5"/>
    <n v="1000"/>
    <n v="5000"/>
    <x v="38"/>
    <x v="1"/>
    <x v="3"/>
    <x v="0"/>
    <n v="2024"/>
  </r>
  <r>
    <n v="1463"/>
    <s v="Manoj"/>
    <s v="Adult"/>
    <n v="30"/>
    <s v="21-30"/>
    <x v="0"/>
    <x v="7"/>
    <x v="2"/>
    <n v="4"/>
    <n v="1000"/>
    <n v="4000"/>
    <x v="52"/>
    <x v="1"/>
    <x v="1"/>
    <x v="1"/>
    <n v="2024"/>
  </r>
  <r>
    <n v="1464"/>
    <s v="Pooja"/>
    <s v="Adult"/>
    <n v="30"/>
    <s v="21-30"/>
    <x v="1"/>
    <x v="0"/>
    <x v="0"/>
    <n v="2"/>
    <n v="13055"/>
    <n v="26110"/>
    <x v="24"/>
    <x v="0"/>
    <x v="4"/>
    <x v="1"/>
    <n v="2024"/>
  </r>
  <r>
    <n v="1465"/>
    <s v="Neha"/>
    <s v="Adult"/>
    <n v="33"/>
    <s v="31-50"/>
    <x v="0"/>
    <x v="6"/>
    <x v="0"/>
    <n v="2"/>
    <n v="1000"/>
    <n v="2000"/>
    <x v="37"/>
    <x v="1"/>
    <x v="1"/>
    <x v="0"/>
    <n v="2024"/>
  </r>
  <r>
    <n v="1466"/>
    <s v="Meena"/>
    <s v="Adult"/>
    <n v="30"/>
    <s v="21-30"/>
    <x v="1"/>
    <x v="3"/>
    <x v="0"/>
    <n v="2"/>
    <n v="1000"/>
    <n v="2000"/>
    <x v="52"/>
    <x v="1"/>
    <x v="2"/>
    <x v="1"/>
    <n v="2024"/>
  </r>
  <r>
    <n v="1467"/>
    <s v="Surya"/>
    <s v="Adult"/>
    <n v="30"/>
    <s v="21-30"/>
    <x v="1"/>
    <x v="3"/>
    <x v="0"/>
    <n v="3"/>
    <n v="992"/>
    <n v="2976"/>
    <x v="9"/>
    <x v="1"/>
    <x v="1"/>
    <x v="0"/>
    <n v="2024"/>
  </r>
  <r>
    <n v="1468"/>
    <s v="Arun"/>
    <s v="Adult"/>
    <n v="29"/>
    <s v="21-30"/>
    <x v="1"/>
    <x v="5"/>
    <x v="2"/>
    <n v="5"/>
    <n v="1000"/>
    <n v="5000"/>
    <x v="9"/>
    <x v="1"/>
    <x v="3"/>
    <x v="0"/>
    <n v="2024"/>
  </r>
  <r>
    <n v="1469"/>
    <s v="Ravi"/>
    <s v="Senior"/>
    <n v="42"/>
    <s v="31-50"/>
    <x v="0"/>
    <x v="2"/>
    <x v="1"/>
    <n v="4"/>
    <n v="1000"/>
    <n v="4000"/>
    <x v="0"/>
    <x v="1"/>
    <x v="2"/>
    <x v="0"/>
    <n v="2024"/>
  </r>
  <r>
    <n v="1470"/>
    <s v="Vikram"/>
    <s v="Adult"/>
    <n v="36"/>
    <s v="31-50"/>
    <x v="0"/>
    <x v="5"/>
    <x v="2"/>
    <n v="2"/>
    <n v="1000"/>
    <n v="2000"/>
    <x v="38"/>
    <x v="1"/>
    <x v="4"/>
    <x v="0"/>
    <n v="2024"/>
  </r>
  <r>
    <n v="1471"/>
    <s v="Asha"/>
    <s v="Senior"/>
    <n v="46"/>
    <s v="31-50"/>
    <x v="0"/>
    <x v="3"/>
    <x v="0"/>
    <n v="2"/>
    <n v="1000"/>
    <n v="2000"/>
    <x v="33"/>
    <x v="1"/>
    <x v="0"/>
    <x v="0"/>
    <n v="2024"/>
  </r>
  <r>
    <n v="1472"/>
    <s v="Surya"/>
    <s v="Adult"/>
    <n v="30"/>
    <s v="21-30"/>
    <x v="1"/>
    <x v="7"/>
    <x v="2"/>
    <n v="5"/>
    <n v="1000"/>
    <n v="5000"/>
    <x v="16"/>
    <x v="1"/>
    <x v="0"/>
    <x v="2"/>
    <n v="2024"/>
  </r>
  <r>
    <n v="1473"/>
    <s v="Ravi"/>
    <s v="Adult"/>
    <n v="33"/>
    <s v="31-50"/>
    <x v="0"/>
    <x v="1"/>
    <x v="1"/>
    <n v="4"/>
    <n v="1000"/>
    <n v="4000"/>
    <x v="24"/>
    <x v="1"/>
    <x v="0"/>
    <x v="1"/>
    <n v="2024"/>
  </r>
  <r>
    <n v="1474"/>
    <s v="Priya"/>
    <s v="Adult"/>
    <n v="24"/>
    <s v="21-30"/>
    <x v="0"/>
    <x v="1"/>
    <x v="1"/>
    <n v="2"/>
    <n v="1000"/>
    <n v="2000"/>
    <x v="48"/>
    <x v="1"/>
    <x v="1"/>
    <x v="1"/>
    <n v="2024"/>
  </r>
  <r>
    <n v="1475"/>
    <s v="Lakshmi"/>
    <s v="Adult"/>
    <n v="38"/>
    <s v="31-50"/>
    <x v="1"/>
    <x v="2"/>
    <x v="1"/>
    <n v="2"/>
    <n v="1000"/>
    <n v="2000"/>
    <x v="50"/>
    <x v="1"/>
    <x v="1"/>
    <x v="0"/>
    <n v="2024"/>
  </r>
  <r>
    <n v="1476"/>
    <s v="Arun"/>
    <s v="Adult"/>
    <n v="30"/>
    <s v="21-30"/>
    <x v="0"/>
    <x v="5"/>
    <x v="2"/>
    <n v="3"/>
    <n v="18229"/>
    <n v="54687"/>
    <x v="46"/>
    <x v="0"/>
    <x v="1"/>
    <x v="0"/>
    <n v="2024"/>
  </r>
  <r>
    <n v="1477"/>
    <s v="Arun"/>
    <s v="Adult"/>
    <n v="30"/>
    <s v="21-30"/>
    <x v="1"/>
    <x v="2"/>
    <x v="1"/>
    <n v="5"/>
    <n v="14195"/>
    <n v="70975"/>
    <x v="42"/>
    <x v="0"/>
    <x v="3"/>
    <x v="1"/>
    <n v="2024"/>
  </r>
  <r>
    <n v="1478"/>
    <s v="Neha"/>
    <s v="Adult"/>
    <n v="30"/>
    <s v="21-30"/>
    <x v="0"/>
    <x v="4"/>
    <x v="2"/>
    <n v="2"/>
    <n v="8613"/>
    <n v="17226"/>
    <x v="36"/>
    <x v="0"/>
    <x v="1"/>
    <x v="0"/>
    <n v="2024"/>
  </r>
  <r>
    <n v="1479"/>
    <s v="Kiran"/>
    <s v="Adult"/>
    <n v="30"/>
    <s v="21-30"/>
    <x v="0"/>
    <x v="4"/>
    <x v="2"/>
    <n v="2"/>
    <n v="1000"/>
    <n v="2000"/>
    <x v="15"/>
    <x v="1"/>
    <x v="2"/>
    <x v="1"/>
    <n v="2024"/>
  </r>
  <r>
    <n v="1480"/>
    <s v="Priya"/>
    <s v="Teen"/>
    <n v="18"/>
    <s v="0-20"/>
    <x v="0"/>
    <x v="4"/>
    <x v="2"/>
    <n v="2"/>
    <n v="15300"/>
    <n v="30600"/>
    <x v="1"/>
    <x v="0"/>
    <x v="4"/>
    <x v="1"/>
    <n v="2024"/>
  </r>
  <r>
    <n v="1481"/>
    <s v="Ravi"/>
    <s v="Adult"/>
    <n v="30"/>
    <s v="21-30"/>
    <x v="1"/>
    <x v="2"/>
    <x v="1"/>
    <n v="1"/>
    <n v="1000"/>
    <n v="1000"/>
    <x v="41"/>
    <x v="1"/>
    <x v="3"/>
    <x v="0"/>
    <n v="2024"/>
  </r>
  <r>
    <n v="1482"/>
    <s v="Surya"/>
    <s v="Adult"/>
    <n v="30"/>
    <s v="21-30"/>
    <x v="0"/>
    <x v="5"/>
    <x v="2"/>
    <n v="2"/>
    <n v="1000"/>
    <n v="2000"/>
    <x v="35"/>
    <x v="1"/>
    <x v="2"/>
    <x v="0"/>
    <n v="2024"/>
  </r>
  <r>
    <n v="1483"/>
    <s v="Vikram"/>
    <s v="Adult"/>
    <n v="30"/>
    <s v="21-30"/>
    <x v="1"/>
    <x v="2"/>
    <x v="1"/>
    <n v="2"/>
    <n v="35277"/>
    <n v="70554"/>
    <x v="29"/>
    <x v="0"/>
    <x v="1"/>
    <x v="0"/>
    <n v="2024"/>
  </r>
  <r>
    <n v="1484"/>
    <s v="Neha"/>
    <s v="Adult"/>
    <n v="30"/>
    <s v="21-30"/>
    <x v="1"/>
    <x v="1"/>
    <x v="1"/>
    <n v="2"/>
    <n v="40051"/>
    <n v="80102"/>
    <x v="57"/>
    <x v="0"/>
    <x v="2"/>
    <x v="1"/>
    <n v="2024"/>
  </r>
  <r>
    <n v="1485"/>
    <s v="Lakshmi"/>
    <s v="Adult"/>
    <n v="32"/>
    <s v="31-50"/>
    <x v="0"/>
    <x v="7"/>
    <x v="2"/>
    <n v="4"/>
    <n v="1000"/>
    <n v="4000"/>
    <x v="19"/>
    <x v="1"/>
    <x v="3"/>
    <x v="1"/>
    <n v="2024"/>
  </r>
  <r>
    <n v="1486"/>
    <s v="Manoj"/>
    <s v="Adult"/>
    <n v="30"/>
    <s v="21-30"/>
    <x v="0"/>
    <x v="0"/>
    <x v="0"/>
    <n v="2"/>
    <n v="1000"/>
    <n v="2000"/>
    <x v="12"/>
    <x v="1"/>
    <x v="1"/>
    <x v="0"/>
    <n v="2024"/>
  </r>
  <r>
    <n v="1487"/>
    <s v="Ajay"/>
    <s v="Adult"/>
    <n v="30"/>
    <s v="21-30"/>
    <x v="1"/>
    <x v="3"/>
    <x v="0"/>
    <n v="2"/>
    <n v="1000"/>
    <n v="2000"/>
    <x v="7"/>
    <x v="1"/>
    <x v="1"/>
    <x v="0"/>
    <n v="2024"/>
  </r>
  <r>
    <n v="1488"/>
    <s v="Lakshmi"/>
    <s v="Senior"/>
    <n v="44"/>
    <s v="31-50"/>
    <x v="0"/>
    <x v="1"/>
    <x v="1"/>
    <n v="2"/>
    <n v="1000"/>
    <n v="2000"/>
    <x v="42"/>
    <x v="1"/>
    <x v="2"/>
    <x v="1"/>
    <n v="2024"/>
  </r>
  <r>
    <n v="1489"/>
    <s v="Neha"/>
    <s v="Adult"/>
    <n v="30"/>
    <s v="21-30"/>
    <x v="0"/>
    <x v="1"/>
    <x v="1"/>
    <n v="2"/>
    <n v="24003"/>
    <n v="48006"/>
    <x v="18"/>
    <x v="0"/>
    <x v="1"/>
    <x v="1"/>
    <n v="2024"/>
  </r>
  <r>
    <n v="1490"/>
    <s v="Lakshmi"/>
    <s v="Senior"/>
    <n v="46"/>
    <s v="31-50"/>
    <x v="0"/>
    <x v="4"/>
    <x v="2"/>
    <n v="3"/>
    <n v="1000"/>
    <n v="3000"/>
    <x v="23"/>
    <x v="1"/>
    <x v="2"/>
    <x v="1"/>
    <n v="2024"/>
  </r>
  <r>
    <n v="1491"/>
    <s v="Kiran"/>
    <s v="Adult"/>
    <n v="24"/>
    <s v="21-30"/>
    <x v="1"/>
    <x v="7"/>
    <x v="2"/>
    <n v="5"/>
    <n v="1000"/>
    <n v="5000"/>
    <x v="9"/>
    <x v="1"/>
    <x v="4"/>
    <x v="0"/>
    <n v="2024"/>
  </r>
  <r>
    <n v="1492"/>
    <s v="Priya"/>
    <s v="Senior"/>
    <n v="42"/>
    <s v="31-50"/>
    <x v="1"/>
    <x v="2"/>
    <x v="1"/>
    <n v="3"/>
    <n v="35997"/>
    <n v="107991"/>
    <x v="11"/>
    <x v="0"/>
    <x v="1"/>
    <x v="0"/>
    <n v="2024"/>
  </r>
  <r>
    <n v="1493"/>
    <s v="Ramesh"/>
    <s v="Adult"/>
    <n v="30"/>
    <s v="21-30"/>
    <x v="0"/>
    <x v="4"/>
    <x v="2"/>
    <n v="2"/>
    <n v="26007"/>
    <n v="52014"/>
    <x v="17"/>
    <x v="0"/>
    <x v="3"/>
    <x v="0"/>
    <n v="2024"/>
  </r>
  <r>
    <n v="1494"/>
    <s v="Priya"/>
    <s v="Senior"/>
    <n v="41"/>
    <s v="31-50"/>
    <x v="1"/>
    <x v="6"/>
    <x v="0"/>
    <n v="2"/>
    <n v="1000"/>
    <n v="2000"/>
    <x v="56"/>
    <x v="1"/>
    <x v="3"/>
    <x v="1"/>
    <n v="2024"/>
  </r>
  <r>
    <n v="1495"/>
    <s v="Lakshmi"/>
    <s v="Adult"/>
    <n v="39"/>
    <s v="31-50"/>
    <x v="0"/>
    <x v="4"/>
    <x v="2"/>
    <n v="2"/>
    <n v="17530"/>
    <n v="35060"/>
    <x v="15"/>
    <x v="0"/>
    <x v="0"/>
    <x v="1"/>
    <n v="2024"/>
  </r>
  <r>
    <n v="1496"/>
    <s v="Ramesh"/>
    <s v="Adult"/>
    <n v="30"/>
    <s v="21-30"/>
    <x v="0"/>
    <x v="7"/>
    <x v="2"/>
    <n v="2"/>
    <n v="1000"/>
    <n v="2000"/>
    <x v="26"/>
    <x v="1"/>
    <x v="4"/>
    <x v="0"/>
    <n v="2024"/>
  </r>
  <r>
    <n v="1497"/>
    <s v="Manoj"/>
    <s v="Adult"/>
    <n v="30"/>
    <s v="21-30"/>
    <x v="0"/>
    <x v="5"/>
    <x v="2"/>
    <n v="3"/>
    <n v="42327"/>
    <n v="126981"/>
    <x v="31"/>
    <x v="0"/>
    <x v="1"/>
    <x v="1"/>
    <n v="2024"/>
  </r>
  <r>
    <n v="1498"/>
    <s v="Asha"/>
    <s v="Adult"/>
    <n v="30"/>
    <s v="21-30"/>
    <x v="0"/>
    <x v="1"/>
    <x v="1"/>
    <n v="2"/>
    <n v="1000"/>
    <n v="2000"/>
    <x v="53"/>
    <x v="1"/>
    <x v="3"/>
    <x v="0"/>
    <n v="2024"/>
  </r>
  <r>
    <n v="1499"/>
    <s v="Karthik"/>
    <s v="Adult"/>
    <n v="30"/>
    <s v="21-30"/>
    <x v="0"/>
    <x v="5"/>
    <x v="2"/>
    <n v="2"/>
    <n v="1000"/>
    <n v="2000"/>
    <x v="14"/>
    <x v="1"/>
    <x v="4"/>
    <x v="1"/>
    <n v="2024"/>
  </r>
  <r>
    <n v="1500"/>
    <s v="Kiran"/>
    <s v="Adult"/>
    <n v="30"/>
    <s v="21-30"/>
    <x v="1"/>
    <x v="2"/>
    <x v="1"/>
    <n v="2"/>
    <n v="1000"/>
    <n v="2000"/>
    <x v="35"/>
    <x v="1"/>
    <x v="0"/>
    <x v="0"/>
    <n v="2024"/>
  </r>
  <r>
    <n v="1501"/>
    <s v="Anita"/>
    <s v="Senior"/>
    <n v="49"/>
    <s v="31-50"/>
    <x v="0"/>
    <x v="4"/>
    <x v="2"/>
    <n v="2"/>
    <n v="1000"/>
    <n v="2000"/>
    <x v="45"/>
    <x v="1"/>
    <x v="1"/>
    <x v="0"/>
    <n v="2024"/>
  </r>
  <r>
    <n v="1502"/>
    <s v="Sneha"/>
    <s v="Teen"/>
    <n v="18"/>
    <s v="0-20"/>
    <x v="0"/>
    <x v="2"/>
    <x v="1"/>
    <n v="5"/>
    <n v="1000"/>
    <n v="5000"/>
    <x v="1"/>
    <x v="1"/>
    <x v="4"/>
    <x v="1"/>
    <n v="2024"/>
  </r>
  <r>
    <n v="1503"/>
    <s v="Ajay"/>
    <s v="Adult"/>
    <n v="30"/>
    <s v="21-30"/>
    <x v="0"/>
    <x v="5"/>
    <x v="2"/>
    <n v="2"/>
    <n v="11676"/>
    <n v="23352"/>
    <x v="14"/>
    <x v="0"/>
    <x v="3"/>
    <x v="1"/>
    <n v="2024"/>
  </r>
  <r>
    <n v="1504"/>
    <s v="Vikram"/>
    <s v="Adult"/>
    <n v="30"/>
    <s v="21-30"/>
    <x v="1"/>
    <x v="1"/>
    <x v="1"/>
    <n v="1"/>
    <n v="32589"/>
    <n v="32589"/>
    <x v="6"/>
    <x v="0"/>
    <x v="1"/>
    <x v="0"/>
    <n v="2024"/>
  </r>
  <r>
    <n v="1505"/>
    <s v="Kiran"/>
    <s v="Senior"/>
    <n v="41"/>
    <s v="31-50"/>
    <x v="0"/>
    <x v="2"/>
    <x v="1"/>
    <n v="2"/>
    <n v="40919"/>
    <n v="81838"/>
    <x v="1"/>
    <x v="0"/>
    <x v="3"/>
    <x v="1"/>
    <n v="2024"/>
  </r>
  <r>
    <n v="1506"/>
    <s v="Ramesh"/>
    <s v="Adult"/>
    <n v="30"/>
    <s v="21-30"/>
    <x v="0"/>
    <x v="2"/>
    <x v="1"/>
    <n v="3"/>
    <n v="1000"/>
    <n v="3000"/>
    <x v="41"/>
    <x v="1"/>
    <x v="2"/>
    <x v="0"/>
    <n v="2024"/>
  </r>
  <r>
    <n v="1507"/>
    <s v="Vikram"/>
    <s v="Adult"/>
    <n v="37"/>
    <s v="31-50"/>
    <x v="1"/>
    <x v="2"/>
    <x v="1"/>
    <n v="2"/>
    <n v="1000"/>
    <n v="2000"/>
    <x v="19"/>
    <x v="1"/>
    <x v="1"/>
    <x v="1"/>
    <n v="2024"/>
  </r>
  <r>
    <n v="1508"/>
    <s v="Arun"/>
    <s v="Adult"/>
    <n v="30"/>
    <s v="21-30"/>
    <x v="0"/>
    <x v="2"/>
    <x v="1"/>
    <n v="2"/>
    <n v="29088"/>
    <n v="58176"/>
    <x v="59"/>
    <x v="0"/>
    <x v="3"/>
    <x v="1"/>
    <n v="2024"/>
  </r>
  <r>
    <n v="1509"/>
    <s v="Kiran"/>
    <s v="Adult"/>
    <n v="30"/>
    <s v="21-30"/>
    <x v="1"/>
    <x v="7"/>
    <x v="2"/>
    <n v="4"/>
    <n v="18337"/>
    <n v="73348"/>
    <x v="20"/>
    <x v="0"/>
    <x v="2"/>
    <x v="1"/>
    <n v="2024"/>
  </r>
  <r>
    <n v="1510"/>
    <s v="Priya"/>
    <s v="Senior"/>
    <n v="42"/>
    <s v="31-50"/>
    <x v="0"/>
    <x v="2"/>
    <x v="1"/>
    <n v="3"/>
    <n v="1000"/>
    <n v="3000"/>
    <x v="2"/>
    <x v="1"/>
    <x v="1"/>
    <x v="0"/>
    <n v="2024"/>
  </r>
  <r>
    <n v="1511"/>
    <s v="Arun"/>
    <s v="Adult"/>
    <n v="30"/>
    <s v="21-30"/>
    <x v="0"/>
    <x v="5"/>
    <x v="2"/>
    <n v="2"/>
    <n v="21018"/>
    <n v="42036"/>
    <x v="36"/>
    <x v="0"/>
    <x v="4"/>
    <x v="0"/>
    <n v="2024"/>
  </r>
  <r>
    <n v="1512"/>
    <s v="Manoj"/>
    <s v="Adult"/>
    <n v="30"/>
    <s v="21-30"/>
    <x v="1"/>
    <x v="1"/>
    <x v="1"/>
    <n v="2"/>
    <n v="1000"/>
    <n v="2000"/>
    <x v="20"/>
    <x v="1"/>
    <x v="2"/>
    <x v="1"/>
    <n v="2024"/>
  </r>
  <r>
    <n v="1513"/>
    <s v="Meena"/>
    <s v="Adult"/>
    <n v="34"/>
    <s v="31-50"/>
    <x v="0"/>
    <x v="5"/>
    <x v="2"/>
    <n v="3"/>
    <n v="1000"/>
    <n v="3000"/>
    <x v="33"/>
    <x v="1"/>
    <x v="1"/>
    <x v="0"/>
    <n v="2024"/>
  </r>
  <r>
    <n v="1514"/>
    <s v="Priya"/>
    <s v="Adult"/>
    <n v="24"/>
    <s v="21-30"/>
    <x v="1"/>
    <x v="1"/>
    <x v="1"/>
    <n v="5"/>
    <n v="1000"/>
    <n v="5000"/>
    <x v="28"/>
    <x v="1"/>
    <x v="1"/>
    <x v="0"/>
    <n v="2024"/>
  </r>
  <r>
    <n v="1515"/>
    <s v="Manoj"/>
    <s v="Adult"/>
    <n v="30"/>
    <s v="21-30"/>
    <x v="0"/>
    <x v="6"/>
    <x v="0"/>
    <n v="4"/>
    <n v="47884"/>
    <n v="191536"/>
    <x v="24"/>
    <x v="0"/>
    <x v="3"/>
    <x v="1"/>
    <n v="2024"/>
  </r>
  <r>
    <n v="1516"/>
    <s v="Divya"/>
    <s v="Adult"/>
    <n v="30"/>
    <s v="21-30"/>
    <x v="1"/>
    <x v="7"/>
    <x v="2"/>
    <n v="2"/>
    <n v="31804"/>
    <n v="63608"/>
    <x v="26"/>
    <x v="0"/>
    <x v="0"/>
    <x v="0"/>
    <n v="2024"/>
  </r>
  <r>
    <n v="1517"/>
    <s v="Karthik"/>
    <s v="Adult"/>
    <n v="35"/>
    <s v="31-50"/>
    <x v="1"/>
    <x v="0"/>
    <x v="0"/>
    <n v="1"/>
    <n v="1000"/>
    <n v="1000"/>
    <x v="32"/>
    <x v="1"/>
    <x v="4"/>
    <x v="0"/>
    <n v="2024"/>
  </r>
  <r>
    <n v="1518"/>
    <s v="Priya"/>
    <s v="Adult"/>
    <n v="30"/>
    <s v="21-30"/>
    <x v="0"/>
    <x v="5"/>
    <x v="2"/>
    <n v="4"/>
    <n v="1000"/>
    <n v="4000"/>
    <x v="48"/>
    <x v="1"/>
    <x v="1"/>
    <x v="1"/>
    <n v="2024"/>
  </r>
  <r>
    <n v="1519"/>
    <s v="Kiran"/>
    <s v="Adult"/>
    <n v="30"/>
    <s v="21-30"/>
    <x v="0"/>
    <x v="1"/>
    <x v="1"/>
    <n v="3"/>
    <n v="1000"/>
    <n v="3000"/>
    <x v="14"/>
    <x v="1"/>
    <x v="0"/>
    <x v="1"/>
    <n v="2024"/>
  </r>
  <r>
    <n v="1520"/>
    <s v="Priya"/>
    <s v="Adult"/>
    <n v="34"/>
    <s v="31-50"/>
    <x v="0"/>
    <x v="7"/>
    <x v="2"/>
    <n v="2"/>
    <n v="1000"/>
    <n v="2000"/>
    <x v="33"/>
    <x v="1"/>
    <x v="4"/>
    <x v="0"/>
    <n v="2024"/>
  </r>
  <r>
    <n v="1521"/>
    <s v="Ravi"/>
    <s v="Adult"/>
    <n v="29"/>
    <s v="21-30"/>
    <x v="0"/>
    <x v="7"/>
    <x v="2"/>
    <n v="2"/>
    <n v="29914"/>
    <n v="59828"/>
    <x v="0"/>
    <x v="0"/>
    <x v="2"/>
    <x v="0"/>
    <n v="2024"/>
  </r>
  <r>
    <n v="1522"/>
    <s v="Ajay"/>
    <s v="Senior"/>
    <n v="44"/>
    <s v="31-50"/>
    <x v="0"/>
    <x v="6"/>
    <x v="0"/>
    <n v="1"/>
    <n v="1000"/>
    <n v="1000"/>
    <x v="27"/>
    <x v="1"/>
    <x v="4"/>
    <x v="0"/>
    <n v="2024"/>
  </r>
  <r>
    <n v="1523"/>
    <s v="Divya"/>
    <s v="Adult"/>
    <n v="30"/>
    <s v="21-30"/>
    <x v="0"/>
    <x v="3"/>
    <x v="0"/>
    <n v="2"/>
    <n v="29869"/>
    <n v="59738"/>
    <x v="59"/>
    <x v="0"/>
    <x v="4"/>
    <x v="1"/>
    <n v="2024"/>
  </r>
  <r>
    <n v="1524"/>
    <s v="Ajay"/>
    <s v="Adult"/>
    <n v="30"/>
    <s v="21-30"/>
    <x v="0"/>
    <x v="4"/>
    <x v="2"/>
    <n v="1"/>
    <n v="46383"/>
    <n v="46383"/>
    <x v="37"/>
    <x v="0"/>
    <x v="2"/>
    <x v="0"/>
    <n v="2024"/>
  </r>
  <r>
    <n v="1525"/>
    <s v="Arun"/>
    <s v="Adult"/>
    <n v="30"/>
    <s v="21-30"/>
    <x v="0"/>
    <x v="1"/>
    <x v="1"/>
    <n v="2"/>
    <n v="1000"/>
    <n v="2000"/>
    <x v="6"/>
    <x v="1"/>
    <x v="1"/>
    <x v="0"/>
    <n v="2024"/>
  </r>
  <r>
    <n v="1526"/>
    <s v="Anita"/>
    <s v="Adult"/>
    <n v="30"/>
    <s v="21-30"/>
    <x v="1"/>
    <x v="1"/>
    <x v="1"/>
    <n v="5"/>
    <n v="1000"/>
    <n v="5000"/>
    <x v="43"/>
    <x v="1"/>
    <x v="1"/>
    <x v="0"/>
    <n v="2024"/>
  </r>
  <r>
    <n v="1527"/>
    <s v="Arun"/>
    <s v="Adult"/>
    <n v="38"/>
    <s v="31-50"/>
    <x v="0"/>
    <x v="0"/>
    <x v="0"/>
    <n v="2"/>
    <n v="1000"/>
    <n v="2000"/>
    <x v="21"/>
    <x v="1"/>
    <x v="1"/>
    <x v="1"/>
    <n v="2024"/>
  </r>
  <r>
    <n v="1528"/>
    <s v="Ajay"/>
    <s v="Adult"/>
    <n v="30"/>
    <s v="21-30"/>
    <x v="0"/>
    <x v="7"/>
    <x v="2"/>
    <n v="2"/>
    <n v="1000"/>
    <n v="2000"/>
    <x v="32"/>
    <x v="1"/>
    <x v="0"/>
    <x v="0"/>
    <n v="2024"/>
  </r>
  <r>
    <n v="1529"/>
    <s v="Kiran"/>
    <s v="Senior"/>
    <n v="42"/>
    <s v="31-50"/>
    <x v="1"/>
    <x v="5"/>
    <x v="2"/>
    <n v="3"/>
    <n v="1000"/>
    <n v="3000"/>
    <x v="56"/>
    <x v="1"/>
    <x v="1"/>
    <x v="1"/>
    <n v="2024"/>
  </r>
  <r>
    <n v="1530"/>
    <s v="Arun"/>
    <s v="Adult"/>
    <n v="26"/>
    <s v="21-30"/>
    <x v="1"/>
    <x v="3"/>
    <x v="0"/>
    <n v="4"/>
    <n v="1000"/>
    <n v="4000"/>
    <x v="29"/>
    <x v="1"/>
    <x v="1"/>
    <x v="0"/>
    <n v="2024"/>
  </r>
  <r>
    <n v="1531"/>
    <s v="Karthik"/>
    <s v="Adult"/>
    <n v="30"/>
    <s v="21-30"/>
    <x v="1"/>
    <x v="3"/>
    <x v="0"/>
    <n v="2"/>
    <n v="1000"/>
    <n v="2000"/>
    <x v="38"/>
    <x v="1"/>
    <x v="4"/>
    <x v="0"/>
    <n v="2024"/>
  </r>
  <r>
    <n v="1532"/>
    <s v="Divya"/>
    <s v="Adult"/>
    <n v="23"/>
    <s v="21-30"/>
    <x v="0"/>
    <x v="0"/>
    <x v="0"/>
    <n v="2"/>
    <n v="1000"/>
    <n v="2000"/>
    <x v="37"/>
    <x v="1"/>
    <x v="2"/>
    <x v="0"/>
    <n v="2024"/>
  </r>
  <r>
    <n v="1533"/>
    <s v="Priya"/>
    <s v="Adult"/>
    <n v="30"/>
    <s v="21-30"/>
    <x v="1"/>
    <x v="0"/>
    <x v="0"/>
    <n v="2"/>
    <n v="1000"/>
    <n v="2000"/>
    <x v="4"/>
    <x v="1"/>
    <x v="4"/>
    <x v="1"/>
    <n v="2024"/>
  </r>
  <r>
    <n v="1534"/>
    <s v="Pooja"/>
    <s v="Adult"/>
    <n v="24"/>
    <s v="21-30"/>
    <x v="1"/>
    <x v="7"/>
    <x v="2"/>
    <n v="5"/>
    <n v="11334"/>
    <n v="56670"/>
    <x v="0"/>
    <x v="0"/>
    <x v="4"/>
    <x v="0"/>
    <n v="2024"/>
  </r>
  <r>
    <n v="1535"/>
    <s v="Asha"/>
    <s v="Adult"/>
    <n v="30"/>
    <s v="21-30"/>
    <x v="0"/>
    <x v="3"/>
    <x v="0"/>
    <n v="2"/>
    <n v="1000"/>
    <n v="2000"/>
    <x v="9"/>
    <x v="1"/>
    <x v="2"/>
    <x v="0"/>
    <n v="2024"/>
  </r>
  <r>
    <n v="1536"/>
    <s v="Manoj"/>
    <s v="Adult"/>
    <n v="34"/>
    <s v="31-50"/>
    <x v="0"/>
    <x v="7"/>
    <x v="2"/>
    <n v="2"/>
    <n v="1000"/>
    <n v="2000"/>
    <x v="8"/>
    <x v="1"/>
    <x v="2"/>
    <x v="1"/>
    <n v="2024"/>
  </r>
  <r>
    <n v="1537"/>
    <s v="Sneha"/>
    <s v="Adult"/>
    <n v="30"/>
    <s v="21-30"/>
    <x v="1"/>
    <x v="4"/>
    <x v="2"/>
    <n v="2"/>
    <n v="1000"/>
    <n v="2000"/>
    <x v="27"/>
    <x v="1"/>
    <x v="1"/>
    <x v="0"/>
    <n v="2024"/>
  </r>
  <r>
    <n v="1538"/>
    <s v="Kiran"/>
    <s v="Senior"/>
    <n v="45"/>
    <s v="31-50"/>
    <x v="0"/>
    <x v="3"/>
    <x v="0"/>
    <n v="1"/>
    <n v="1000"/>
    <n v="1000"/>
    <x v="60"/>
    <x v="1"/>
    <x v="1"/>
    <x v="1"/>
    <n v="2024"/>
  </r>
  <r>
    <n v="1539"/>
    <s v="Priya"/>
    <s v="Adult"/>
    <n v="30"/>
    <s v="21-30"/>
    <x v="0"/>
    <x v="4"/>
    <x v="2"/>
    <n v="2"/>
    <n v="1000"/>
    <n v="2000"/>
    <x v="7"/>
    <x v="1"/>
    <x v="3"/>
    <x v="0"/>
    <n v="2024"/>
  </r>
  <r>
    <n v="1540"/>
    <s v="Kiran"/>
    <s v="Adult"/>
    <n v="30"/>
    <s v="21-30"/>
    <x v="1"/>
    <x v="5"/>
    <x v="2"/>
    <n v="5"/>
    <n v="42820"/>
    <n v="214100"/>
    <x v="12"/>
    <x v="0"/>
    <x v="2"/>
    <x v="0"/>
    <n v="2024"/>
  </r>
  <r>
    <n v="1541"/>
    <s v="Pooja"/>
    <s v="Senior"/>
    <n v="41"/>
    <s v="31-50"/>
    <x v="0"/>
    <x v="2"/>
    <x v="1"/>
    <n v="2"/>
    <n v="1000"/>
    <n v="2000"/>
    <x v="23"/>
    <x v="1"/>
    <x v="0"/>
    <x v="1"/>
    <n v="2024"/>
  </r>
  <r>
    <n v="1542"/>
    <s v="Arun"/>
    <s v="Adult"/>
    <n v="30"/>
    <s v="21-30"/>
    <x v="1"/>
    <x v="5"/>
    <x v="2"/>
    <n v="2"/>
    <n v="1000"/>
    <n v="2000"/>
    <x v="42"/>
    <x v="1"/>
    <x v="0"/>
    <x v="1"/>
    <n v="2024"/>
  </r>
  <r>
    <n v="1543"/>
    <s v="Priya"/>
    <s v="Adult"/>
    <n v="21"/>
    <s v="21-30"/>
    <x v="0"/>
    <x v="0"/>
    <x v="0"/>
    <n v="2"/>
    <n v="1000"/>
    <n v="2000"/>
    <x v="38"/>
    <x v="1"/>
    <x v="2"/>
    <x v="0"/>
    <n v="2024"/>
  </r>
  <r>
    <n v="1544"/>
    <s v="Anita"/>
    <s v="Senior"/>
    <n v="43"/>
    <s v="31-50"/>
    <x v="0"/>
    <x v="6"/>
    <x v="0"/>
    <n v="2"/>
    <n v="41358"/>
    <n v="82716"/>
    <x v="19"/>
    <x v="0"/>
    <x v="4"/>
    <x v="1"/>
    <n v="2024"/>
  </r>
  <r>
    <n v="1545"/>
    <s v="Lakshmi"/>
    <s v="Senior"/>
    <n v="42"/>
    <s v="31-50"/>
    <x v="0"/>
    <x v="4"/>
    <x v="2"/>
    <n v="4"/>
    <n v="33008"/>
    <n v="132032"/>
    <x v="1"/>
    <x v="0"/>
    <x v="3"/>
    <x v="1"/>
    <n v="2024"/>
  </r>
  <r>
    <n v="1546"/>
    <s v="Karthik"/>
    <s v="Adult"/>
    <n v="30"/>
    <s v="21-30"/>
    <x v="1"/>
    <x v="5"/>
    <x v="2"/>
    <n v="2"/>
    <n v="1000"/>
    <n v="2000"/>
    <x v="42"/>
    <x v="1"/>
    <x v="0"/>
    <x v="1"/>
    <n v="2024"/>
  </r>
  <r>
    <n v="1547"/>
    <s v="Pooja"/>
    <s v="Adult"/>
    <n v="30"/>
    <s v="21-30"/>
    <x v="0"/>
    <x v="5"/>
    <x v="2"/>
    <n v="2"/>
    <n v="48019"/>
    <n v="96038"/>
    <x v="6"/>
    <x v="0"/>
    <x v="2"/>
    <x v="0"/>
    <n v="2024"/>
  </r>
  <r>
    <n v="1548"/>
    <s v="Priya"/>
    <s v="Adult"/>
    <n v="30"/>
    <s v="21-30"/>
    <x v="1"/>
    <x v="1"/>
    <x v="1"/>
    <n v="2"/>
    <n v="49585"/>
    <n v="99170"/>
    <x v="6"/>
    <x v="0"/>
    <x v="4"/>
    <x v="0"/>
    <n v="2024"/>
  </r>
  <r>
    <n v="1549"/>
    <s v="Priya"/>
    <s v="Adult"/>
    <n v="22"/>
    <s v="21-30"/>
    <x v="0"/>
    <x v="3"/>
    <x v="0"/>
    <n v="3"/>
    <n v="1000"/>
    <n v="3000"/>
    <x v="21"/>
    <x v="1"/>
    <x v="4"/>
    <x v="1"/>
    <n v="2024"/>
  </r>
  <r>
    <n v="1550"/>
    <s v="Ravi"/>
    <s v="Adult"/>
    <n v="30"/>
    <s v="21-30"/>
    <x v="0"/>
    <x v="1"/>
    <x v="1"/>
    <n v="2"/>
    <n v="1000"/>
    <n v="2000"/>
    <x v="3"/>
    <x v="1"/>
    <x v="2"/>
    <x v="0"/>
    <n v="2024"/>
  </r>
  <r>
    <n v="1551"/>
    <s v="Ramesh"/>
    <s v="Adult"/>
    <n v="30"/>
    <s v="21-30"/>
    <x v="0"/>
    <x v="5"/>
    <x v="2"/>
    <n v="2"/>
    <n v="1000"/>
    <n v="2000"/>
    <x v="32"/>
    <x v="1"/>
    <x v="0"/>
    <x v="0"/>
    <n v="2024"/>
  </r>
  <r>
    <n v="1552"/>
    <s v="Sneha"/>
    <s v="Adult"/>
    <n v="30"/>
    <s v="21-30"/>
    <x v="1"/>
    <x v="0"/>
    <x v="0"/>
    <n v="1"/>
    <n v="42221"/>
    <n v="42221"/>
    <x v="40"/>
    <x v="0"/>
    <x v="3"/>
    <x v="0"/>
    <n v="2024"/>
  </r>
  <r>
    <n v="1553"/>
    <s v="Pooja"/>
    <s v="Adult"/>
    <n v="30"/>
    <s v="21-30"/>
    <x v="1"/>
    <x v="7"/>
    <x v="2"/>
    <n v="5"/>
    <n v="31583"/>
    <n v="157915"/>
    <x v="44"/>
    <x v="0"/>
    <x v="3"/>
    <x v="1"/>
    <n v="2024"/>
  </r>
  <r>
    <n v="1554"/>
    <s v="Divya"/>
    <s v="Adult"/>
    <n v="31"/>
    <s v="31-50"/>
    <x v="1"/>
    <x v="3"/>
    <x v="0"/>
    <n v="2"/>
    <n v="5785"/>
    <n v="11570"/>
    <x v="26"/>
    <x v="0"/>
    <x v="3"/>
    <x v="0"/>
    <n v="2024"/>
  </r>
  <r>
    <n v="1555"/>
    <s v="Surya"/>
    <s v="Adult"/>
    <n v="30"/>
    <s v="21-30"/>
    <x v="1"/>
    <x v="4"/>
    <x v="2"/>
    <n v="2"/>
    <n v="1000"/>
    <n v="2000"/>
    <x v="60"/>
    <x v="1"/>
    <x v="0"/>
    <x v="1"/>
    <n v="2024"/>
  </r>
  <r>
    <n v="1556"/>
    <s v="Meena"/>
    <s v="Adult"/>
    <n v="30"/>
    <s v="21-30"/>
    <x v="1"/>
    <x v="5"/>
    <x v="2"/>
    <n v="2"/>
    <n v="1000"/>
    <n v="2000"/>
    <x v="25"/>
    <x v="1"/>
    <x v="4"/>
    <x v="1"/>
    <n v="2024"/>
  </r>
  <r>
    <n v="1557"/>
    <s v="Pooja"/>
    <s v="Adult"/>
    <n v="30"/>
    <s v="21-30"/>
    <x v="0"/>
    <x v="0"/>
    <x v="0"/>
    <n v="2"/>
    <n v="1000"/>
    <n v="2000"/>
    <x v="11"/>
    <x v="1"/>
    <x v="4"/>
    <x v="0"/>
    <n v="2024"/>
  </r>
  <r>
    <n v="1558"/>
    <s v="Ravi"/>
    <s v="Senior"/>
    <n v="43"/>
    <s v="31-50"/>
    <x v="0"/>
    <x v="6"/>
    <x v="0"/>
    <n v="2"/>
    <n v="1000"/>
    <n v="2000"/>
    <x v="8"/>
    <x v="1"/>
    <x v="0"/>
    <x v="1"/>
    <n v="2024"/>
  </r>
  <r>
    <n v="1559"/>
    <s v="Asha"/>
    <s v="Adult"/>
    <n v="30"/>
    <s v="21-30"/>
    <x v="0"/>
    <x v="7"/>
    <x v="2"/>
    <n v="2"/>
    <n v="1000"/>
    <n v="2000"/>
    <x v="24"/>
    <x v="1"/>
    <x v="0"/>
    <x v="1"/>
    <n v="2024"/>
  </r>
  <r>
    <n v="1560"/>
    <s v="Priya"/>
    <s v="Adult"/>
    <n v="36"/>
    <s v="31-50"/>
    <x v="1"/>
    <x v="5"/>
    <x v="2"/>
    <n v="2"/>
    <n v="1000"/>
    <n v="2000"/>
    <x v="7"/>
    <x v="1"/>
    <x v="2"/>
    <x v="0"/>
    <n v="2024"/>
  </r>
  <r>
    <n v="1561"/>
    <s v="Vikram"/>
    <s v="Adult"/>
    <n v="23"/>
    <s v="21-30"/>
    <x v="0"/>
    <x v="6"/>
    <x v="0"/>
    <n v="2"/>
    <n v="1000"/>
    <n v="2000"/>
    <x v="9"/>
    <x v="1"/>
    <x v="2"/>
    <x v="0"/>
    <n v="2024"/>
  </r>
  <r>
    <n v="1562"/>
    <s v="Manoj"/>
    <s v="Adult"/>
    <n v="30"/>
    <s v="21-30"/>
    <x v="0"/>
    <x v="7"/>
    <x v="2"/>
    <n v="2"/>
    <n v="1000"/>
    <n v="2000"/>
    <x v="51"/>
    <x v="1"/>
    <x v="4"/>
    <x v="0"/>
    <n v="2024"/>
  </r>
  <r>
    <n v="1563"/>
    <s v="Kiran"/>
    <s v="Adult"/>
    <n v="26"/>
    <s v="21-30"/>
    <x v="0"/>
    <x v="7"/>
    <x v="2"/>
    <n v="2"/>
    <n v="1000"/>
    <n v="2000"/>
    <x v="57"/>
    <x v="1"/>
    <x v="0"/>
    <x v="1"/>
    <n v="2024"/>
  </r>
  <r>
    <n v="1564"/>
    <s v="Lakshmi"/>
    <s v="Senior"/>
    <n v="46"/>
    <s v="31-50"/>
    <x v="0"/>
    <x v="5"/>
    <x v="2"/>
    <n v="2"/>
    <n v="1000"/>
    <n v="2000"/>
    <x v="10"/>
    <x v="1"/>
    <x v="3"/>
    <x v="1"/>
    <n v="2024"/>
  </r>
  <r>
    <n v="1565"/>
    <s v="Arun"/>
    <s v="Adult"/>
    <n v="34"/>
    <s v="31-50"/>
    <x v="1"/>
    <x v="5"/>
    <x v="2"/>
    <n v="2"/>
    <n v="1000"/>
    <n v="2000"/>
    <x v="0"/>
    <x v="1"/>
    <x v="2"/>
    <x v="0"/>
    <n v="2024"/>
  </r>
  <r>
    <n v="1566"/>
    <s v="Ajay"/>
    <s v="Adult"/>
    <n v="24"/>
    <s v="21-30"/>
    <x v="1"/>
    <x v="0"/>
    <x v="0"/>
    <n v="4"/>
    <n v="1000"/>
    <n v="4000"/>
    <x v="17"/>
    <x v="1"/>
    <x v="4"/>
    <x v="0"/>
    <n v="2024"/>
  </r>
  <r>
    <n v="1567"/>
    <s v="Anita"/>
    <s v="Adult"/>
    <n v="30"/>
    <s v="21-30"/>
    <x v="0"/>
    <x v="3"/>
    <x v="0"/>
    <n v="2"/>
    <n v="49929"/>
    <n v="99858"/>
    <x v="19"/>
    <x v="0"/>
    <x v="1"/>
    <x v="1"/>
    <n v="2024"/>
  </r>
  <r>
    <n v="1568"/>
    <s v="Arun"/>
    <s v="Adult"/>
    <n v="30"/>
    <s v="21-30"/>
    <x v="0"/>
    <x v="1"/>
    <x v="1"/>
    <n v="2"/>
    <n v="1000"/>
    <n v="2000"/>
    <x v="54"/>
    <x v="1"/>
    <x v="3"/>
    <x v="1"/>
    <n v="2024"/>
  </r>
  <r>
    <n v="1569"/>
    <s v="Sneha"/>
    <s v="Adult"/>
    <n v="20"/>
    <s v="0-20"/>
    <x v="0"/>
    <x v="2"/>
    <x v="1"/>
    <n v="2"/>
    <n v="12829"/>
    <n v="25658"/>
    <x v="7"/>
    <x v="0"/>
    <x v="1"/>
    <x v="0"/>
    <n v="2024"/>
  </r>
  <r>
    <n v="1570"/>
    <s v="Divya"/>
    <s v="Adult"/>
    <n v="21"/>
    <s v="21-30"/>
    <x v="1"/>
    <x v="7"/>
    <x v="2"/>
    <n v="2"/>
    <n v="1000"/>
    <n v="2000"/>
    <x v="45"/>
    <x v="1"/>
    <x v="0"/>
    <x v="0"/>
    <n v="2024"/>
  </r>
  <r>
    <n v="1571"/>
    <s v="Sneha"/>
    <s v="Adult"/>
    <n v="39"/>
    <s v="31-50"/>
    <x v="0"/>
    <x v="7"/>
    <x v="2"/>
    <n v="2"/>
    <n v="1000"/>
    <n v="2000"/>
    <x v="49"/>
    <x v="1"/>
    <x v="4"/>
    <x v="1"/>
    <n v="2024"/>
  </r>
  <r>
    <n v="1572"/>
    <s v="Asha"/>
    <s v="Adult"/>
    <n v="20"/>
    <s v="0-20"/>
    <x v="0"/>
    <x v="3"/>
    <x v="0"/>
    <n v="2"/>
    <n v="1000"/>
    <n v="2000"/>
    <x v="56"/>
    <x v="1"/>
    <x v="1"/>
    <x v="1"/>
    <n v="2024"/>
  </r>
  <r>
    <n v="1573"/>
    <s v="Vikram"/>
    <s v="Adult"/>
    <n v="31"/>
    <s v="31-50"/>
    <x v="0"/>
    <x v="5"/>
    <x v="2"/>
    <n v="3"/>
    <n v="1000"/>
    <n v="3000"/>
    <x v="17"/>
    <x v="1"/>
    <x v="4"/>
    <x v="0"/>
    <n v="2024"/>
  </r>
  <r>
    <n v="1574"/>
    <s v="Ajay"/>
    <s v="Adult"/>
    <n v="30"/>
    <s v="21-30"/>
    <x v="0"/>
    <x v="2"/>
    <x v="1"/>
    <n v="2"/>
    <n v="1000"/>
    <n v="2000"/>
    <x v="23"/>
    <x v="1"/>
    <x v="1"/>
    <x v="1"/>
    <n v="2024"/>
  </r>
  <r>
    <n v="1575"/>
    <s v="Surya"/>
    <s v="Adult"/>
    <n v="30"/>
    <s v="21-30"/>
    <x v="1"/>
    <x v="5"/>
    <x v="2"/>
    <n v="2"/>
    <n v="13052"/>
    <n v="26104"/>
    <x v="45"/>
    <x v="0"/>
    <x v="4"/>
    <x v="0"/>
    <n v="2024"/>
  </r>
  <r>
    <n v="1576"/>
    <s v="Ajay"/>
    <s v="Senior"/>
    <n v="43"/>
    <s v="31-50"/>
    <x v="1"/>
    <x v="6"/>
    <x v="0"/>
    <n v="4"/>
    <n v="1000"/>
    <n v="4000"/>
    <x v="10"/>
    <x v="1"/>
    <x v="4"/>
    <x v="1"/>
    <n v="2024"/>
  </r>
  <r>
    <n v="1577"/>
    <s v="Pooja"/>
    <s v="Adult"/>
    <n v="29"/>
    <s v="21-30"/>
    <x v="0"/>
    <x v="5"/>
    <x v="2"/>
    <n v="2"/>
    <n v="9906"/>
    <n v="19812"/>
    <x v="9"/>
    <x v="0"/>
    <x v="2"/>
    <x v="0"/>
    <n v="2024"/>
  </r>
  <r>
    <n v="1578"/>
    <s v="Arun"/>
    <s v="Adult"/>
    <n v="30"/>
    <s v="21-30"/>
    <x v="0"/>
    <x v="4"/>
    <x v="2"/>
    <n v="2"/>
    <n v="1000"/>
    <n v="2000"/>
    <x v="57"/>
    <x v="1"/>
    <x v="1"/>
    <x v="1"/>
    <n v="2024"/>
  </r>
  <r>
    <n v="1579"/>
    <s v="Ajay"/>
    <s v="Adult"/>
    <n v="30"/>
    <s v="21-30"/>
    <x v="1"/>
    <x v="1"/>
    <x v="1"/>
    <n v="2"/>
    <n v="1000"/>
    <n v="2000"/>
    <x v="15"/>
    <x v="1"/>
    <x v="4"/>
    <x v="1"/>
    <n v="2024"/>
  </r>
  <r>
    <n v="1580"/>
    <s v="Karthik"/>
    <s v="Adult"/>
    <n v="30"/>
    <s v="21-30"/>
    <x v="1"/>
    <x v="3"/>
    <x v="0"/>
    <n v="4"/>
    <n v="1000"/>
    <n v="4000"/>
    <x v="5"/>
    <x v="1"/>
    <x v="3"/>
    <x v="0"/>
    <n v="2024"/>
  </r>
  <r>
    <n v="1581"/>
    <s v="Surya"/>
    <s v="Adult"/>
    <n v="30"/>
    <s v="21-30"/>
    <x v="1"/>
    <x v="4"/>
    <x v="2"/>
    <n v="2"/>
    <n v="1000"/>
    <n v="2000"/>
    <x v="32"/>
    <x v="1"/>
    <x v="4"/>
    <x v="0"/>
    <n v="2024"/>
  </r>
  <r>
    <n v="1582"/>
    <s v="Lakshmi"/>
    <s v="Adult"/>
    <n v="30"/>
    <s v="21-30"/>
    <x v="1"/>
    <x v="0"/>
    <x v="0"/>
    <n v="2"/>
    <n v="1000"/>
    <n v="2000"/>
    <x v="22"/>
    <x v="1"/>
    <x v="1"/>
    <x v="0"/>
    <n v="2024"/>
  </r>
  <r>
    <n v="1583"/>
    <s v="Kiran"/>
    <s v="Adult"/>
    <n v="30"/>
    <s v="21-30"/>
    <x v="0"/>
    <x v="7"/>
    <x v="2"/>
    <n v="4"/>
    <n v="1000"/>
    <n v="4000"/>
    <x v="20"/>
    <x v="1"/>
    <x v="4"/>
    <x v="1"/>
    <n v="2024"/>
  </r>
  <r>
    <n v="1584"/>
    <s v="Karthik"/>
    <s v="Senior"/>
    <n v="44"/>
    <s v="31-50"/>
    <x v="0"/>
    <x v="3"/>
    <x v="0"/>
    <n v="1"/>
    <n v="29382"/>
    <n v="29382"/>
    <x v="50"/>
    <x v="0"/>
    <x v="3"/>
    <x v="0"/>
    <n v="2024"/>
  </r>
  <r>
    <n v="1585"/>
    <s v="Karthik"/>
    <s v="Adult"/>
    <n v="30"/>
    <s v="21-30"/>
    <x v="0"/>
    <x v="3"/>
    <x v="0"/>
    <n v="1"/>
    <n v="1000"/>
    <n v="1000"/>
    <x v="38"/>
    <x v="1"/>
    <x v="3"/>
    <x v="0"/>
    <n v="2024"/>
  </r>
  <r>
    <n v="1586"/>
    <s v="Asha"/>
    <s v="Teen"/>
    <n v="18"/>
    <s v="0-20"/>
    <x v="0"/>
    <x v="4"/>
    <x v="2"/>
    <n v="2"/>
    <n v="1000"/>
    <n v="2000"/>
    <x v="6"/>
    <x v="1"/>
    <x v="0"/>
    <x v="0"/>
    <n v="2024"/>
  </r>
  <r>
    <n v="1587"/>
    <s v="Ravi"/>
    <s v="Adult"/>
    <n v="30"/>
    <s v="21-30"/>
    <x v="1"/>
    <x v="5"/>
    <x v="2"/>
    <n v="2"/>
    <n v="1000"/>
    <n v="2000"/>
    <x v="19"/>
    <x v="1"/>
    <x v="4"/>
    <x v="1"/>
    <n v="2024"/>
  </r>
  <r>
    <n v="1588"/>
    <s v="Arun"/>
    <s v="Adult"/>
    <n v="30"/>
    <s v="21-30"/>
    <x v="1"/>
    <x v="4"/>
    <x v="2"/>
    <n v="2"/>
    <n v="1000"/>
    <n v="2000"/>
    <x v="52"/>
    <x v="1"/>
    <x v="0"/>
    <x v="1"/>
    <n v="2024"/>
  </r>
  <r>
    <n v="1589"/>
    <s v="Manoj"/>
    <s v="Senior"/>
    <n v="47"/>
    <s v="31-50"/>
    <x v="0"/>
    <x v="2"/>
    <x v="1"/>
    <n v="2"/>
    <n v="1000"/>
    <n v="2000"/>
    <x v="45"/>
    <x v="1"/>
    <x v="3"/>
    <x v="0"/>
    <n v="2024"/>
  </r>
  <r>
    <n v="1590"/>
    <s v="Divya"/>
    <s v="Adult"/>
    <n v="30"/>
    <s v="21-30"/>
    <x v="1"/>
    <x v="4"/>
    <x v="2"/>
    <n v="2"/>
    <n v="1000"/>
    <n v="2000"/>
    <x v="8"/>
    <x v="1"/>
    <x v="1"/>
    <x v="1"/>
    <n v="2024"/>
  </r>
  <r>
    <n v="1591"/>
    <s v="Meena"/>
    <s v="Adult"/>
    <n v="30"/>
    <s v="21-30"/>
    <x v="0"/>
    <x v="3"/>
    <x v="0"/>
    <n v="2"/>
    <n v="1000"/>
    <n v="2000"/>
    <x v="14"/>
    <x v="1"/>
    <x v="1"/>
    <x v="1"/>
    <n v="2024"/>
  </r>
  <r>
    <n v="1592"/>
    <s v="Meena"/>
    <s v="Adult"/>
    <n v="30"/>
    <s v="21-30"/>
    <x v="1"/>
    <x v="5"/>
    <x v="2"/>
    <n v="1"/>
    <n v="1000"/>
    <n v="1000"/>
    <x v="3"/>
    <x v="1"/>
    <x v="2"/>
    <x v="0"/>
    <n v="2024"/>
  </r>
  <r>
    <n v="1593"/>
    <s v="Meena"/>
    <s v="Adult"/>
    <n v="30"/>
    <s v="21-30"/>
    <x v="1"/>
    <x v="7"/>
    <x v="2"/>
    <n v="2"/>
    <n v="1000"/>
    <n v="2000"/>
    <x v="26"/>
    <x v="1"/>
    <x v="4"/>
    <x v="0"/>
    <n v="2024"/>
  </r>
  <r>
    <n v="1594"/>
    <s v="Asha"/>
    <s v="Adult"/>
    <n v="35"/>
    <s v="31-50"/>
    <x v="1"/>
    <x v="5"/>
    <x v="2"/>
    <n v="2"/>
    <n v="1000"/>
    <n v="2000"/>
    <x v="58"/>
    <x v="1"/>
    <x v="2"/>
    <x v="0"/>
    <n v="2024"/>
  </r>
  <r>
    <n v="1595"/>
    <s v="Anita"/>
    <s v="Adult"/>
    <n v="38"/>
    <s v="31-50"/>
    <x v="1"/>
    <x v="2"/>
    <x v="1"/>
    <n v="4"/>
    <n v="1000"/>
    <n v="4000"/>
    <x v="25"/>
    <x v="1"/>
    <x v="2"/>
    <x v="1"/>
    <n v="2024"/>
  </r>
  <r>
    <n v="1596"/>
    <s v="Asha"/>
    <s v="Adult"/>
    <n v="30"/>
    <s v="21-30"/>
    <x v="1"/>
    <x v="0"/>
    <x v="0"/>
    <n v="2"/>
    <n v="33279"/>
    <n v="66558"/>
    <x v="33"/>
    <x v="0"/>
    <x v="2"/>
    <x v="0"/>
    <n v="2024"/>
  </r>
  <r>
    <n v="1597"/>
    <s v="Ravi"/>
    <s v="Adult"/>
    <n v="33"/>
    <s v="31-50"/>
    <x v="1"/>
    <x v="3"/>
    <x v="0"/>
    <n v="2"/>
    <n v="1000"/>
    <n v="2000"/>
    <x v="34"/>
    <x v="1"/>
    <x v="0"/>
    <x v="1"/>
    <n v="2024"/>
  </r>
  <r>
    <n v="1598"/>
    <s v="Anita"/>
    <s v="Adult"/>
    <n v="30"/>
    <s v="21-30"/>
    <x v="1"/>
    <x v="3"/>
    <x v="0"/>
    <n v="2"/>
    <n v="1000"/>
    <n v="2000"/>
    <x v="25"/>
    <x v="1"/>
    <x v="2"/>
    <x v="1"/>
    <n v="2024"/>
  </r>
  <r>
    <n v="1599"/>
    <s v="Anita"/>
    <s v="Adult"/>
    <n v="32"/>
    <s v="31-50"/>
    <x v="0"/>
    <x v="1"/>
    <x v="1"/>
    <n v="2"/>
    <n v="1000"/>
    <n v="2000"/>
    <x v="1"/>
    <x v="1"/>
    <x v="2"/>
    <x v="1"/>
    <n v="2024"/>
  </r>
  <r>
    <n v="1600"/>
    <s v="Pooja"/>
    <s v="Adult"/>
    <n v="33"/>
    <s v="31-50"/>
    <x v="0"/>
    <x v="3"/>
    <x v="0"/>
    <n v="2"/>
    <n v="1000"/>
    <n v="2000"/>
    <x v="22"/>
    <x v="1"/>
    <x v="3"/>
    <x v="0"/>
    <n v="2024"/>
  </r>
  <r>
    <n v="1601"/>
    <s v="Sneha"/>
    <s v="Adult"/>
    <n v="30"/>
    <s v="21-30"/>
    <x v="1"/>
    <x v="3"/>
    <x v="0"/>
    <n v="2"/>
    <n v="1000"/>
    <n v="2000"/>
    <x v="1"/>
    <x v="1"/>
    <x v="4"/>
    <x v="1"/>
    <n v="2024"/>
  </r>
  <r>
    <n v="1602"/>
    <s v="Asha"/>
    <s v="Adult"/>
    <n v="39"/>
    <s v="31-50"/>
    <x v="0"/>
    <x v="2"/>
    <x v="1"/>
    <n v="2"/>
    <n v="20226"/>
    <n v="40452"/>
    <x v="59"/>
    <x v="0"/>
    <x v="1"/>
    <x v="1"/>
    <n v="2024"/>
  </r>
  <r>
    <n v="1603"/>
    <s v="Arun"/>
    <s v="Adult"/>
    <n v="30"/>
    <s v="21-30"/>
    <x v="1"/>
    <x v="7"/>
    <x v="2"/>
    <n v="5"/>
    <n v="1000"/>
    <n v="5000"/>
    <x v="36"/>
    <x v="1"/>
    <x v="3"/>
    <x v="0"/>
    <n v="2024"/>
  </r>
  <r>
    <n v="1604"/>
    <s v="Manoj"/>
    <s v="Adult"/>
    <n v="30"/>
    <s v="21-30"/>
    <x v="1"/>
    <x v="5"/>
    <x v="2"/>
    <n v="4"/>
    <n v="1000"/>
    <n v="4000"/>
    <x v="44"/>
    <x v="1"/>
    <x v="0"/>
    <x v="1"/>
    <n v="2024"/>
  </r>
  <r>
    <n v="1605"/>
    <s v="Lakshmi"/>
    <s v="Adult"/>
    <n v="26"/>
    <s v="21-30"/>
    <x v="0"/>
    <x v="7"/>
    <x v="2"/>
    <n v="2"/>
    <n v="1000"/>
    <n v="2000"/>
    <x v="4"/>
    <x v="1"/>
    <x v="2"/>
    <x v="1"/>
    <n v="2024"/>
  </r>
  <r>
    <n v="1606"/>
    <s v="Arun"/>
    <s v="Adult"/>
    <n v="26"/>
    <s v="21-30"/>
    <x v="0"/>
    <x v="6"/>
    <x v="0"/>
    <n v="2"/>
    <n v="1000"/>
    <n v="2000"/>
    <x v="8"/>
    <x v="1"/>
    <x v="2"/>
    <x v="1"/>
    <n v="2024"/>
  </r>
  <r>
    <n v="1607"/>
    <s v="Arun"/>
    <s v="Senior"/>
    <n v="45"/>
    <s v="31-50"/>
    <x v="1"/>
    <x v="7"/>
    <x v="2"/>
    <n v="2"/>
    <n v="11742"/>
    <n v="23484"/>
    <x v="56"/>
    <x v="0"/>
    <x v="3"/>
    <x v="1"/>
    <n v="2024"/>
  </r>
  <r>
    <n v="1608"/>
    <s v="Ajay"/>
    <s v="Adult"/>
    <n v="35"/>
    <s v="31-50"/>
    <x v="0"/>
    <x v="5"/>
    <x v="2"/>
    <n v="2"/>
    <n v="1000"/>
    <n v="2000"/>
    <x v="60"/>
    <x v="1"/>
    <x v="3"/>
    <x v="1"/>
    <n v="2024"/>
  </r>
  <r>
    <n v="1609"/>
    <s v="Surya"/>
    <s v="Adult"/>
    <n v="30"/>
    <s v="21-30"/>
    <x v="0"/>
    <x v="4"/>
    <x v="2"/>
    <n v="2"/>
    <n v="1000"/>
    <n v="2000"/>
    <x v="34"/>
    <x v="1"/>
    <x v="3"/>
    <x v="1"/>
    <n v="2024"/>
  </r>
  <r>
    <n v="1610"/>
    <s v="Neha"/>
    <s v="Adult"/>
    <n v="30"/>
    <s v="21-30"/>
    <x v="0"/>
    <x v="6"/>
    <x v="0"/>
    <n v="2"/>
    <n v="1000"/>
    <n v="2000"/>
    <x v="2"/>
    <x v="1"/>
    <x v="1"/>
    <x v="0"/>
    <n v="2024"/>
  </r>
  <r>
    <n v="1611"/>
    <s v="Anita"/>
    <s v="Adult"/>
    <n v="25"/>
    <s v="21-30"/>
    <x v="0"/>
    <x v="7"/>
    <x v="2"/>
    <n v="4"/>
    <n v="1000"/>
    <n v="4000"/>
    <x v="21"/>
    <x v="1"/>
    <x v="3"/>
    <x v="1"/>
    <n v="2024"/>
  </r>
  <r>
    <n v="1612"/>
    <s v="Arun"/>
    <s v="Adult"/>
    <n v="30"/>
    <s v="21-30"/>
    <x v="0"/>
    <x v="7"/>
    <x v="2"/>
    <n v="3"/>
    <n v="1000"/>
    <n v="3000"/>
    <x v="36"/>
    <x v="1"/>
    <x v="2"/>
    <x v="0"/>
    <n v="2024"/>
  </r>
  <r>
    <n v="1613"/>
    <s v="Karthik"/>
    <s v="Adult"/>
    <n v="30"/>
    <s v="21-30"/>
    <x v="1"/>
    <x v="4"/>
    <x v="2"/>
    <n v="5"/>
    <n v="1000"/>
    <n v="5000"/>
    <x v="58"/>
    <x v="1"/>
    <x v="4"/>
    <x v="0"/>
    <n v="2024"/>
  </r>
  <r>
    <n v="1614"/>
    <s v="Manoj"/>
    <s v="Adult"/>
    <n v="22"/>
    <s v="21-30"/>
    <x v="0"/>
    <x v="3"/>
    <x v="0"/>
    <n v="2"/>
    <n v="6865"/>
    <n v="13730"/>
    <x v="0"/>
    <x v="0"/>
    <x v="4"/>
    <x v="0"/>
    <n v="2024"/>
  </r>
  <r>
    <n v="1615"/>
    <s v="Ravi"/>
    <s v="Adult"/>
    <n v="30"/>
    <s v="21-30"/>
    <x v="1"/>
    <x v="4"/>
    <x v="2"/>
    <n v="2"/>
    <n v="1000"/>
    <n v="2000"/>
    <x v="52"/>
    <x v="1"/>
    <x v="2"/>
    <x v="1"/>
    <n v="2024"/>
  </r>
  <r>
    <n v="1616"/>
    <s v="Karthik"/>
    <s v="Adult"/>
    <n v="30"/>
    <s v="21-30"/>
    <x v="0"/>
    <x v="7"/>
    <x v="2"/>
    <n v="3"/>
    <n v="20595"/>
    <n v="61785"/>
    <x v="52"/>
    <x v="0"/>
    <x v="3"/>
    <x v="1"/>
    <n v="2024"/>
  </r>
  <r>
    <n v="1617"/>
    <s v="Meena"/>
    <s v="Adult"/>
    <n v="30"/>
    <s v="21-30"/>
    <x v="1"/>
    <x v="4"/>
    <x v="2"/>
    <n v="4"/>
    <n v="1000"/>
    <n v="4000"/>
    <x v="21"/>
    <x v="1"/>
    <x v="4"/>
    <x v="1"/>
    <n v="2024"/>
  </r>
  <r>
    <n v="1618"/>
    <s v="Ajay"/>
    <s v="Adult"/>
    <n v="23"/>
    <s v="21-30"/>
    <x v="0"/>
    <x v="1"/>
    <x v="1"/>
    <n v="2"/>
    <n v="1000"/>
    <n v="2000"/>
    <x v="55"/>
    <x v="1"/>
    <x v="3"/>
    <x v="1"/>
    <n v="2024"/>
  </r>
  <r>
    <n v="1619"/>
    <s v="Asha"/>
    <s v="Adult"/>
    <n v="30"/>
    <s v="21-30"/>
    <x v="0"/>
    <x v="0"/>
    <x v="0"/>
    <n v="2"/>
    <n v="1000"/>
    <n v="2000"/>
    <x v="11"/>
    <x v="1"/>
    <x v="3"/>
    <x v="0"/>
    <n v="2024"/>
  </r>
  <r>
    <n v="1620"/>
    <s v="Karthik"/>
    <s v="Senior"/>
    <n v="44"/>
    <s v="31-50"/>
    <x v="1"/>
    <x v="2"/>
    <x v="1"/>
    <n v="1"/>
    <n v="31864"/>
    <n v="31864"/>
    <x v="58"/>
    <x v="0"/>
    <x v="4"/>
    <x v="0"/>
    <n v="2024"/>
  </r>
  <r>
    <n v="1621"/>
    <s v="Arun"/>
    <s v="Senior"/>
    <n v="42"/>
    <s v="31-50"/>
    <x v="0"/>
    <x v="3"/>
    <x v="0"/>
    <n v="2"/>
    <n v="1000"/>
    <n v="2000"/>
    <x v="29"/>
    <x v="1"/>
    <x v="1"/>
    <x v="0"/>
    <n v="2024"/>
  </r>
  <r>
    <n v="1622"/>
    <s v="Divya"/>
    <s v="Adult"/>
    <n v="30"/>
    <s v="21-30"/>
    <x v="1"/>
    <x v="5"/>
    <x v="2"/>
    <n v="4"/>
    <n v="39918"/>
    <n v="159672"/>
    <x v="11"/>
    <x v="0"/>
    <x v="3"/>
    <x v="0"/>
    <n v="2024"/>
  </r>
  <r>
    <n v="1623"/>
    <s v="Priya"/>
    <s v="Adult"/>
    <n v="32"/>
    <s v="31-50"/>
    <x v="1"/>
    <x v="7"/>
    <x v="2"/>
    <n v="1"/>
    <n v="1000"/>
    <n v="1000"/>
    <x v="38"/>
    <x v="1"/>
    <x v="0"/>
    <x v="0"/>
    <n v="2024"/>
  </r>
  <r>
    <n v="1624"/>
    <s v="Kiran"/>
    <s v="Adult"/>
    <n v="21"/>
    <s v="21-30"/>
    <x v="0"/>
    <x v="1"/>
    <x v="1"/>
    <n v="1"/>
    <n v="13078"/>
    <n v="13078"/>
    <x v="26"/>
    <x v="0"/>
    <x v="3"/>
    <x v="0"/>
    <n v="2024"/>
  </r>
  <r>
    <n v="1625"/>
    <s v="Ramesh"/>
    <s v="Adult"/>
    <n v="30"/>
    <s v="21-30"/>
    <x v="1"/>
    <x v="7"/>
    <x v="2"/>
    <n v="2"/>
    <n v="36623"/>
    <n v="73246"/>
    <x v="43"/>
    <x v="0"/>
    <x v="3"/>
    <x v="0"/>
    <n v="2024"/>
  </r>
  <r>
    <n v="1626"/>
    <s v="Kiran"/>
    <s v="Adult"/>
    <n v="33"/>
    <s v="31-50"/>
    <x v="1"/>
    <x v="3"/>
    <x v="0"/>
    <n v="2"/>
    <n v="44642"/>
    <n v="89284"/>
    <x v="17"/>
    <x v="0"/>
    <x v="0"/>
    <x v="0"/>
    <n v="2024"/>
  </r>
  <r>
    <n v="1627"/>
    <s v="Manoj"/>
    <s v="Adult"/>
    <n v="30"/>
    <s v="21-30"/>
    <x v="0"/>
    <x v="7"/>
    <x v="2"/>
    <n v="4"/>
    <n v="17404"/>
    <n v="69616"/>
    <x v="13"/>
    <x v="0"/>
    <x v="1"/>
    <x v="1"/>
    <n v="2024"/>
  </r>
  <r>
    <n v="1628"/>
    <s v="Divya"/>
    <s v="Adult"/>
    <n v="31"/>
    <s v="31-50"/>
    <x v="0"/>
    <x v="5"/>
    <x v="2"/>
    <n v="4"/>
    <n v="1000"/>
    <n v="4000"/>
    <x v="21"/>
    <x v="1"/>
    <x v="4"/>
    <x v="1"/>
    <n v="2024"/>
  </r>
  <r>
    <n v="1629"/>
    <s v="Ajay"/>
    <s v="Adult"/>
    <n v="31"/>
    <s v="31-50"/>
    <x v="1"/>
    <x v="6"/>
    <x v="0"/>
    <n v="2"/>
    <n v="1000"/>
    <n v="2000"/>
    <x v="10"/>
    <x v="1"/>
    <x v="4"/>
    <x v="1"/>
    <n v="2024"/>
  </r>
  <r>
    <n v="1630"/>
    <s v="Lakshmi"/>
    <s v="Senior"/>
    <n v="41"/>
    <s v="31-50"/>
    <x v="1"/>
    <x v="0"/>
    <x v="0"/>
    <n v="2"/>
    <n v="26838"/>
    <n v="53676"/>
    <x v="47"/>
    <x v="0"/>
    <x v="0"/>
    <x v="1"/>
    <n v="2024"/>
  </r>
  <r>
    <n v="1631"/>
    <s v="Vikram"/>
    <s v="Adult"/>
    <n v="30"/>
    <s v="21-30"/>
    <x v="0"/>
    <x v="1"/>
    <x v="1"/>
    <n v="1"/>
    <n v="17149"/>
    <n v="17149"/>
    <x v="4"/>
    <x v="0"/>
    <x v="1"/>
    <x v="1"/>
    <n v="2024"/>
  </r>
  <r>
    <n v="1632"/>
    <s v="Ramesh"/>
    <s v="Adult"/>
    <n v="30"/>
    <s v="21-30"/>
    <x v="1"/>
    <x v="7"/>
    <x v="2"/>
    <n v="2"/>
    <n v="1000"/>
    <n v="2000"/>
    <x v="26"/>
    <x v="1"/>
    <x v="0"/>
    <x v="0"/>
    <n v="2024"/>
  </r>
  <r>
    <n v="1633"/>
    <s v="Surya"/>
    <s v="Senior"/>
    <n v="41"/>
    <s v="31-50"/>
    <x v="1"/>
    <x v="0"/>
    <x v="0"/>
    <n v="2"/>
    <n v="15218"/>
    <n v="30436"/>
    <x v="18"/>
    <x v="0"/>
    <x v="3"/>
    <x v="1"/>
    <n v="2024"/>
  </r>
  <r>
    <n v="1634"/>
    <s v="Pooja"/>
    <s v="Adult"/>
    <n v="35"/>
    <s v="31-50"/>
    <x v="0"/>
    <x v="4"/>
    <x v="2"/>
    <n v="2"/>
    <n v="1000"/>
    <n v="2000"/>
    <x v="34"/>
    <x v="1"/>
    <x v="0"/>
    <x v="1"/>
    <n v="2024"/>
  </r>
  <r>
    <n v="1635"/>
    <s v="Manoj"/>
    <s v="Senior"/>
    <n v="42"/>
    <s v="31-50"/>
    <x v="0"/>
    <x v="2"/>
    <x v="1"/>
    <n v="2"/>
    <n v="38805"/>
    <n v="77610"/>
    <x v="55"/>
    <x v="0"/>
    <x v="1"/>
    <x v="1"/>
    <n v="2024"/>
  </r>
  <r>
    <n v="1636"/>
    <s v="Meena"/>
    <s v="Adult"/>
    <n v="39"/>
    <s v="31-50"/>
    <x v="0"/>
    <x v="5"/>
    <x v="2"/>
    <n v="2"/>
    <n v="1000"/>
    <n v="2000"/>
    <x v="47"/>
    <x v="1"/>
    <x v="1"/>
    <x v="1"/>
    <n v="2024"/>
  </r>
  <r>
    <n v="1637"/>
    <s v="Asha"/>
    <s v="Teen"/>
    <n v="18"/>
    <s v="0-20"/>
    <x v="1"/>
    <x v="3"/>
    <x v="0"/>
    <n v="4"/>
    <n v="27021"/>
    <n v="108084"/>
    <x v="45"/>
    <x v="0"/>
    <x v="2"/>
    <x v="0"/>
    <n v="2024"/>
  </r>
  <r>
    <n v="1638"/>
    <s v="Arun"/>
    <s v="Adult"/>
    <n v="30"/>
    <s v="21-30"/>
    <x v="0"/>
    <x v="2"/>
    <x v="1"/>
    <n v="2"/>
    <n v="30105"/>
    <n v="60210"/>
    <x v="50"/>
    <x v="0"/>
    <x v="3"/>
    <x v="0"/>
    <n v="2024"/>
  </r>
  <r>
    <n v="1639"/>
    <s v="Sneha"/>
    <s v="Adult"/>
    <n v="24"/>
    <s v="21-30"/>
    <x v="0"/>
    <x v="5"/>
    <x v="2"/>
    <n v="3"/>
    <n v="19891"/>
    <n v="59673"/>
    <x v="47"/>
    <x v="0"/>
    <x v="2"/>
    <x v="1"/>
    <n v="2024"/>
  </r>
  <r>
    <n v="1640"/>
    <s v="Meena"/>
    <s v="Adult"/>
    <n v="20"/>
    <s v="0-20"/>
    <x v="0"/>
    <x v="2"/>
    <x v="1"/>
    <n v="3"/>
    <n v="1000"/>
    <n v="3000"/>
    <x v="29"/>
    <x v="1"/>
    <x v="3"/>
    <x v="0"/>
    <n v="2024"/>
  </r>
  <r>
    <n v="1641"/>
    <s v="Vikram"/>
    <s v="Adult"/>
    <n v="39"/>
    <s v="31-50"/>
    <x v="0"/>
    <x v="3"/>
    <x v="0"/>
    <n v="2"/>
    <n v="1000"/>
    <n v="2000"/>
    <x v="11"/>
    <x v="1"/>
    <x v="4"/>
    <x v="0"/>
    <n v="2024"/>
  </r>
  <r>
    <n v="1642"/>
    <s v="Ravi"/>
    <s v="Senior"/>
    <n v="48"/>
    <s v="31-50"/>
    <x v="0"/>
    <x v="0"/>
    <x v="0"/>
    <n v="2"/>
    <n v="1000"/>
    <n v="2000"/>
    <x v="5"/>
    <x v="1"/>
    <x v="1"/>
    <x v="0"/>
    <n v="2024"/>
  </r>
  <r>
    <n v="1643"/>
    <s v="Priya"/>
    <s v="Adult"/>
    <n v="30"/>
    <s v="21-30"/>
    <x v="0"/>
    <x v="2"/>
    <x v="1"/>
    <n v="3"/>
    <n v="1000"/>
    <n v="3000"/>
    <x v="16"/>
    <x v="1"/>
    <x v="3"/>
    <x v="2"/>
    <n v="2024"/>
  </r>
  <r>
    <n v="1644"/>
    <s v="Sneha"/>
    <s v="Adult"/>
    <n v="30"/>
    <s v="21-30"/>
    <x v="0"/>
    <x v="5"/>
    <x v="2"/>
    <n v="2"/>
    <n v="44158"/>
    <n v="88316"/>
    <x v="10"/>
    <x v="0"/>
    <x v="3"/>
    <x v="1"/>
    <n v="2024"/>
  </r>
  <r>
    <n v="1645"/>
    <s v="Pooja"/>
    <s v="Adult"/>
    <n v="30"/>
    <s v="21-30"/>
    <x v="0"/>
    <x v="1"/>
    <x v="1"/>
    <n v="4"/>
    <n v="1000"/>
    <n v="4000"/>
    <x v="40"/>
    <x v="1"/>
    <x v="3"/>
    <x v="0"/>
    <n v="2024"/>
  </r>
  <r>
    <n v="1646"/>
    <s v="Asha"/>
    <s v="Adult"/>
    <n v="26"/>
    <s v="21-30"/>
    <x v="0"/>
    <x v="3"/>
    <x v="0"/>
    <n v="2"/>
    <n v="10640"/>
    <n v="21280"/>
    <x v="35"/>
    <x v="0"/>
    <x v="4"/>
    <x v="0"/>
    <n v="2024"/>
  </r>
  <r>
    <n v="1647"/>
    <s v="Manoj"/>
    <s v="Adult"/>
    <n v="30"/>
    <s v="21-30"/>
    <x v="0"/>
    <x v="3"/>
    <x v="0"/>
    <n v="1"/>
    <n v="39953"/>
    <n v="39953"/>
    <x v="3"/>
    <x v="0"/>
    <x v="0"/>
    <x v="0"/>
    <n v="2024"/>
  </r>
  <r>
    <n v="1648"/>
    <s v="Pooja"/>
    <s v="Adult"/>
    <n v="39"/>
    <s v="31-50"/>
    <x v="0"/>
    <x v="3"/>
    <x v="0"/>
    <n v="2"/>
    <n v="13487"/>
    <n v="26974"/>
    <x v="38"/>
    <x v="0"/>
    <x v="4"/>
    <x v="0"/>
    <n v="2024"/>
  </r>
  <r>
    <n v="1649"/>
    <s v="Arun"/>
    <s v="Adult"/>
    <n v="38"/>
    <s v="31-50"/>
    <x v="1"/>
    <x v="6"/>
    <x v="0"/>
    <n v="2"/>
    <n v="1000"/>
    <n v="2000"/>
    <x v="52"/>
    <x v="1"/>
    <x v="3"/>
    <x v="1"/>
    <n v="2024"/>
  </r>
  <r>
    <n v="1650"/>
    <s v="Manoj"/>
    <s v="Adult"/>
    <n v="30"/>
    <s v="21-30"/>
    <x v="0"/>
    <x v="3"/>
    <x v="0"/>
    <n v="2"/>
    <n v="1000"/>
    <n v="2000"/>
    <x v="42"/>
    <x v="1"/>
    <x v="4"/>
    <x v="1"/>
    <n v="2024"/>
  </r>
  <r>
    <n v="1651"/>
    <s v="Anita"/>
    <s v="Adult"/>
    <n v="22"/>
    <s v="21-30"/>
    <x v="0"/>
    <x v="0"/>
    <x v="0"/>
    <n v="3"/>
    <n v="13799"/>
    <n v="41397"/>
    <x v="10"/>
    <x v="0"/>
    <x v="3"/>
    <x v="1"/>
    <n v="2024"/>
  </r>
  <r>
    <n v="1652"/>
    <s v="Sneha"/>
    <s v="Adult"/>
    <n v="22"/>
    <s v="21-30"/>
    <x v="1"/>
    <x v="4"/>
    <x v="2"/>
    <n v="2"/>
    <n v="1000"/>
    <n v="2000"/>
    <x v="56"/>
    <x v="1"/>
    <x v="4"/>
    <x v="1"/>
    <n v="2024"/>
  </r>
  <r>
    <n v="1653"/>
    <s v="Ravi"/>
    <s v="Adult"/>
    <n v="30"/>
    <s v="21-30"/>
    <x v="0"/>
    <x v="3"/>
    <x v="0"/>
    <n v="2"/>
    <n v="1000"/>
    <n v="2000"/>
    <x v="43"/>
    <x v="1"/>
    <x v="3"/>
    <x v="0"/>
    <n v="2024"/>
  </r>
  <r>
    <n v="1654"/>
    <s v="Neha"/>
    <s v="Adult"/>
    <n v="30"/>
    <s v="21-30"/>
    <x v="0"/>
    <x v="6"/>
    <x v="0"/>
    <n v="5"/>
    <n v="1000"/>
    <n v="5000"/>
    <x v="48"/>
    <x v="1"/>
    <x v="3"/>
    <x v="1"/>
    <n v="2024"/>
  </r>
  <r>
    <n v="1655"/>
    <s v="Lakshmi"/>
    <s v="Adult"/>
    <n v="30"/>
    <s v="21-30"/>
    <x v="0"/>
    <x v="1"/>
    <x v="1"/>
    <n v="1"/>
    <n v="33104"/>
    <n v="33104"/>
    <x v="53"/>
    <x v="0"/>
    <x v="3"/>
    <x v="0"/>
    <n v="2024"/>
  </r>
  <r>
    <n v="1656"/>
    <s v="Pooja"/>
    <s v="Adult"/>
    <n v="30"/>
    <s v="21-30"/>
    <x v="0"/>
    <x v="3"/>
    <x v="0"/>
    <n v="2"/>
    <n v="1000"/>
    <n v="2000"/>
    <x v="14"/>
    <x v="1"/>
    <x v="3"/>
    <x v="1"/>
    <n v="2024"/>
  </r>
  <r>
    <n v="1657"/>
    <s v="Sneha"/>
    <s v="Adult"/>
    <n v="30"/>
    <s v="21-30"/>
    <x v="0"/>
    <x v="3"/>
    <x v="0"/>
    <n v="3"/>
    <n v="39427"/>
    <n v="118281"/>
    <x v="44"/>
    <x v="0"/>
    <x v="2"/>
    <x v="1"/>
    <n v="2024"/>
  </r>
  <r>
    <n v="1658"/>
    <s v="Ramesh"/>
    <s v="Adult"/>
    <n v="30"/>
    <s v="21-30"/>
    <x v="1"/>
    <x v="1"/>
    <x v="1"/>
    <n v="5"/>
    <n v="1000"/>
    <n v="5000"/>
    <x v="26"/>
    <x v="1"/>
    <x v="2"/>
    <x v="0"/>
    <n v="2024"/>
  </r>
  <r>
    <n v="1659"/>
    <s v="Manoj"/>
    <s v="Senior"/>
    <n v="42"/>
    <s v="31-50"/>
    <x v="0"/>
    <x v="6"/>
    <x v="0"/>
    <n v="2"/>
    <n v="1000"/>
    <n v="2000"/>
    <x v="56"/>
    <x v="1"/>
    <x v="3"/>
    <x v="1"/>
    <n v="2024"/>
  </r>
  <r>
    <n v="1660"/>
    <s v="Divya"/>
    <s v="Adult"/>
    <n v="34"/>
    <s v="31-50"/>
    <x v="0"/>
    <x v="1"/>
    <x v="1"/>
    <n v="4"/>
    <n v="1000"/>
    <n v="4000"/>
    <x v="28"/>
    <x v="1"/>
    <x v="0"/>
    <x v="0"/>
    <n v="2024"/>
  </r>
  <r>
    <n v="1661"/>
    <s v="Pooja"/>
    <s v="Senior"/>
    <n v="47"/>
    <s v="31-50"/>
    <x v="1"/>
    <x v="4"/>
    <x v="2"/>
    <n v="3"/>
    <n v="1000"/>
    <n v="3000"/>
    <x v="32"/>
    <x v="1"/>
    <x v="2"/>
    <x v="0"/>
    <n v="2024"/>
  </r>
  <r>
    <n v="1662"/>
    <s v="Karthik"/>
    <s v="Adult"/>
    <n v="30"/>
    <s v="21-30"/>
    <x v="0"/>
    <x v="7"/>
    <x v="2"/>
    <n v="2"/>
    <n v="1000"/>
    <n v="2000"/>
    <x v="0"/>
    <x v="1"/>
    <x v="3"/>
    <x v="0"/>
    <n v="2024"/>
  </r>
  <r>
    <n v="1663"/>
    <s v="Divya"/>
    <s v="Senior"/>
    <n v="44"/>
    <s v="31-50"/>
    <x v="0"/>
    <x v="1"/>
    <x v="1"/>
    <n v="4"/>
    <n v="1000"/>
    <n v="4000"/>
    <x v="23"/>
    <x v="1"/>
    <x v="2"/>
    <x v="1"/>
    <n v="2024"/>
  </r>
  <r>
    <n v="1664"/>
    <s v="Meena"/>
    <s v="Adult"/>
    <n v="20"/>
    <s v="0-20"/>
    <x v="1"/>
    <x v="4"/>
    <x v="2"/>
    <n v="2"/>
    <n v="1000"/>
    <n v="2000"/>
    <x v="40"/>
    <x v="1"/>
    <x v="3"/>
    <x v="0"/>
    <n v="2024"/>
  </r>
  <r>
    <n v="1665"/>
    <s v="Vikram"/>
    <s v="Teen"/>
    <n v="19"/>
    <s v="0-20"/>
    <x v="1"/>
    <x v="1"/>
    <x v="1"/>
    <n v="2"/>
    <n v="2756"/>
    <n v="5512"/>
    <x v="6"/>
    <x v="2"/>
    <x v="1"/>
    <x v="0"/>
    <n v="2024"/>
  </r>
  <r>
    <n v="1666"/>
    <s v="Anita"/>
    <s v="Adult"/>
    <n v="30"/>
    <s v="21-30"/>
    <x v="0"/>
    <x v="1"/>
    <x v="1"/>
    <n v="2"/>
    <n v="1000"/>
    <n v="2000"/>
    <x v="36"/>
    <x v="1"/>
    <x v="0"/>
    <x v="0"/>
    <n v="2024"/>
  </r>
  <r>
    <n v="1667"/>
    <s v="Lakshmi"/>
    <s v="Adult"/>
    <n v="30"/>
    <s v="21-30"/>
    <x v="0"/>
    <x v="2"/>
    <x v="1"/>
    <n v="5"/>
    <n v="8024"/>
    <n v="40120"/>
    <x v="39"/>
    <x v="0"/>
    <x v="0"/>
    <x v="0"/>
    <n v="2024"/>
  </r>
  <r>
    <n v="1668"/>
    <s v="Neha"/>
    <s v="Adult"/>
    <n v="30"/>
    <s v="21-30"/>
    <x v="0"/>
    <x v="7"/>
    <x v="2"/>
    <n v="2"/>
    <n v="1000"/>
    <n v="2000"/>
    <x v="10"/>
    <x v="1"/>
    <x v="0"/>
    <x v="1"/>
    <n v="2024"/>
  </r>
  <r>
    <n v="1669"/>
    <s v="Neha"/>
    <s v="Adult"/>
    <n v="35"/>
    <s v="31-50"/>
    <x v="0"/>
    <x v="7"/>
    <x v="2"/>
    <n v="2"/>
    <n v="1000"/>
    <n v="2000"/>
    <x v="26"/>
    <x v="1"/>
    <x v="2"/>
    <x v="0"/>
    <n v="2024"/>
  </r>
  <r>
    <n v="1670"/>
    <s v="Vikram"/>
    <s v="Adult"/>
    <n v="37"/>
    <s v="31-50"/>
    <x v="0"/>
    <x v="6"/>
    <x v="0"/>
    <n v="2"/>
    <n v="1000"/>
    <n v="2000"/>
    <x v="21"/>
    <x v="1"/>
    <x v="3"/>
    <x v="1"/>
    <n v="2024"/>
  </r>
  <r>
    <n v="1671"/>
    <s v="Kiran"/>
    <s v="Adult"/>
    <n v="26"/>
    <s v="21-30"/>
    <x v="1"/>
    <x v="7"/>
    <x v="2"/>
    <n v="2"/>
    <n v="1000"/>
    <n v="2000"/>
    <x v="2"/>
    <x v="1"/>
    <x v="4"/>
    <x v="0"/>
    <n v="2024"/>
  </r>
  <r>
    <n v="1672"/>
    <s v="Neha"/>
    <s v="Adult"/>
    <n v="20"/>
    <s v="0-20"/>
    <x v="0"/>
    <x v="6"/>
    <x v="0"/>
    <n v="4"/>
    <n v="35160"/>
    <n v="140640"/>
    <x v="20"/>
    <x v="0"/>
    <x v="0"/>
    <x v="1"/>
    <n v="2024"/>
  </r>
  <r>
    <n v="1673"/>
    <s v="Priya"/>
    <s v="Adult"/>
    <n v="37"/>
    <s v="31-50"/>
    <x v="0"/>
    <x v="7"/>
    <x v="2"/>
    <n v="2"/>
    <n v="20033"/>
    <n v="40066"/>
    <x v="3"/>
    <x v="0"/>
    <x v="1"/>
    <x v="0"/>
    <n v="2024"/>
  </r>
  <r>
    <n v="1674"/>
    <s v="Ravi"/>
    <s v="Adult"/>
    <n v="30"/>
    <s v="21-30"/>
    <x v="1"/>
    <x v="7"/>
    <x v="2"/>
    <n v="5"/>
    <n v="1000"/>
    <n v="5000"/>
    <x v="37"/>
    <x v="1"/>
    <x v="4"/>
    <x v="0"/>
    <n v="2024"/>
  </r>
  <r>
    <n v="1675"/>
    <s v="Sneha"/>
    <s v="Adult"/>
    <n v="32"/>
    <s v="31-50"/>
    <x v="0"/>
    <x v="3"/>
    <x v="0"/>
    <n v="4"/>
    <n v="16351"/>
    <n v="65404"/>
    <x v="7"/>
    <x v="0"/>
    <x v="4"/>
    <x v="0"/>
    <n v="2024"/>
  </r>
  <r>
    <n v="1676"/>
    <s v="Ajay"/>
    <s v="Senior"/>
    <n v="49"/>
    <s v="31-50"/>
    <x v="0"/>
    <x v="6"/>
    <x v="0"/>
    <n v="2"/>
    <n v="1000"/>
    <n v="2000"/>
    <x v="59"/>
    <x v="1"/>
    <x v="2"/>
    <x v="1"/>
    <n v="2024"/>
  </r>
  <r>
    <n v="1677"/>
    <s v="Meena"/>
    <s v="Adult"/>
    <n v="30"/>
    <s v="21-30"/>
    <x v="0"/>
    <x v="5"/>
    <x v="2"/>
    <n v="2"/>
    <n v="4567"/>
    <n v="9134"/>
    <x v="21"/>
    <x v="2"/>
    <x v="3"/>
    <x v="1"/>
    <n v="2024"/>
  </r>
  <r>
    <n v="1678"/>
    <s v="Lakshmi"/>
    <s v="Adult"/>
    <n v="30"/>
    <s v="21-30"/>
    <x v="1"/>
    <x v="7"/>
    <x v="2"/>
    <n v="4"/>
    <n v="1000"/>
    <n v="4000"/>
    <x v="53"/>
    <x v="1"/>
    <x v="0"/>
    <x v="0"/>
    <n v="2024"/>
  </r>
  <r>
    <n v="1679"/>
    <s v="Priya"/>
    <s v="Adult"/>
    <n v="38"/>
    <s v="31-50"/>
    <x v="0"/>
    <x v="4"/>
    <x v="2"/>
    <n v="2"/>
    <n v="1000"/>
    <n v="2000"/>
    <x v="32"/>
    <x v="1"/>
    <x v="2"/>
    <x v="0"/>
    <n v="2024"/>
  </r>
  <r>
    <n v="1680"/>
    <s v="Karthik"/>
    <s v="Adult"/>
    <n v="34"/>
    <s v="31-50"/>
    <x v="1"/>
    <x v="3"/>
    <x v="0"/>
    <n v="2"/>
    <n v="27119"/>
    <n v="54238"/>
    <x v="42"/>
    <x v="0"/>
    <x v="3"/>
    <x v="1"/>
    <n v="2024"/>
  </r>
  <r>
    <n v="1681"/>
    <s v="Surya"/>
    <s v="Adult"/>
    <n v="20"/>
    <s v="0-20"/>
    <x v="1"/>
    <x v="4"/>
    <x v="2"/>
    <n v="2"/>
    <n v="1000"/>
    <n v="2000"/>
    <x v="3"/>
    <x v="1"/>
    <x v="0"/>
    <x v="0"/>
    <n v="2024"/>
  </r>
  <r>
    <n v="1682"/>
    <s v="Asha"/>
    <s v="Adult"/>
    <n v="30"/>
    <s v="21-30"/>
    <x v="1"/>
    <x v="7"/>
    <x v="2"/>
    <n v="1"/>
    <n v="1000"/>
    <n v="1000"/>
    <x v="27"/>
    <x v="1"/>
    <x v="4"/>
    <x v="0"/>
    <n v="2024"/>
  </r>
  <r>
    <n v="1683"/>
    <s v="Arun"/>
    <s v="Senior"/>
    <n v="48"/>
    <s v="31-50"/>
    <x v="0"/>
    <x v="5"/>
    <x v="2"/>
    <n v="2"/>
    <n v="1000"/>
    <n v="2000"/>
    <x v="48"/>
    <x v="1"/>
    <x v="2"/>
    <x v="1"/>
    <n v="2024"/>
  </r>
  <r>
    <n v="1684"/>
    <s v="Meena"/>
    <s v="Adult"/>
    <n v="21"/>
    <s v="21-30"/>
    <x v="0"/>
    <x v="0"/>
    <x v="0"/>
    <n v="2"/>
    <n v="568"/>
    <n v="1136"/>
    <x v="5"/>
    <x v="1"/>
    <x v="4"/>
    <x v="0"/>
    <n v="2024"/>
  </r>
  <r>
    <n v="1685"/>
    <s v="Manoj"/>
    <s v="Adult"/>
    <n v="30"/>
    <s v="21-30"/>
    <x v="0"/>
    <x v="2"/>
    <x v="1"/>
    <n v="2"/>
    <n v="1000"/>
    <n v="2000"/>
    <x v="59"/>
    <x v="1"/>
    <x v="4"/>
    <x v="1"/>
    <n v="2024"/>
  </r>
  <r>
    <n v="1686"/>
    <s v="Ramesh"/>
    <s v="Adult"/>
    <n v="30"/>
    <s v="21-30"/>
    <x v="0"/>
    <x v="4"/>
    <x v="2"/>
    <n v="2"/>
    <n v="43741"/>
    <n v="87482"/>
    <x v="2"/>
    <x v="0"/>
    <x v="3"/>
    <x v="0"/>
    <n v="2024"/>
  </r>
  <r>
    <n v="1687"/>
    <s v="Divya"/>
    <s v="Adult"/>
    <n v="20"/>
    <s v="0-20"/>
    <x v="0"/>
    <x v="5"/>
    <x v="2"/>
    <n v="2"/>
    <n v="1000"/>
    <n v="2000"/>
    <x v="47"/>
    <x v="1"/>
    <x v="2"/>
    <x v="1"/>
    <n v="2024"/>
  </r>
  <r>
    <n v="1688"/>
    <s v="Kiran"/>
    <s v="Teen"/>
    <n v="18"/>
    <s v="0-20"/>
    <x v="1"/>
    <x v="5"/>
    <x v="2"/>
    <n v="2"/>
    <n v="31289"/>
    <n v="62578"/>
    <x v="57"/>
    <x v="0"/>
    <x v="0"/>
    <x v="1"/>
    <n v="2024"/>
  </r>
  <r>
    <n v="1689"/>
    <s v="Ramesh"/>
    <s v="Adult"/>
    <n v="30"/>
    <s v="21-30"/>
    <x v="1"/>
    <x v="4"/>
    <x v="2"/>
    <n v="2"/>
    <n v="1000"/>
    <n v="2000"/>
    <x v="23"/>
    <x v="1"/>
    <x v="2"/>
    <x v="1"/>
    <n v="2024"/>
  </r>
  <r>
    <n v="1690"/>
    <s v="Priya"/>
    <s v="Adult"/>
    <n v="28"/>
    <s v="21-30"/>
    <x v="1"/>
    <x v="6"/>
    <x v="0"/>
    <n v="2"/>
    <n v="1000"/>
    <n v="2000"/>
    <x v="27"/>
    <x v="1"/>
    <x v="0"/>
    <x v="0"/>
    <n v="2024"/>
  </r>
  <r>
    <n v="1691"/>
    <s v="Karthik"/>
    <s v="Adult"/>
    <n v="30"/>
    <s v="21-30"/>
    <x v="0"/>
    <x v="0"/>
    <x v="0"/>
    <n v="1"/>
    <n v="1000"/>
    <n v="1000"/>
    <x v="17"/>
    <x v="1"/>
    <x v="3"/>
    <x v="0"/>
    <n v="2024"/>
  </r>
  <r>
    <n v="1692"/>
    <s v="Sneha"/>
    <s v="Adult"/>
    <n v="30"/>
    <s v="21-30"/>
    <x v="1"/>
    <x v="6"/>
    <x v="0"/>
    <n v="2"/>
    <n v="29477"/>
    <n v="58954"/>
    <x v="9"/>
    <x v="0"/>
    <x v="2"/>
    <x v="0"/>
    <n v="2024"/>
  </r>
  <r>
    <n v="1693"/>
    <s v="Ramesh"/>
    <s v="Adult"/>
    <n v="30"/>
    <s v="21-30"/>
    <x v="1"/>
    <x v="7"/>
    <x v="2"/>
    <n v="3"/>
    <n v="1000"/>
    <n v="3000"/>
    <x v="12"/>
    <x v="1"/>
    <x v="2"/>
    <x v="0"/>
    <n v="2024"/>
  </r>
  <r>
    <n v="1694"/>
    <s v="Pooja"/>
    <s v="Adult"/>
    <n v="27"/>
    <s v="21-30"/>
    <x v="0"/>
    <x v="0"/>
    <x v="0"/>
    <n v="1"/>
    <n v="1000"/>
    <n v="1000"/>
    <x v="31"/>
    <x v="1"/>
    <x v="3"/>
    <x v="1"/>
    <n v="2024"/>
  </r>
  <r>
    <n v="1695"/>
    <s v="Surya"/>
    <s v="Adult"/>
    <n v="30"/>
    <s v="21-30"/>
    <x v="0"/>
    <x v="7"/>
    <x v="2"/>
    <n v="2"/>
    <n v="1000"/>
    <n v="2000"/>
    <x v="37"/>
    <x v="1"/>
    <x v="1"/>
    <x v="0"/>
    <n v="2024"/>
  </r>
  <r>
    <n v="1696"/>
    <s v="Anita"/>
    <s v="Adult"/>
    <n v="26"/>
    <s v="21-30"/>
    <x v="0"/>
    <x v="6"/>
    <x v="0"/>
    <n v="3"/>
    <n v="41225"/>
    <n v="123675"/>
    <x v="6"/>
    <x v="0"/>
    <x v="3"/>
    <x v="0"/>
    <n v="2024"/>
  </r>
  <r>
    <n v="1697"/>
    <s v="Arun"/>
    <s v="Adult"/>
    <n v="30"/>
    <s v="21-30"/>
    <x v="0"/>
    <x v="5"/>
    <x v="2"/>
    <n v="5"/>
    <n v="39119"/>
    <n v="195595"/>
    <x v="0"/>
    <x v="0"/>
    <x v="1"/>
    <x v="0"/>
    <n v="2024"/>
  </r>
  <r>
    <n v="1698"/>
    <s v="Asha"/>
    <s v="Adult"/>
    <n v="24"/>
    <s v="21-30"/>
    <x v="1"/>
    <x v="5"/>
    <x v="2"/>
    <n v="2"/>
    <n v="20647"/>
    <n v="41294"/>
    <x v="54"/>
    <x v="0"/>
    <x v="2"/>
    <x v="1"/>
    <n v="2024"/>
  </r>
  <r>
    <n v="1699"/>
    <s v="Lakshmi"/>
    <s v="Senior"/>
    <n v="50"/>
    <s v="31-50"/>
    <x v="0"/>
    <x v="2"/>
    <x v="1"/>
    <n v="2"/>
    <n v="1000"/>
    <n v="2000"/>
    <x v="8"/>
    <x v="1"/>
    <x v="4"/>
    <x v="1"/>
    <n v="2024"/>
  </r>
  <r>
    <n v="1700"/>
    <s v="Ravi"/>
    <s v="Adult"/>
    <n v="27"/>
    <s v="21-30"/>
    <x v="0"/>
    <x v="0"/>
    <x v="0"/>
    <n v="2"/>
    <n v="1000"/>
    <n v="2000"/>
    <x v="22"/>
    <x v="1"/>
    <x v="1"/>
    <x v="0"/>
    <n v="2024"/>
  </r>
  <r>
    <n v="1701"/>
    <s v="Asha"/>
    <s v="Adult"/>
    <n v="30"/>
    <s v="21-30"/>
    <x v="1"/>
    <x v="7"/>
    <x v="2"/>
    <n v="2"/>
    <n v="7339"/>
    <n v="14678"/>
    <x v="27"/>
    <x v="0"/>
    <x v="3"/>
    <x v="0"/>
    <n v="2024"/>
  </r>
  <r>
    <n v="1702"/>
    <s v="Anita"/>
    <s v="Adult"/>
    <n v="30"/>
    <s v="21-30"/>
    <x v="1"/>
    <x v="0"/>
    <x v="0"/>
    <n v="3"/>
    <n v="49745"/>
    <n v="149235"/>
    <x v="35"/>
    <x v="0"/>
    <x v="4"/>
    <x v="0"/>
    <n v="2024"/>
  </r>
  <r>
    <n v="1703"/>
    <s v="Asha"/>
    <s v="Adult"/>
    <n v="30"/>
    <s v="21-30"/>
    <x v="1"/>
    <x v="4"/>
    <x v="2"/>
    <n v="2"/>
    <n v="44547"/>
    <n v="89094"/>
    <x v="22"/>
    <x v="0"/>
    <x v="3"/>
    <x v="0"/>
    <n v="2024"/>
  </r>
  <r>
    <n v="1704"/>
    <s v="Anita"/>
    <s v="Adult"/>
    <n v="30"/>
    <s v="21-30"/>
    <x v="1"/>
    <x v="7"/>
    <x v="2"/>
    <n v="2"/>
    <n v="1000"/>
    <n v="2000"/>
    <x v="60"/>
    <x v="1"/>
    <x v="1"/>
    <x v="1"/>
    <n v="2024"/>
  </r>
  <r>
    <n v="1705"/>
    <s v="Divya"/>
    <s v="Senior"/>
    <n v="41"/>
    <s v="31-50"/>
    <x v="0"/>
    <x v="6"/>
    <x v="0"/>
    <n v="2"/>
    <n v="1000"/>
    <n v="2000"/>
    <x v="12"/>
    <x v="1"/>
    <x v="3"/>
    <x v="0"/>
    <n v="2024"/>
  </r>
  <r>
    <n v="1706"/>
    <s v="Ramesh"/>
    <s v="Adult"/>
    <n v="30"/>
    <s v="21-30"/>
    <x v="1"/>
    <x v="0"/>
    <x v="0"/>
    <n v="2"/>
    <n v="1000"/>
    <n v="2000"/>
    <x v="21"/>
    <x v="1"/>
    <x v="2"/>
    <x v="1"/>
    <n v="2024"/>
  </r>
  <r>
    <n v="1707"/>
    <s v="Lakshmi"/>
    <s v="Adult"/>
    <n v="30"/>
    <s v="21-30"/>
    <x v="1"/>
    <x v="4"/>
    <x v="2"/>
    <n v="4"/>
    <n v="8133"/>
    <n v="32532"/>
    <x v="39"/>
    <x v="0"/>
    <x v="0"/>
    <x v="0"/>
    <n v="2024"/>
  </r>
  <r>
    <n v="1708"/>
    <s v="Sneha"/>
    <s v="Teen"/>
    <n v="19"/>
    <s v="0-20"/>
    <x v="1"/>
    <x v="0"/>
    <x v="0"/>
    <n v="2"/>
    <n v="45544"/>
    <n v="91088"/>
    <x v="9"/>
    <x v="0"/>
    <x v="0"/>
    <x v="0"/>
    <n v="2024"/>
  </r>
  <r>
    <n v="1709"/>
    <s v="Kiran"/>
    <s v="Senior"/>
    <n v="45"/>
    <s v="31-50"/>
    <x v="0"/>
    <x v="0"/>
    <x v="0"/>
    <n v="1"/>
    <n v="30082"/>
    <n v="30082"/>
    <x v="21"/>
    <x v="0"/>
    <x v="2"/>
    <x v="1"/>
    <n v="2024"/>
  </r>
  <r>
    <n v="1710"/>
    <s v="Asha"/>
    <s v="Adult"/>
    <n v="26"/>
    <s v="21-30"/>
    <x v="0"/>
    <x v="6"/>
    <x v="0"/>
    <n v="2"/>
    <n v="1000"/>
    <n v="2000"/>
    <x v="36"/>
    <x v="1"/>
    <x v="2"/>
    <x v="0"/>
    <n v="2024"/>
  </r>
  <r>
    <n v="1711"/>
    <s v="Lakshmi"/>
    <s v="Adult"/>
    <n v="30"/>
    <s v="21-30"/>
    <x v="0"/>
    <x v="1"/>
    <x v="1"/>
    <n v="1"/>
    <n v="16566"/>
    <n v="16566"/>
    <x v="53"/>
    <x v="0"/>
    <x v="1"/>
    <x v="0"/>
    <n v="2024"/>
  </r>
  <r>
    <n v="1712"/>
    <s v="Divya"/>
    <s v="Adult"/>
    <n v="30"/>
    <s v="21-30"/>
    <x v="1"/>
    <x v="2"/>
    <x v="1"/>
    <n v="2"/>
    <n v="1000"/>
    <n v="2000"/>
    <x v="55"/>
    <x v="1"/>
    <x v="2"/>
    <x v="1"/>
    <n v="2024"/>
  </r>
  <r>
    <n v="1713"/>
    <s v="Asha"/>
    <s v="Senior"/>
    <n v="41"/>
    <s v="31-50"/>
    <x v="0"/>
    <x v="0"/>
    <x v="0"/>
    <n v="1"/>
    <n v="49234"/>
    <n v="49234"/>
    <x v="49"/>
    <x v="0"/>
    <x v="4"/>
    <x v="1"/>
    <n v="2024"/>
  </r>
  <r>
    <n v="1714"/>
    <s v="Manoj"/>
    <s v="Adult"/>
    <n v="27"/>
    <s v="21-30"/>
    <x v="0"/>
    <x v="2"/>
    <x v="1"/>
    <n v="2"/>
    <n v="1000"/>
    <n v="2000"/>
    <x v="12"/>
    <x v="1"/>
    <x v="3"/>
    <x v="0"/>
    <n v="2024"/>
  </r>
  <r>
    <n v="1715"/>
    <s v="Neha"/>
    <s v="Adult"/>
    <n v="30"/>
    <s v="21-30"/>
    <x v="0"/>
    <x v="7"/>
    <x v="2"/>
    <n v="4"/>
    <n v="1000"/>
    <n v="4000"/>
    <x v="7"/>
    <x v="1"/>
    <x v="2"/>
    <x v="0"/>
    <n v="2024"/>
  </r>
  <r>
    <n v="1716"/>
    <s v="Pooja"/>
    <s v="Adult"/>
    <n v="30"/>
    <s v="21-30"/>
    <x v="0"/>
    <x v="4"/>
    <x v="2"/>
    <n v="4"/>
    <n v="1000"/>
    <n v="4000"/>
    <x v="34"/>
    <x v="1"/>
    <x v="3"/>
    <x v="1"/>
    <n v="2024"/>
  </r>
  <r>
    <n v="1717"/>
    <s v="Ajay"/>
    <s v="Senior"/>
    <n v="45"/>
    <s v="31-50"/>
    <x v="0"/>
    <x v="2"/>
    <x v="1"/>
    <n v="2"/>
    <n v="1000"/>
    <n v="2000"/>
    <x v="48"/>
    <x v="1"/>
    <x v="1"/>
    <x v="1"/>
    <n v="2024"/>
  </r>
  <r>
    <n v="1718"/>
    <s v="Meena"/>
    <s v="Adult"/>
    <n v="30"/>
    <s v="21-30"/>
    <x v="0"/>
    <x v="5"/>
    <x v="2"/>
    <n v="2"/>
    <n v="1000"/>
    <n v="2000"/>
    <x v="0"/>
    <x v="1"/>
    <x v="4"/>
    <x v="0"/>
    <n v="2024"/>
  </r>
  <r>
    <n v="1719"/>
    <s v="Lakshmi"/>
    <s v="Adult"/>
    <n v="30"/>
    <s v="21-30"/>
    <x v="1"/>
    <x v="3"/>
    <x v="0"/>
    <n v="2"/>
    <n v="1000"/>
    <n v="2000"/>
    <x v="33"/>
    <x v="1"/>
    <x v="0"/>
    <x v="0"/>
    <n v="2024"/>
  </r>
  <r>
    <n v="1720"/>
    <s v="Neha"/>
    <s v="Adult"/>
    <n v="30"/>
    <s v="21-30"/>
    <x v="1"/>
    <x v="0"/>
    <x v="0"/>
    <n v="5"/>
    <n v="1000"/>
    <n v="5000"/>
    <x v="38"/>
    <x v="1"/>
    <x v="0"/>
    <x v="0"/>
    <n v="2024"/>
  </r>
  <r>
    <n v="1721"/>
    <s v="Lakshmi"/>
    <s v="Adult"/>
    <n v="30"/>
    <s v="21-30"/>
    <x v="0"/>
    <x v="1"/>
    <x v="1"/>
    <n v="2"/>
    <n v="5557"/>
    <n v="11114"/>
    <x v="20"/>
    <x v="0"/>
    <x v="3"/>
    <x v="1"/>
    <n v="2024"/>
  </r>
  <r>
    <n v="1722"/>
    <s v="Neha"/>
    <s v="Adult"/>
    <n v="32"/>
    <s v="31-50"/>
    <x v="0"/>
    <x v="2"/>
    <x v="1"/>
    <n v="2"/>
    <n v="25372"/>
    <n v="50744"/>
    <x v="40"/>
    <x v="0"/>
    <x v="4"/>
    <x v="0"/>
    <n v="2024"/>
  </r>
  <r>
    <n v="1723"/>
    <s v="Ramesh"/>
    <s v="Adult"/>
    <n v="30"/>
    <s v="21-30"/>
    <x v="0"/>
    <x v="2"/>
    <x v="1"/>
    <n v="2"/>
    <n v="1000"/>
    <n v="2000"/>
    <x v="38"/>
    <x v="1"/>
    <x v="3"/>
    <x v="0"/>
    <n v="2024"/>
  </r>
  <r>
    <n v="1724"/>
    <s v="Surya"/>
    <s v="Adult"/>
    <n v="35"/>
    <s v="31-50"/>
    <x v="0"/>
    <x v="4"/>
    <x v="2"/>
    <n v="2"/>
    <n v="1000"/>
    <n v="2000"/>
    <x v="36"/>
    <x v="1"/>
    <x v="4"/>
    <x v="0"/>
    <n v="2024"/>
  </r>
  <r>
    <n v="1725"/>
    <s v="Asha"/>
    <s v="Adult"/>
    <n v="26"/>
    <s v="21-30"/>
    <x v="1"/>
    <x v="0"/>
    <x v="0"/>
    <n v="2"/>
    <n v="1000"/>
    <n v="2000"/>
    <x v="20"/>
    <x v="1"/>
    <x v="4"/>
    <x v="1"/>
    <n v="2024"/>
  </r>
  <r>
    <n v="1726"/>
    <s v="Anita"/>
    <s v="Adult"/>
    <n v="30"/>
    <s v="21-30"/>
    <x v="0"/>
    <x v="4"/>
    <x v="2"/>
    <n v="4"/>
    <n v="12653"/>
    <n v="50612"/>
    <x v="11"/>
    <x v="0"/>
    <x v="1"/>
    <x v="0"/>
    <n v="2024"/>
  </r>
  <r>
    <n v="1727"/>
    <s v="Surya"/>
    <s v="Adult"/>
    <n v="30"/>
    <s v="21-30"/>
    <x v="0"/>
    <x v="5"/>
    <x v="2"/>
    <n v="5"/>
    <n v="1000"/>
    <n v="5000"/>
    <x v="39"/>
    <x v="1"/>
    <x v="2"/>
    <x v="0"/>
    <n v="2024"/>
  </r>
  <r>
    <n v="1728"/>
    <s v="Anita"/>
    <s v="Senior"/>
    <n v="45"/>
    <s v="31-50"/>
    <x v="1"/>
    <x v="4"/>
    <x v="2"/>
    <n v="2"/>
    <n v="48378"/>
    <n v="96756"/>
    <x v="45"/>
    <x v="0"/>
    <x v="1"/>
    <x v="0"/>
    <n v="2024"/>
  </r>
  <r>
    <n v="1729"/>
    <s v="Neha"/>
    <s v="Adult"/>
    <n v="30"/>
    <s v="21-30"/>
    <x v="1"/>
    <x v="5"/>
    <x v="2"/>
    <n v="2"/>
    <n v="1000"/>
    <n v="2000"/>
    <x v="21"/>
    <x v="1"/>
    <x v="0"/>
    <x v="1"/>
    <n v="2024"/>
  </r>
  <r>
    <n v="1730"/>
    <s v="Asha"/>
    <s v="Adult"/>
    <n v="30"/>
    <s v="21-30"/>
    <x v="0"/>
    <x v="5"/>
    <x v="2"/>
    <n v="2"/>
    <n v="1000"/>
    <n v="2000"/>
    <x v="40"/>
    <x v="1"/>
    <x v="2"/>
    <x v="0"/>
    <n v="2024"/>
  </r>
  <r>
    <n v="1731"/>
    <s v="Meena"/>
    <s v="Adult"/>
    <n v="30"/>
    <s v="21-30"/>
    <x v="0"/>
    <x v="5"/>
    <x v="2"/>
    <n v="2"/>
    <n v="1000"/>
    <n v="2000"/>
    <x v="37"/>
    <x v="1"/>
    <x v="1"/>
    <x v="0"/>
    <n v="2024"/>
  </r>
  <r>
    <n v="1732"/>
    <s v="Anita"/>
    <s v="Adult"/>
    <n v="30"/>
    <s v="21-30"/>
    <x v="0"/>
    <x v="5"/>
    <x v="2"/>
    <n v="2"/>
    <n v="1000"/>
    <n v="2000"/>
    <x v="39"/>
    <x v="1"/>
    <x v="1"/>
    <x v="0"/>
    <n v="2024"/>
  </r>
  <r>
    <n v="1733"/>
    <s v="Surya"/>
    <s v="Adult"/>
    <n v="30"/>
    <s v="21-30"/>
    <x v="0"/>
    <x v="4"/>
    <x v="2"/>
    <n v="2"/>
    <n v="1000"/>
    <n v="2000"/>
    <x v="41"/>
    <x v="1"/>
    <x v="1"/>
    <x v="0"/>
    <n v="2024"/>
  </r>
  <r>
    <n v="1734"/>
    <s v="Neha"/>
    <s v="Adult"/>
    <n v="24"/>
    <s v="21-30"/>
    <x v="1"/>
    <x v="1"/>
    <x v="1"/>
    <n v="2"/>
    <n v="1000"/>
    <n v="2000"/>
    <x v="42"/>
    <x v="1"/>
    <x v="4"/>
    <x v="1"/>
    <n v="2024"/>
  </r>
  <r>
    <n v="1735"/>
    <s v="Karthik"/>
    <s v="Adult"/>
    <n v="31"/>
    <s v="31-50"/>
    <x v="1"/>
    <x v="0"/>
    <x v="0"/>
    <n v="2"/>
    <n v="1000"/>
    <n v="2000"/>
    <x v="55"/>
    <x v="1"/>
    <x v="2"/>
    <x v="1"/>
    <n v="2024"/>
  </r>
  <r>
    <n v="1736"/>
    <s v="Priya"/>
    <s v="Adult"/>
    <n v="30"/>
    <s v="21-30"/>
    <x v="1"/>
    <x v="6"/>
    <x v="0"/>
    <n v="2"/>
    <n v="1000"/>
    <n v="2000"/>
    <x v="49"/>
    <x v="1"/>
    <x v="3"/>
    <x v="1"/>
    <n v="2024"/>
  </r>
  <r>
    <n v="1737"/>
    <s v="Divya"/>
    <s v="Adult"/>
    <n v="30"/>
    <s v="21-30"/>
    <x v="1"/>
    <x v="6"/>
    <x v="0"/>
    <n v="2"/>
    <n v="1000"/>
    <n v="2000"/>
    <x v="37"/>
    <x v="1"/>
    <x v="1"/>
    <x v="0"/>
    <n v="2024"/>
  </r>
  <r>
    <n v="1738"/>
    <s v="Asha"/>
    <s v="Adult"/>
    <n v="30"/>
    <s v="21-30"/>
    <x v="1"/>
    <x v="3"/>
    <x v="0"/>
    <n v="5"/>
    <n v="1000"/>
    <n v="5000"/>
    <x v="31"/>
    <x v="1"/>
    <x v="0"/>
    <x v="1"/>
    <n v="2024"/>
  </r>
  <r>
    <n v="1739"/>
    <s v="Anita"/>
    <s v="Adult"/>
    <n v="30"/>
    <s v="21-30"/>
    <x v="0"/>
    <x v="2"/>
    <x v="1"/>
    <n v="1"/>
    <n v="1000"/>
    <n v="1000"/>
    <x v="36"/>
    <x v="1"/>
    <x v="0"/>
    <x v="0"/>
    <n v="2024"/>
  </r>
  <r>
    <n v="1740"/>
    <s v="Karthik"/>
    <s v="Adult"/>
    <n v="30"/>
    <s v="21-30"/>
    <x v="1"/>
    <x v="6"/>
    <x v="0"/>
    <n v="3"/>
    <n v="1000"/>
    <n v="3000"/>
    <x v="24"/>
    <x v="1"/>
    <x v="0"/>
    <x v="1"/>
    <n v="2024"/>
  </r>
  <r>
    <n v="1741"/>
    <s v="Vikram"/>
    <s v="Adult"/>
    <n v="22"/>
    <s v="21-30"/>
    <x v="0"/>
    <x v="1"/>
    <x v="1"/>
    <n v="1"/>
    <n v="29755"/>
    <n v="29755"/>
    <x v="30"/>
    <x v="0"/>
    <x v="1"/>
    <x v="1"/>
    <n v="2024"/>
  </r>
  <r>
    <n v="1742"/>
    <s v="Sneha"/>
    <s v="Adult"/>
    <n v="21"/>
    <s v="21-30"/>
    <x v="0"/>
    <x v="4"/>
    <x v="2"/>
    <n v="1"/>
    <n v="47253"/>
    <n v="47253"/>
    <x v="29"/>
    <x v="0"/>
    <x v="1"/>
    <x v="0"/>
    <n v="2024"/>
  </r>
  <r>
    <n v="1743"/>
    <s v="Priya"/>
    <s v="Adult"/>
    <n v="33"/>
    <s v="31-50"/>
    <x v="1"/>
    <x v="4"/>
    <x v="2"/>
    <n v="2"/>
    <n v="1000"/>
    <n v="2000"/>
    <x v="12"/>
    <x v="1"/>
    <x v="3"/>
    <x v="0"/>
    <n v="2024"/>
  </r>
  <r>
    <n v="1744"/>
    <s v="Sneha"/>
    <s v="Adult"/>
    <n v="30"/>
    <s v="21-30"/>
    <x v="0"/>
    <x v="4"/>
    <x v="2"/>
    <n v="2"/>
    <n v="1000"/>
    <n v="2000"/>
    <x v="34"/>
    <x v="1"/>
    <x v="1"/>
    <x v="1"/>
    <n v="2024"/>
  </r>
  <r>
    <n v="1745"/>
    <s v="Divya"/>
    <s v="Adult"/>
    <n v="30"/>
    <s v="21-30"/>
    <x v="1"/>
    <x v="2"/>
    <x v="1"/>
    <n v="2"/>
    <n v="1000"/>
    <n v="2000"/>
    <x v="55"/>
    <x v="1"/>
    <x v="4"/>
    <x v="1"/>
    <n v="2024"/>
  </r>
  <r>
    <n v="1746"/>
    <s v="Ravi"/>
    <s v="Adult"/>
    <n v="22"/>
    <s v="21-30"/>
    <x v="0"/>
    <x v="4"/>
    <x v="2"/>
    <n v="1"/>
    <n v="1000"/>
    <n v="1000"/>
    <x v="31"/>
    <x v="1"/>
    <x v="0"/>
    <x v="1"/>
    <n v="2024"/>
  </r>
  <r>
    <n v="1747"/>
    <s v="Manoj"/>
    <s v="Adult"/>
    <n v="39"/>
    <s v="31-50"/>
    <x v="0"/>
    <x v="5"/>
    <x v="2"/>
    <n v="2"/>
    <n v="1000"/>
    <n v="2000"/>
    <x v="37"/>
    <x v="1"/>
    <x v="2"/>
    <x v="0"/>
    <n v="2024"/>
  </r>
  <r>
    <n v="1748"/>
    <s v="Priya"/>
    <s v="Adult"/>
    <n v="32"/>
    <s v="31-50"/>
    <x v="1"/>
    <x v="1"/>
    <x v="1"/>
    <n v="1"/>
    <n v="17270"/>
    <n v="17270"/>
    <x v="53"/>
    <x v="0"/>
    <x v="3"/>
    <x v="0"/>
    <n v="2024"/>
  </r>
  <r>
    <n v="1749"/>
    <s v="Anita"/>
    <s v="Adult"/>
    <n v="28"/>
    <s v="21-30"/>
    <x v="1"/>
    <x v="7"/>
    <x v="2"/>
    <n v="1"/>
    <n v="1000"/>
    <n v="1000"/>
    <x v="8"/>
    <x v="1"/>
    <x v="1"/>
    <x v="1"/>
    <n v="2024"/>
  </r>
  <r>
    <n v="1750"/>
    <s v="Divya"/>
    <s v="Senior"/>
    <n v="50"/>
    <s v="31-50"/>
    <x v="0"/>
    <x v="2"/>
    <x v="1"/>
    <n v="2"/>
    <n v="1000"/>
    <n v="2000"/>
    <x v="22"/>
    <x v="1"/>
    <x v="0"/>
    <x v="0"/>
    <n v="2024"/>
  </r>
  <r>
    <n v="1751"/>
    <s v="Surya"/>
    <s v="Adult"/>
    <n v="30"/>
    <s v="21-30"/>
    <x v="1"/>
    <x v="3"/>
    <x v="0"/>
    <n v="1"/>
    <n v="1000"/>
    <n v="1000"/>
    <x v="42"/>
    <x v="1"/>
    <x v="0"/>
    <x v="1"/>
    <n v="2024"/>
  </r>
  <r>
    <n v="1752"/>
    <s v="Ramesh"/>
    <s v="Adult"/>
    <n v="25"/>
    <s v="21-30"/>
    <x v="1"/>
    <x v="0"/>
    <x v="0"/>
    <n v="2"/>
    <n v="1000"/>
    <n v="2000"/>
    <x v="50"/>
    <x v="1"/>
    <x v="1"/>
    <x v="0"/>
    <n v="2024"/>
  </r>
  <r>
    <n v="1753"/>
    <s v="Lakshmi"/>
    <s v="Adult"/>
    <n v="33"/>
    <s v="31-50"/>
    <x v="0"/>
    <x v="6"/>
    <x v="0"/>
    <n v="2"/>
    <n v="1000"/>
    <n v="2000"/>
    <x v="40"/>
    <x v="1"/>
    <x v="2"/>
    <x v="0"/>
    <n v="2024"/>
  </r>
  <r>
    <n v="1754"/>
    <s v="Pooja"/>
    <s v="Adult"/>
    <n v="38"/>
    <s v="31-50"/>
    <x v="1"/>
    <x v="0"/>
    <x v="0"/>
    <n v="5"/>
    <n v="1000"/>
    <n v="5000"/>
    <x v="38"/>
    <x v="1"/>
    <x v="4"/>
    <x v="0"/>
    <n v="2024"/>
  </r>
  <r>
    <n v="1755"/>
    <s v="Kiran"/>
    <s v="Adult"/>
    <n v="30"/>
    <s v="21-30"/>
    <x v="1"/>
    <x v="6"/>
    <x v="0"/>
    <n v="1"/>
    <n v="1000"/>
    <n v="1000"/>
    <x v="16"/>
    <x v="1"/>
    <x v="4"/>
    <x v="2"/>
    <n v="2024"/>
  </r>
  <r>
    <n v="1756"/>
    <s v="Vikram"/>
    <s v="Adult"/>
    <n v="34"/>
    <s v="31-50"/>
    <x v="0"/>
    <x v="7"/>
    <x v="2"/>
    <n v="5"/>
    <n v="1000"/>
    <n v="5000"/>
    <x v="9"/>
    <x v="1"/>
    <x v="3"/>
    <x v="0"/>
    <n v="2024"/>
  </r>
  <r>
    <n v="1757"/>
    <s v="Priya"/>
    <s v="Senior"/>
    <n v="49"/>
    <s v="31-50"/>
    <x v="1"/>
    <x v="4"/>
    <x v="2"/>
    <n v="5"/>
    <n v="1000"/>
    <n v="5000"/>
    <x v="54"/>
    <x v="1"/>
    <x v="0"/>
    <x v="1"/>
    <n v="2024"/>
  </r>
  <r>
    <n v="1758"/>
    <s v="Sneha"/>
    <s v="Adult"/>
    <n v="30"/>
    <s v="21-30"/>
    <x v="1"/>
    <x v="3"/>
    <x v="0"/>
    <n v="4"/>
    <n v="8876"/>
    <n v="35504"/>
    <x v="34"/>
    <x v="0"/>
    <x v="3"/>
    <x v="1"/>
    <n v="2024"/>
  </r>
  <r>
    <n v="1759"/>
    <s v="Divya"/>
    <s v="Adult"/>
    <n v="30"/>
    <s v="21-30"/>
    <x v="1"/>
    <x v="2"/>
    <x v="1"/>
    <n v="3"/>
    <n v="37864"/>
    <n v="113592"/>
    <x v="16"/>
    <x v="0"/>
    <x v="1"/>
    <x v="2"/>
    <n v="2024"/>
  </r>
  <r>
    <n v="1760"/>
    <s v="Vikram"/>
    <s v="Senior"/>
    <n v="48"/>
    <s v="31-50"/>
    <x v="1"/>
    <x v="5"/>
    <x v="2"/>
    <n v="2"/>
    <n v="1000"/>
    <n v="2000"/>
    <x v="38"/>
    <x v="1"/>
    <x v="3"/>
    <x v="0"/>
    <n v="2024"/>
  </r>
  <r>
    <n v="1761"/>
    <s v="Ravi"/>
    <s v="Senior"/>
    <n v="43"/>
    <s v="31-50"/>
    <x v="0"/>
    <x v="7"/>
    <x v="2"/>
    <n v="5"/>
    <n v="26837"/>
    <n v="134185"/>
    <x v="11"/>
    <x v="0"/>
    <x v="0"/>
    <x v="0"/>
    <n v="2024"/>
  </r>
  <r>
    <n v="1762"/>
    <s v="Priya"/>
    <s v="Adult"/>
    <n v="30"/>
    <s v="21-30"/>
    <x v="0"/>
    <x v="3"/>
    <x v="0"/>
    <n v="2"/>
    <n v="1000"/>
    <n v="2000"/>
    <x v="26"/>
    <x v="1"/>
    <x v="0"/>
    <x v="0"/>
    <n v="2024"/>
  </r>
  <r>
    <n v="1763"/>
    <s v="Priya"/>
    <s v="Adult"/>
    <n v="30"/>
    <s v="21-30"/>
    <x v="0"/>
    <x v="3"/>
    <x v="0"/>
    <n v="1"/>
    <n v="29263"/>
    <n v="29263"/>
    <x v="43"/>
    <x v="0"/>
    <x v="0"/>
    <x v="0"/>
    <n v="2024"/>
  </r>
  <r>
    <n v="1764"/>
    <s v="Vikram"/>
    <s v="Senior"/>
    <n v="49"/>
    <s v="31-50"/>
    <x v="0"/>
    <x v="0"/>
    <x v="0"/>
    <n v="2"/>
    <n v="1000"/>
    <n v="2000"/>
    <x v="16"/>
    <x v="1"/>
    <x v="3"/>
    <x v="2"/>
    <n v="2024"/>
  </r>
  <r>
    <n v="1765"/>
    <s v="Asha"/>
    <s v="Senior"/>
    <n v="48"/>
    <s v="31-50"/>
    <x v="0"/>
    <x v="6"/>
    <x v="0"/>
    <n v="2"/>
    <n v="5959"/>
    <n v="11918"/>
    <x v="60"/>
    <x v="0"/>
    <x v="1"/>
    <x v="1"/>
    <n v="2024"/>
  </r>
  <r>
    <n v="1766"/>
    <s v="Meena"/>
    <s v="Adult"/>
    <n v="32"/>
    <s v="31-50"/>
    <x v="0"/>
    <x v="0"/>
    <x v="0"/>
    <n v="4"/>
    <n v="1000"/>
    <n v="4000"/>
    <x v="4"/>
    <x v="1"/>
    <x v="1"/>
    <x v="1"/>
    <n v="2024"/>
  </r>
  <r>
    <n v="1767"/>
    <s v="Anita"/>
    <s v="Adult"/>
    <n v="30"/>
    <s v="21-30"/>
    <x v="1"/>
    <x v="4"/>
    <x v="2"/>
    <n v="2"/>
    <n v="1277"/>
    <n v="2554"/>
    <x v="60"/>
    <x v="1"/>
    <x v="3"/>
    <x v="1"/>
    <n v="2024"/>
  </r>
  <r>
    <n v="1768"/>
    <s v="Sneha"/>
    <s v="Adult"/>
    <n v="31"/>
    <s v="31-50"/>
    <x v="1"/>
    <x v="3"/>
    <x v="0"/>
    <n v="3"/>
    <n v="1000"/>
    <n v="3000"/>
    <x v="34"/>
    <x v="1"/>
    <x v="4"/>
    <x v="1"/>
    <n v="2024"/>
  </r>
  <r>
    <n v="1769"/>
    <s v="Manoj"/>
    <s v="Adult"/>
    <n v="30"/>
    <s v="21-30"/>
    <x v="1"/>
    <x v="0"/>
    <x v="0"/>
    <n v="4"/>
    <n v="1000"/>
    <n v="4000"/>
    <x v="8"/>
    <x v="1"/>
    <x v="3"/>
    <x v="1"/>
    <n v="2024"/>
  </r>
  <r>
    <n v="1770"/>
    <s v="Surya"/>
    <s v="Senior"/>
    <n v="46"/>
    <s v="31-50"/>
    <x v="1"/>
    <x v="7"/>
    <x v="2"/>
    <n v="4"/>
    <n v="22909"/>
    <n v="91636"/>
    <x v="9"/>
    <x v="0"/>
    <x v="4"/>
    <x v="0"/>
    <n v="2024"/>
  </r>
  <r>
    <n v="1771"/>
    <s v="Manoj"/>
    <s v="Adult"/>
    <n v="39"/>
    <s v="31-50"/>
    <x v="1"/>
    <x v="5"/>
    <x v="2"/>
    <n v="2"/>
    <n v="1000"/>
    <n v="2000"/>
    <x v="4"/>
    <x v="1"/>
    <x v="1"/>
    <x v="1"/>
    <n v="2024"/>
  </r>
  <r>
    <n v="1772"/>
    <s v="Asha"/>
    <s v="Teen"/>
    <n v="19"/>
    <s v="0-20"/>
    <x v="0"/>
    <x v="0"/>
    <x v="0"/>
    <n v="2"/>
    <n v="1000"/>
    <n v="2000"/>
    <x v="31"/>
    <x v="1"/>
    <x v="0"/>
    <x v="1"/>
    <n v="2024"/>
  </r>
  <r>
    <n v="1773"/>
    <s v="Meena"/>
    <s v="Adult"/>
    <n v="21"/>
    <s v="21-30"/>
    <x v="0"/>
    <x v="6"/>
    <x v="0"/>
    <n v="2"/>
    <n v="1000"/>
    <n v="2000"/>
    <x v="35"/>
    <x v="1"/>
    <x v="1"/>
    <x v="0"/>
    <n v="2024"/>
  </r>
  <r>
    <n v="1774"/>
    <s v="Kiran"/>
    <s v="Adult"/>
    <n v="30"/>
    <s v="21-30"/>
    <x v="1"/>
    <x v="0"/>
    <x v="0"/>
    <n v="2"/>
    <n v="1000"/>
    <n v="2000"/>
    <x v="35"/>
    <x v="1"/>
    <x v="3"/>
    <x v="0"/>
    <n v="2024"/>
  </r>
  <r>
    <n v="1775"/>
    <s v="Ajay"/>
    <s v="Adult"/>
    <n v="25"/>
    <s v="21-30"/>
    <x v="0"/>
    <x v="6"/>
    <x v="0"/>
    <n v="2"/>
    <n v="1000"/>
    <n v="2000"/>
    <x v="48"/>
    <x v="1"/>
    <x v="1"/>
    <x v="1"/>
    <n v="2024"/>
  </r>
  <r>
    <n v="1776"/>
    <s v="Priya"/>
    <s v="Adult"/>
    <n v="30"/>
    <s v="21-30"/>
    <x v="0"/>
    <x v="7"/>
    <x v="2"/>
    <n v="2"/>
    <n v="5491"/>
    <n v="10982"/>
    <x v="7"/>
    <x v="0"/>
    <x v="0"/>
    <x v="0"/>
    <n v="2024"/>
  </r>
  <r>
    <n v="1777"/>
    <s v="Neha"/>
    <s v="Adult"/>
    <n v="30"/>
    <s v="21-30"/>
    <x v="0"/>
    <x v="2"/>
    <x v="1"/>
    <n v="5"/>
    <n v="1000"/>
    <n v="5000"/>
    <x v="29"/>
    <x v="1"/>
    <x v="2"/>
    <x v="0"/>
    <n v="2024"/>
  </r>
  <r>
    <n v="1778"/>
    <s v="Ramesh"/>
    <s v="Adult"/>
    <n v="30"/>
    <s v="21-30"/>
    <x v="0"/>
    <x v="0"/>
    <x v="0"/>
    <n v="1"/>
    <n v="1000"/>
    <n v="1000"/>
    <x v="32"/>
    <x v="1"/>
    <x v="0"/>
    <x v="0"/>
    <n v="2024"/>
  </r>
  <r>
    <n v="1779"/>
    <s v="Ravi"/>
    <s v="Adult"/>
    <n v="36"/>
    <s v="31-50"/>
    <x v="1"/>
    <x v="5"/>
    <x v="2"/>
    <n v="2"/>
    <n v="1000"/>
    <n v="2000"/>
    <x v="33"/>
    <x v="1"/>
    <x v="1"/>
    <x v="0"/>
    <n v="2024"/>
  </r>
  <r>
    <n v="1780"/>
    <s v="Meena"/>
    <s v="Adult"/>
    <n v="27"/>
    <s v="21-30"/>
    <x v="0"/>
    <x v="5"/>
    <x v="2"/>
    <n v="2"/>
    <n v="1000"/>
    <n v="2000"/>
    <x v="51"/>
    <x v="1"/>
    <x v="0"/>
    <x v="0"/>
    <n v="2024"/>
  </r>
  <r>
    <n v="1781"/>
    <s v="Sneha"/>
    <s v="Adult"/>
    <n v="30"/>
    <s v="21-30"/>
    <x v="0"/>
    <x v="2"/>
    <x v="1"/>
    <n v="1"/>
    <n v="29555"/>
    <n v="29555"/>
    <x v="41"/>
    <x v="0"/>
    <x v="1"/>
    <x v="0"/>
    <n v="2024"/>
  </r>
  <r>
    <n v="1782"/>
    <s v="Ravi"/>
    <s v="Adult"/>
    <n v="30"/>
    <s v="21-30"/>
    <x v="1"/>
    <x v="5"/>
    <x v="2"/>
    <n v="3"/>
    <n v="1000"/>
    <n v="3000"/>
    <x v="27"/>
    <x v="1"/>
    <x v="0"/>
    <x v="0"/>
    <n v="2024"/>
  </r>
  <r>
    <n v="1783"/>
    <s v="Ajay"/>
    <s v="Adult"/>
    <n v="39"/>
    <s v="31-50"/>
    <x v="1"/>
    <x v="2"/>
    <x v="1"/>
    <n v="2"/>
    <n v="25716"/>
    <n v="51432"/>
    <x v="44"/>
    <x v="0"/>
    <x v="2"/>
    <x v="1"/>
    <n v="2024"/>
  </r>
  <r>
    <n v="1784"/>
    <s v="Vikram"/>
    <s v="Adult"/>
    <n v="30"/>
    <s v="21-30"/>
    <x v="1"/>
    <x v="1"/>
    <x v="1"/>
    <n v="2"/>
    <n v="1000"/>
    <n v="2000"/>
    <x v="9"/>
    <x v="1"/>
    <x v="1"/>
    <x v="0"/>
    <n v="2024"/>
  </r>
  <r>
    <n v="1785"/>
    <s v="Asha"/>
    <s v="Adult"/>
    <n v="30"/>
    <s v="21-30"/>
    <x v="1"/>
    <x v="4"/>
    <x v="2"/>
    <n v="1"/>
    <n v="1000"/>
    <n v="1000"/>
    <x v="33"/>
    <x v="1"/>
    <x v="0"/>
    <x v="0"/>
    <n v="2024"/>
  </r>
  <r>
    <n v="1786"/>
    <s v="Neha"/>
    <s v="Senior"/>
    <n v="45"/>
    <s v="31-50"/>
    <x v="0"/>
    <x v="4"/>
    <x v="2"/>
    <n v="2"/>
    <n v="1000"/>
    <n v="2000"/>
    <x v="48"/>
    <x v="1"/>
    <x v="3"/>
    <x v="1"/>
    <n v="2024"/>
  </r>
  <r>
    <n v="1787"/>
    <s v="Ajay"/>
    <s v="Adult"/>
    <n v="33"/>
    <s v="31-50"/>
    <x v="0"/>
    <x v="6"/>
    <x v="0"/>
    <n v="2"/>
    <n v="1000"/>
    <n v="2000"/>
    <x v="1"/>
    <x v="1"/>
    <x v="4"/>
    <x v="1"/>
    <n v="2024"/>
  </r>
  <r>
    <n v="1788"/>
    <s v="Manoj"/>
    <s v="Adult"/>
    <n v="30"/>
    <s v="21-30"/>
    <x v="1"/>
    <x v="0"/>
    <x v="0"/>
    <n v="4"/>
    <n v="1000"/>
    <n v="4000"/>
    <x v="17"/>
    <x v="1"/>
    <x v="4"/>
    <x v="0"/>
    <n v="2024"/>
  </r>
  <r>
    <n v="1789"/>
    <s v="Sneha"/>
    <s v="Senior"/>
    <n v="43"/>
    <s v="31-50"/>
    <x v="0"/>
    <x v="2"/>
    <x v="1"/>
    <n v="3"/>
    <n v="9565"/>
    <n v="28695"/>
    <x v="48"/>
    <x v="0"/>
    <x v="3"/>
    <x v="1"/>
    <n v="2024"/>
  </r>
  <r>
    <n v="1790"/>
    <s v="Sneha"/>
    <s v="Adult"/>
    <n v="30"/>
    <s v="21-30"/>
    <x v="0"/>
    <x v="7"/>
    <x v="2"/>
    <n v="2"/>
    <n v="1000"/>
    <n v="2000"/>
    <x v="57"/>
    <x v="1"/>
    <x v="1"/>
    <x v="1"/>
    <n v="2024"/>
  </r>
  <r>
    <n v="1791"/>
    <s v="Arun"/>
    <s v="Adult"/>
    <n v="32"/>
    <s v="31-50"/>
    <x v="0"/>
    <x v="6"/>
    <x v="0"/>
    <n v="3"/>
    <n v="1000"/>
    <n v="3000"/>
    <x v="40"/>
    <x v="1"/>
    <x v="4"/>
    <x v="0"/>
    <n v="2024"/>
  </r>
  <r>
    <n v="1792"/>
    <s v="Karthik"/>
    <s v="Adult"/>
    <n v="31"/>
    <s v="31-50"/>
    <x v="0"/>
    <x v="3"/>
    <x v="0"/>
    <n v="2"/>
    <n v="13908"/>
    <n v="27816"/>
    <x v="27"/>
    <x v="0"/>
    <x v="1"/>
    <x v="0"/>
    <n v="2024"/>
  </r>
  <r>
    <n v="1793"/>
    <s v="Asha"/>
    <s v="Adult"/>
    <n v="30"/>
    <s v="21-30"/>
    <x v="0"/>
    <x v="7"/>
    <x v="2"/>
    <n v="2"/>
    <n v="1000"/>
    <n v="2000"/>
    <x v="0"/>
    <x v="1"/>
    <x v="1"/>
    <x v="0"/>
    <n v="2024"/>
  </r>
  <r>
    <n v="1794"/>
    <s v="Vikram"/>
    <s v="Adult"/>
    <n v="25"/>
    <s v="21-30"/>
    <x v="0"/>
    <x v="6"/>
    <x v="0"/>
    <n v="3"/>
    <n v="1000"/>
    <n v="3000"/>
    <x v="22"/>
    <x v="1"/>
    <x v="2"/>
    <x v="0"/>
    <n v="2024"/>
  </r>
  <r>
    <n v="1795"/>
    <s v="Priya"/>
    <s v="Senior"/>
    <n v="45"/>
    <s v="31-50"/>
    <x v="0"/>
    <x v="1"/>
    <x v="1"/>
    <n v="2"/>
    <n v="1000"/>
    <n v="2000"/>
    <x v="45"/>
    <x v="1"/>
    <x v="3"/>
    <x v="0"/>
    <n v="2024"/>
  </r>
  <r>
    <n v="1796"/>
    <s v="Surya"/>
    <s v="Adult"/>
    <n v="30"/>
    <s v="21-30"/>
    <x v="1"/>
    <x v="5"/>
    <x v="2"/>
    <n v="2"/>
    <n v="3949"/>
    <n v="7898"/>
    <x v="21"/>
    <x v="2"/>
    <x v="0"/>
    <x v="1"/>
    <n v="2024"/>
  </r>
  <r>
    <n v="1797"/>
    <s v="Anita"/>
    <s v="Adult"/>
    <n v="30"/>
    <s v="21-30"/>
    <x v="0"/>
    <x v="0"/>
    <x v="0"/>
    <n v="3"/>
    <n v="1000"/>
    <n v="3000"/>
    <x v="36"/>
    <x v="1"/>
    <x v="1"/>
    <x v="0"/>
    <n v="2024"/>
  </r>
  <r>
    <n v="1798"/>
    <s v="Ajay"/>
    <s v="Adult"/>
    <n v="30"/>
    <s v="21-30"/>
    <x v="1"/>
    <x v="3"/>
    <x v="0"/>
    <n v="3"/>
    <n v="45816"/>
    <n v="137448"/>
    <x v="38"/>
    <x v="0"/>
    <x v="0"/>
    <x v="0"/>
    <n v="2024"/>
  </r>
  <r>
    <n v="1799"/>
    <s v="Karthik"/>
    <s v="Adult"/>
    <n v="30"/>
    <s v="21-30"/>
    <x v="0"/>
    <x v="6"/>
    <x v="0"/>
    <n v="2"/>
    <n v="47345"/>
    <n v="94690"/>
    <x v="16"/>
    <x v="0"/>
    <x v="1"/>
    <x v="2"/>
    <n v="2024"/>
  </r>
  <r>
    <n v="1800"/>
    <s v="Karthik"/>
    <s v="Adult"/>
    <n v="30"/>
    <s v="21-30"/>
    <x v="0"/>
    <x v="2"/>
    <x v="1"/>
    <n v="1"/>
    <n v="1000"/>
    <n v="1000"/>
    <x v="3"/>
    <x v="1"/>
    <x v="1"/>
    <x v="0"/>
    <n v="2024"/>
  </r>
  <r>
    <n v="1801"/>
    <s v="Ajay"/>
    <s v="Adult"/>
    <n v="30"/>
    <s v="21-30"/>
    <x v="0"/>
    <x v="1"/>
    <x v="1"/>
    <n v="4"/>
    <n v="45321"/>
    <n v="181284"/>
    <x v="10"/>
    <x v="0"/>
    <x v="4"/>
    <x v="1"/>
    <n v="2024"/>
  </r>
  <r>
    <n v="1802"/>
    <s v="Arun"/>
    <s v="Adult"/>
    <n v="31"/>
    <s v="31-50"/>
    <x v="1"/>
    <x v="7"/>
    <x v="2"/>
    <n v="5"/>
    <n v="1000"/>
    <n v="5000"/>
    <x v="46"/>
    <x v="1"/>
    <x v="0"/>
    <x v="0"/>
    <n v="2024"/>
  </r>
  <r>
    <n v="1803"/>
    <s v="Arun"/>
    <s v="Adult"/>
    <n v="30"/>
    <s v="21-30"/>
    <x v="0"/>
    <x v="7"/>
    <x v="2"/>
    <n v="2"/>
    <n v="1000"/>
    <n v="2000"/>
    <x v="1"/>
    <x v="1"/>
    <x v="3"/>
    <x v="1"/>
    <n v="2024"/>
  </r>
  <r>
    <n v="1804"/>
    <s v="Pooja"/>
    <s v="Adult"/>
    <n v="36"/>
    <s v="31-50"/>
    <x v="0"/>
    <x v="3"/>
    <x v="0"/>
    <n v="4"/>
    <n v="1000"/>
    <n v="4000"/>
    <x v="48"/>
    <x v="1"/>
    <x v="0"/>
    <x v="1"/>
    <n v="2024"/>
  </r>
  <r>
    <n v="1805"/>
    <s v="Arun"/>
    <s v="Adult"/>
    <n v="30"/>
    <s v="21-30"/>
    <x v="1"/>
    <x v="5"/>
    <x v="2"/>
    <n v="2"/>
    <n v="1000"/>
    <n v="2000"/>
    <x v="60"/>
    <x v="1"/>
    <x v="1"/>
    <x v="1"/>
    <n v="2024"/>
  </r>
  <r>
    <n v="1806"/>
    <s v="Lakshmi"/>
    <s v="Adult"/>
    <n v="23"/>
    <s v="21-30"/>
    <x v="1"/>
    <x v="6"/>
    <x v="0"/>
    <n v="2"/>
    <n v="1000"/>
    <n v="2000"/>
    <x v="31"/>
    <x v="1"/>
    <x v="3"/>
    <x v="1"/>
    <n v="2024"/>
  </r>
  <r>
    <n v="1807"/>
    <s v="Ramesh"/>
    <s v="Senior"/>
    <n v="43"/>
    <s v="31-50"/>
    <x v="0"/>
    <x v="5"/>
    <x v="2"/>
    <n v="2"/>
    <n v="1000"/>
    <n v="2000"/>
    <x v="23"/>
    <x v="1"/>
    <x v="4"/>
    <x v="1"/>
    <n v="2024"/>
  </r>
  <r>
    <n v="1808"/>
    <s v="Ravi"/>
    <s v="Adult"/>
    <n v="30"/>
    <s v="21-30"/>
    <x v="1"/>
    <x v="7"/>
    <x v="2"/>
    <n v="5"/>
    <n v="1000"/>
    <n v="5000"/>
    <x v="3"/>
    <x v="1"/>
    <x v="3"/>
    <x v="0"/>
    <n v="2024"/>
  </r>
  <r>
    <n v="1809"/>
    <s v="Anita"/>
    <s v="Adult"/>
    <n v="39"/>
    <s v="31-50"/>
    <x v="1"/>
    <x v="4"/>
    <x v="2"/>
    <n v="4"/>
    <n v="21811"/>
    <n v="87244"/>
    <x v="9"/>
    <x v="0"/>
    <x v="1"/>
    <x v="0"/>
    <n v="2024"/>
  </r>
  <r>
    <n v="1810"/>
    <s v="Anita"/>
    <s v="Senior"/>
    <n v="49"/>
    <s v="31-50"/>
    <x v="0"/>
    <x v="0"/>
    <x v="0"/>
    <n v="2"/>
    <n v="1000"/>
    <n v="2000"/>
    <x v="15"/>
    <x v="1"/>
    <x v="0"/>
    <x v="1"/>
    <n v="2024"/>
  </r>
  <r>
    <n v="1811"/>
    <s v="Ravi"/>
    <s v="Adult"/>
    <n v="20"/>
    <s v="0-20"/>
    <x v="1"/>
    <x v="0"/>
    <x v="0"/>
    <n v="1"/>
    <n v="1000"/>
    <n v="1000"/>
    <x v="60"/>
    <x v="1"/>
    <x v="2"/>
    <x v="1"/>
    <n v="2024"/>
  </r>
  <r>
    <n v="1812"/>
    <s v="Pooja"/>
    <s v="Adult"/>
    <n v="20"/>
    <s v="0-20"/>
    <x v="0"/>
    <x v="5"/>
    <x v="2"/>
    <n v="2"/>
    <n v="1000"/>
    <n v="2000"/>
    <x v="21"/>
    <x v="1"/>
    <x v="1"/>
    <x v="1"/>
    <n v="2024"/>
  </r>
  <r>
    <n v="1813"/>
    <s v="Vikram"/>
    <s v="Senior"/>
    <n v="42"/>
    <s v="31-50"/>
    <x v="1"/>
    <x v="7"/>
    <x v="2"/>
    <n v="2"/>
    <n v="1000"/>
    <n v="2000"/>
    <x v="6"/>
    <x v="1"/>
    <x v="0"/>
    <x v="0"/>
    <n v="2024"/>
  </r>
  <r>
    <n v="1814"/>
    <s v="Sneha"/>
    <s v="Adult"/>
    <n v="30"/>
    <s v="21-30"/>
    <x v="1"/>
    <x v="2"/>
    <x v="1"/>
    <n v="2"/>
    <n v="1000"/>
    <n v="2000"/>
    <x v="60"/>
    <x v="1"/>
    <x v="3"/>
    <x v="1"/>
    <n v="2024"/>
  </r>
  <r>
    <n v="1815"/>
    <s v="Ravi"/>
    <s v="Teen"/>
    <n v="19"/>
    <s v="0-20"/>
    <x v="0"/>
    <x v="1"/>
    <x v="1"/>
    <n v="5"/>
    <n v="1000"/>
    <n v="5000"/>
    <x v="13"/>
    <x v="1"/>
    <x v="3"/>
    <x v="1"/>
    <n v="2024"/>
  </r>
  <r>
    <n v="1816"/>
    <s v="Divya"/>
    <s v="Adult"/>
    <n v="33"/>
    <s v="31-50"/>
    <x v="1"/>
    <x v="6"/>
    <x v="0"/>
    <n v="4"/>
    <n v="1000"/>
    <n v="4000"/>
    <x v="10"/>
    <x v="1"/>
    <x v="4"/>
    <x v="1"/>
    <n v="2024"/>
  </r>
  <r>
    <n v="1817"/>
    <s v="Priya"/>
    <s v="Adult"/>
    <n v="37"/>
    <s v="31-50"/>
    <x v="1"/>
    <x v="4"/>
    <x v="2"/>
    <n v="5"/>
    <n v="2673"/>
    <n v="13365"/>
    <x v="30"/>
    <x v="0"/>
    <x v="1"/>
    <x v="1"/>
    <n v="2024"/>
  </r>
  <r>
    <n v="1818"/>
    <s v="Priya"/>
    <s v="Adult"/>
    <n v="30"/>
    <s v="21-30"/>
    <x v="0"/>
    <x v="3"/>
    <x v="0"/>
    <n v="2"/>
    <n v="37938"/>
    <n v="75876"/>
    <x v="26"/>
    <x v="0"/>
    <x v="2"/>
    <x v="0"/>
    <n v="2024"/>
  </r>
  <r>
    <n v="1819"/>
    <s v="Ajay"/>
    <s v="Adult"/>
    <n v="27"/>
    <s v="21-30"/>
    <x v="1"/>
    <x v="2"/>
    <x v="1"/>
    <n v="1"/>
    <n v="1000"/>
    <n v="1000"/>
    <x v="33"/>
    <x v="1"/>
    <x v="4"/>
    <x v="0"/>
    <n v="2024"/>
  </r>
  <r>
    <n v="1820"/>
    <s v="Asha"/>
    <s v="Adult"/>
    <n v="37"/>
    <s v="31-50"/>
    <x v="0"/>
    <x v="6"/>
    <x v="0"/>
    <n v="2"/>
    <n v="1000"/>
    <n v="2000"/>
    <x v="52"/>
    <x v="1"/>
    <x v="4"/>
    <x v="1"/>
    <n v="2024"/>
  </r>
  <r>
    <n v="1821"/>
    <s v="Arun"/>
    <s v="Senior"/>
    <n v="50"/>
    <s v="31-50"/>
    <x v="1"/>
    <x v="6"/>
    <x v="0"/>
    <n v="2"/>
    <n v="1000"/>
    <n v="2000"/>
    <x v="24"/>
    <x v="1"/>
    <x v="1"/>
    <x v="1"/>
    <n v="2024"/>
  </r>
  <r>
    <n v="1822"/>
    <s v="Manoj"/>
    <s v="Adult"/>
    <n v="34"/>
    <s v="31-50"/>
    <x v="1"/>
    <x v="5"/>
    <x v="2"/>
    <n v="2"/>
    <n v="1000"/>
    <n v="2000"/>
    <x v="19"/>
    <x v="1"/>
    <x v="2"/>
    <x v="1"/>
    <n v="2024"/>
  </r>
  <r>
    <n v="1823"/>
    <s v="Ravi"/>
    <s v="Adult"/>
    <n v="30"/>
    <s v="21-30"/>
    <x v="0"/>
    <x v="6"/>
    <x v="0"/>
    <n v="2"/>
    <n v="1000"/>
    <n v="2000"/>
    <x v="46"/>
    <x v="1"/>
    <x v="1"/>
    <x v="0"/>
    <n v="2024"/>
  </r>
  <r>
    <n v="1824"/>
    <s v="Kiran"/>
    <s v="Adult"/>
    <n v="24"/>
    <s v="21-30"/>
    <x v="0"/>
    <x v="2"/>
    <x v="1"/>
    <n v="2"/>
    <n v="10076"/>
    <n v="20152"/>
    <x v="7"/>
    <x v="0"/>
    <x v="3"/>
    <x v="0"/>
    <n v="2024"/>
  </r>
  <r>
    <n v="1825"/>
    <s v="Priya"/>
    <s v="Senior"/>
    <n v="42"/>
    <s v="31-50"/>
    <x v="0"/>
    <x v="3"/>
    <x v="0"/>
    <n v="2"/>
    <n v="1000"/>
    <n v="2000"/>
    <x v="10"/>
    <x v="1"/>
    <x v="2"/>
    <x v="1"/>
    <n v="2024"/>
  </r>
  <r>
    <n v="1826"/>
    <s v="Divya"/>
    <s v="Adult"/>
    <n v="29"/>
    <s v="21-30"/>
    <x v="1"/>
    <x v="4"/>
    <x v="2"/>
    <n v="2"/>
    <n v="1000"/>
    <n v="2000"/>
    <x v="20"/>
    <x v="1"/>
    <x v="0"/>
    <x v="1"/>
    <n v="2024"/>
  </r>
  <r>
    <n v="1827"/>
    <s v="Karthik"/>
    <s v="Adult"/>
    <n v="34"/>
    <s v="31-50"/>
    <x v="1"/>
    <x v="7"/>
    <x v="2"/>
    <n v="2"/>
    <n v="1000"/>
    <n v="2000"/>
    <x v="4"/>
    <x v="1"/>
    <x v="3"/>
    <x v="1"/>
    <n v="2024"/>
  </r>
  <r>
    <n v="1828"/>
    <s v="Ramesh"/>
    <s v="Adult"/>
    <n v="30"/>
    <s v="21-30"/>
    <x v="0"/>
    <x v="6"/>
    <x v="0"/>
    <n v="2"/>
    <n v="6820"/>
    <n v="13640"/>
    <x v="48"/>
    <x v="0"/>
    <x v="2"/>
    <x v="1"/>
    <n v="2024"/>
  </r>
  <r>
    <n v="1829"/>
    <s v="Vikram"/>
    <s v="Adult"/>
    <n v="30"/>
    <s v="21-30"/>
    <x v="0"/>
    <x v="0"/>
    <x v="0"/>
    <n v="2"/>
    <n v="41447"/>
    <n v="82894"/>
    <x v="7"/>
    <x v="0"/>
    <x v="3"/>
    <x v="0"/>
    <n v="2024"/>
  </r>
  <r>
    <n v="1830"/>
    <s v="Neha"/>
    <s v="Senior"/>
    <n v="47"/>
    <s v="31-50"/>
    <x v="0"/>
    <x v="2"/>
    <x v="1"/>
    <n v="2"/>
    <n v="1000"/>
    <n v="2000"/>
    <x v="47"/>
    <x v="1"/>
    <x v="1"/>
    <x v="1"/>
    <n v="2024"/>
  </r>
  <r>
    <n v="1831"/>
    <s v="Asha"/>
    <s v="Senior"/>
    <n v="49"/>
    <s v="31-50"/>
    <x v="1"/>
    <x v="5"/>
    <x v="2"/>
    <n v="5"/>
    <n v="1000"/>
    <n v="5000"/>
    <x v="51"/>
    <x v="1"/>
    <x v="1"/>
    <x v="0"/>
    <n v="2024"/>
  </r>
  <r>
    <n v="1832"/>
    <s v="Ramesh"/>
    <s v="Adult"/>
    <n v="30"/>
    <s v="21-30"/>
    <x v="0"/>
    <x v="2"/>
    <x v="1"/>
    <n v="2"/>
    <n v="43953"/>
    <n v="87906"/>
    <x v="44"/>
    <x v="0"/>
    <x v="3"/>
    <x v="1"/>
    <n v="2024"/>
  </r>
  <r>
    <n v="1833"/>
    <s v="Meena"/>
    <s v="Adult"/>
    <n v="39"/>
    <s v="31-50"/>
    <x v="1"/>
    <x v="6"/>
    <x v="0"/>
    <n v="5"/>
    <n v="1000"/>
    <n v="5000"/>
    <x v="33"/>
    <x v="1"/>
    <x v="0"/>
    <x v="0"/>
    <n v="2024"/>
  </r>
  <r>
    <n v="1834"/>
    <s v="Meena"/>
    <s v="Adult"/>
    <n v="32"/>
    <s v="31-50"/>
    <x v="0"/>
    <x v="3"/>
    <x v="0"/>
    <n v="2"/>
    <n v="32322"/>
    <n v="64644"/>
    <x v="17"/>
    <x v="0"/>
    <x v="2"/>
    <x v="0"/>
    <n v="2024"/>
  </r>
  <r>
    <n v="1835"/>
    <s v="Asha"/>
    <s v="Adult"/>
    <n v="37"/>
    <s v="31-50"/>
    <x v="0"/>
    <x v="6"/>
    <x v="0"/>
    <n v="2"/>
    <n v="1000"/>
    <n v="2000"/>
    <x v="34"/>
    <x v="1"/>
    <x v="4"/>
    <x v="1"/>
    <n v="2024"/>
  </r>
  <r>
    <n v="1836"/>
    <s v="Manoj"/>
    <s v="Adult"/>
    <n v="30"/>
    <s v="21-30"/>
    <x v="1"/>
    <x v="1"/>
    <x v="1"/>
    <n v="1"/>
    <n v="1000"/>
    <n v="1000"/>
    <x v="31"/>
    <x v="1"/>
    <x v="1"/>
    <x v="1"/>
    <n v="2024"/>
  </r>
  <r>
    <n v="1837"/>
    <s v="Priya"/>
    <s v="Adult"/>
    <n v="30"/>
    <s v="21-30"/>
    <x v="0"/>
    <x v="3"/>
    <x v="0"/>
    <n v="3"/>
    <n v="40566"/>
    <n v="121698"/>
    <x v="39"/>
    <x v="0"/>
    <x v="2"/>
    <x v="0"/>
    <n v="2024"/>
  </r>
  <r>
    <n v="1838"/>
    <s v="Meena"/>
    <s v="Senior"/>
    <n v="44"/>
    <s v="31-50"/>
    <x v="0"/>
    <x v="3"/>
    <x v="0"/>
    <n v="2"/>
    <n v="1000"/>
    <n v="2000"/>
    <x v="16"/>
    <x v="1"/>
    <x v="3"/>
    <x v="2"/>
    <n v="2024"/>
  </r>
  <r>
    <n v="1839"/>
    <s v="Neha"/>
    <s v="Senior"/>
    <n v="50"/>
    <s v="31-50"/>
    <x v="0"/>
    <x v="4"/>
    <x v="2"/>
    <n v="5"/>
    <n v="1000"/>
    <n v="5000"/>
    <x v="1"/>
    <x v="1"/>
    <x v="3"/>
    <x v="1"/>
    <n v="2024"/>
  </r>
  <r>
    <n v="1840"/>
    <s v="Pooja"/>
    <s v="Adult"/>
    <n v="30"/>
    <s v="21-30"/>
    <x v="0"/>
    <x v="4"/>
    <x v="2"/>
    <n v="2"/>
    <n v="1000"/>
    <n v="2000"/>
    <x v="4"/>
    <x v="1"/>
    <x v="4"/>
    <x v="1"/>
    <n v="2024"/>
  </r>
  <r>
    <n v="1841"/>
    <s v="Ajay"/>
    <s v="Teen"/>
    <n v="18"/>
    <s v="0-20"/>
    <x v="1"/>
    <x v="3"/>
    <x v="0"/>
    <n v="3"/>
    <n v="1000"/>
    <n v="3000"/>
    <x v="35"/>
    <x v="1"/>
    <x v="0"/>
    <x v="0"/>
    <n v="2024"/>
  </r>
  <r>
    <n v="1842"/>
    <s v="Ajay"/>
    <s v="Adult"/>
    <n v="20"/>
    <s v="0-20"/>
    <x v="0"/>
    <x v="6"/>
    <x v="0"/>
    <n v="2"/>
    <n v="1000"/>
    <n v="2000"/>
    <x v="10"/>
    <x v="1"/>
    <x v="3"/>
    <x v="1"/>
    <n v="2024"/>
  </r>
  <r>
    <n v="1843"/>
    <s v="Sneha"/>
    <s v="Adult"/>
    <n v="30"/>
    <s v="21-30"/>
    <x v="0"/>
    <x v="0"/>
    <x v="0"/>
    <n v="2"/>
    <n v="30368"/>
    <n v="60736"/>
    <x v="7"/>
    <x v="0"/>
    <x v="2"/>
    <x v="0"/>
    <n v="2024"/>
  </r>
  <r>
    <n v="1844"/>
    <s v="Sneha"/>
    <s v="Adult"/>
    <n v="23"/>
    <s v="21-30"/>
    <x v="0"/>
    <x v="3"/>
    <x v="0"/>
    <n v="2"/>
    <n v="1125"/>
    <n v="2250"/>
    <x v="9"/>
    <x v="1"/>
    <x v="4"/>
    <x v="0"/>
    <n v="2024"/>
  </r>
  <r>
    <n v="1845"/>
    <s v="Kiran"/>
    <s v="Teen"/>
    <n v="19"/>
    <s v="0-20"/>
    <x v="1"/>
    <x v="7"/>
    <x v="2"/>
    <n v="2"/>
    <n v="1000"/>
    <n v="2000"/>
    <x v="51"/>
    <x v="1"/>
    <x v="3"/>
    <x v="0"/>
    <n v="2024"/>
  </r>
  <r>
    <n v="1846"/>
    <s v="Karthik"/>
    <s v="Senior"/>
    <n v="42"/>
    <s v="31-50"/>
    <x v="0"/>
    <x v="6"/>
    <x v="0"/>
    <n v="2"/>
    <n v="1000"/>
    <n v="2000"/>
    <x v="11"/>
    <x v="1"/>
    <x v="0"/>
    <x v="0"/>
    <n v="2024"/>
  </r>
  <r>
    <n v="1847"/>
    <s v="Pooja"/>
    <s v="Adult"/>
    <n v="32"/>
    <s v="31-50"/>
    <x v="1"/>
    <x v="1"/>
    <x v="1"/>
    <n v="1"/>
    <n v="1000"/>
    <n v="1000"/>
    <x v="38"/>
    <x v="1"/>
    <x v="4"/>
    <x v="0"/>
    <n v="2024"/>
  </r>
  <r>
    <n v="1848"/>
    <s v="Arun"/>
    <s v="Adult"/>
    <n v="30"/>
    <s v="21-30"/>
    <x v="0"/>
    <x v="4"/>
    <x v="2"/>
    <n v="2"/>
    <n v="16126"/>
    <n v="32252"/>
    <x v="15"/>
    <x v="0"/>
    <x v="1"/>
    <x v="1"/>
    <n v="2024"/>
  </r>
  <r>
    <n v="1849"/>
    <s v="Karthik"/>
    <s v="Adult"/>
    <n v="36"/>
    <s v="31-50"/>
    <x v="0"/>
    <x v="2"/>
    <x v="1"/>
    <n v="4"/>
    <n v="1000"/>
    <n v="4000"/>
    <x v="47"/>
    <x v="1"/>
    <x v="2"/>
    <x v="1"/>
    <n v="2024"/>
  </r>
  <r>
    <n v="1850"/>
    <s v="Divya"/>
    <s v="Adult"/>
    <n v="38"/>
    <s v="31-50"/>
    <x v="1"/>
    <x v="6"/>
    <x v="0"/>
    <n v="3"/>
    <n v="1000"/>
    <n v="3000"/>
    <x v="50"/>
    <x v="1"/>
    <x v="0"/>
    <x v="0"/>
    <n v="2024"/>
  </r>
  <r>
    <n v="1851"/>
    <s v="Ravi"/>
    <s v="Adult"/>
    <n v="30"/>
    <s v="21-30"/>
    <x v="1"/>
    <x v="7"/>
    <x v="2"/>
    <n v="1"/>
    <n v="7915"/>
    <n v="7915"/>
    <x v="32"/>
    <x v="2"/>
    <x v="2"/>
    <x v="0"/>
    <n v="2024"/>
  </r>
  <r>
    <n v="1852"/>
    <s v="Surya"/>
    <s v="Teen"/>
    <n v="19"/>
    <s v="0-20"/>
    <x v="0"/>
    <x v="4"/>
    <x v="2"/>
    <n v="5"/>
    <n v="23339"/>
    <n v="116695"/>
    <x v="2"/>
    <x v="0"/>
    <x v="2"/>
    <x v="0"/>
    <n v="2024"/>
  </r>
  <r>
    <n v="1853"/>
    <s v="Priya"/>
    <s v="Adult"/>
    <n v="30"/>
    <s v="21-30"/>
    <x v="0"/>
    <x v="3"/>
    <x v="0"/>
    <n v="2"/>
    <n v="1000"/>
    <n v="2000"/>
    <x v="58"/>
    <x v="1"/>
    <x v="3"/>
    <x v="0"/>
    <n v="2024"/>
  </r>
  <r>
    <n v="1854"/>
    <s v="Neha"/>
    <s v="Adult"/>
    <n v="30"/>
    <s v="21-30"/>
    <x v="1"/>
    <x v="1"/>
    <x v="1"/>
    <n v="1"/>
    <n v="7973"/>
    <n v="7973"/>
    <x v="51"/>
    <x v="2"/>
    <x v="3"/>
    <x v="0"/>
    <n v="2024"/>
  </r>
  <r>
    <n v="1855"/>
    <s v="Kiran"/>
    <s v="Adult"/>
    <n v="30"/>
    <s v="21-30"/>
    <x v="1"/>
    <x v="4"/>
    <x v="2"/>
    <n v="2"/>
    <n v="1000"/>
    <n v="2000"/>
    <x v="34"/>
    <x v="1"/>
    <x v="1"/>
    <x v="1"/>
    <n v="2024"/>
  </r>
  <r>
    <n v="1856"/>
    <s v="Neha"/>
    <s v="Adult"/>
    <n v="29"/>
    <s v="21-30"/>
    <x v="0"/>
    <x v="4"/>
    <x v="2"/>
    <n v="4"/>
    <n v="39084"/>
    <n v="156336"/>
    <x v="24"/>
    <x v="0"/>
    <x v="0"/>
    <x v="1"/>
    <n v="2024"/>
  </r>
  <r>
    <n v="1857"/>
    <s v="Asha"/>
    <s v="Adult"/>
    <n v="27"/>
    <s v="21-30"/>
    <x v="1"/>
    <x v="1"/>
    <x v="1"/>
    <n v="2"/>
    <n v="1000"/>
    <n v="2000"/>
    <x v="9"/>
    <x v="1"/>
    <x v="0"/>
    <x v="0"/>
    <n v="2024"/>
  </r>
  <r>
    <n v="1858"/>
    <s v="Sneha"/>
    <s v="Adult"/>
    <n v="30"/>
    <s v="21-30"/>
    <x v="1"/>
    <x v="3"/>
    <x v="0"/>
    <n v="2"/>
    <n v="1000"/>
    <n v="2000"/>
    <x v="18"/>
    <x v="1"/>
    <x v="0"/>
    <x v="1"/>
    <n v="2024"/>
  </r>
  <r>
    <n v="1859"/>
    <s v="Karthik"/>
    <s v="Adult"/>
    <n v="30"/>
    <s v="21-30"/>
    <x v="0"/>
    <x v="0"/>
    <x v="0"/>
    <n v="4"/>
    <n v="1000"/>
    <n v="4000"/>
    <x v="56"/>
    <x v="1"/>
    <x v="3"/>
    <x v="1"/>
    <n v="2024"/>
  </r>
  <r>
    <n v="1860"/>
    <s v="Pooja"/>
    <s v="Adult"/>
    <n v="25"/>
    <s v="21-30"/>
    <x v="0"/>
    <x v="7"/>
    <x v="2"/>
    <n v="2"/>
    <n v="1000"/>
    <n v="2000"/>
    <x v="34"/>
    <x v="1"/>
    <x v="2"/>
    <x v="1"/>
    <n v="2024"/>
  </r>
  <r>
    <n v="1861"/>
    <s v="Anita"/>
    <s v="Adult"/>
    <n v="28"/>
    <s v="21-30"/>
    <x v="0"/>
    <x v="7"/>
    <x v="2"/>
    <n v="2"/>
    <n v="1000"/>
    <n v="2000"/>
    <x v="58"/>
    <x v="1"/>
    <x v="4"/>
    <x v="0"/>
    <n v="2024"/>
  </r>
  <r>
    <n v="1862"/>
    <s v="Meena"/>
    <s v="Adult"/>
    <n v="30"/>
    <s v="21-30"/>
    <x v="0"/>
    <x v="3"/>
    <x v="0"/>
    <n v="5"/>
    <n v="1000"/>
    <n v="5000"/>
    <x v="18"/>
    <x v="1"/>
    <x v="1"/>
    <x v="1"/>
    <n v="2024"/>
  </r>
  <r>
    <n v="1863"/>
    <s v="Asha"/>
    <s v="Adult"/>
    <n v="30"/>
    <s v="21-30"/>
    <x v="0"/>
    <x v="3"/>
    <x v="0"/>
    <n v="2"/>
    <n v="1000"/>
    <n v="2000"/>
    <x v="24"/>
    <x v="1"/>
    <x v="2"/>
    <x v="1"/>
    <n v="2024"/>
  </r>
  <r>
    <n v="1864"/>
    <s v="Meena"/>
    <s v="Adult"/>
    <n v="26"/>
    <s v="21-30"/>
    <x v="1"/>
    <x v="7"/>
    <x v="2"/>
    <n v="3"/>
    <n v="1000"/>
    <n v="3000"/>
    <x v="7"/>
    <x v="1"/>
    <x v="4"/>
    <x v="0"/>
    <n v="2024"/>
  </r>
  <r>
    <n v="1865"/>
    <s v="Kiran"/>
    <s v="Senior"/>
    <n v="46"/>
    <s v="31-50"/>
    <x v="0"/>
    <x v="5"/>
    <x v="2"/>
    <n v="3"/>
    <n v="47507"/>
    <n v="142521"/>
    <x v="51"/>
    <x v="0"/>
    <x v="4"/>
    <x v="0"/>
    <n v="2024"/>
  </r>
  <r>
    <n v="1866"/>
    <s v="Anita"/>
    <s v="Adult"/>
    <n v="30"/>
    <s v="21-30"/>
    <x v="0"/>
    <x v="2"/>
    <x v="1"/>
    <n v="4"/>
    <n v="1000"/>
    <n v="4000"/>
    <x v="25"/>
    <x v="1"/>
    <x v="0"/>
    <x v="1"/>
    <n v="2024"/>
  </r>
  <r>
    <n v="1867"/>
    <s v="Anita"/>
    <s v="Adult"/>
    <n v="30"/>
    <s v="21-30"/>
    <x v="0"/>
    <x v="3"/>
    <x v="0"/>
    <n v="2"/>
    <n v="13603"/>
    <n v="27206"/>
    <x v="43"/>
    <x v="0"/>
    <x v="3"/>
    <x v="0"/>
    <n v="2024"/>
  </r>
  <r>
    <n v="1868"/>
    <s v="Meena"/>
    <s v="Adult"/>
    <n v="26"/>
    <s v="21-30"/>
    <x v="0"/>
    <x v="3"/>
    <x v="0"/>
    <n v="2"/>
    <n v="1000"/>
    <n v="2000"/>
    <x v="3"/>
    <x v="1"/>
    <x v="0"/>
    <x v="0"/>
    <n v="2024"/>
  </r>
  <r>
    <n v="1869"/>
    <s v="Ravi"/>
    <s v="Adult"/>
    <n v="30"/>
    <s v="21-30"/>
    <x v="1"/>
    <x v="3"/>
    <x v="0"/>
    <n v="2"/>
    <n v="1372"/>
    <n v="2744"/>
    <x v="38"/>
    <x v="1"/>
    <x v="1"/>
    <x v="0"/>
    <n v="2024"/>
  </r>
  <r>
    <n v="1870"/>
    <s v="Ramesh"/>
    <s v="Adult"/>
    <n v="30"/>
    <s v="21-30"/>
    <x v="0"/>
    <x v="6"/>
    <x v="0"/>
    <n v="3"/>
    <n v="10074"/>
    <n v="30222"/>
    <x v="51"/>
    <x v="0"/>
    <x v="3"/>
    <x v="0"/>
    <n v="2024"/>
  </r>
  <r>
    <n v="1871"/>
    <s v="Ramesh"/>
    <s v="Adult"/>
    <n v="30"/>
    <s v="21-30"/>
    <x v="0"/>
    <x v="7"/>
    <x v="2"/>
    <n v="3"/>
    <n v="1000"/>
    <n v="3000"/>
    <x v="55"/>
    <x v="1"/>
    <x v="0"/>
    <x v="1"/>
    <n v="2024"/>
  </r>
  <r>
    <n v="1872"/>
    <s v="Arun"/>
    <s v="Adult"/>
    <n v="30"/>
    <s v="21-30"/>
    <x v="1"/>
    <x v="2"/>
    <x v="1"/>
    <n v="5"/>
    <n v="1000"/>
    <n v="5000"/>
    <x v="38"/>
    <x v="1"/>
    <x v="1"/>
    <x v="0"/>
    <n v="2024"/>
  </r>
  <r>
    <n v="1873"/>
    <s v="Lakshmi"/>
    <s v="Adult"/>
    <n v="30"/>
    <s v="21-30"/>
    <x v="1"/>
    <x v="6"/>
    <x v="0"/>
    <n v="2"/>
    <n v="1000"/>
    <n v="2000"/>
    <x v="10"/>
    <x v="1"/>
    <x v="3"/>
    <x v="1"/>
    <n v="2024"/>
  </r>
  <r>
    <n v="1874"/>
    <s v="Ramesh"/>
    <s v="Adult"/>
    <n v="30"/>
    <s v="21-30"/>
    <x v="0"/>
    <x v="3"/>
    <x v="0"/>
    <n v="2"/>
    <n v="48082"/>
    <n v="96164"/>
    <x v="7"/>
    <x v="0"/>
    <x v="1"/>
    <x v="0"/>
    <n v="2024"/>
  </r>
  <r>
    <n v="1875"/>
    <s v="Priya"/>
    <s v="Adult"/>
    <n v="30"/>
    <s v="21-30"/>
    <x v="1"/>
    <x v="7"/>
    <x v="2"/>
    <n v="5"/>
    <n v="1000"/>
    <n v="5000"/>
    <x v="10"/>
    <x v="1"/>
    <x v="3"/>
    <x v="1"/>
    <n v="2024"/>
  </r>
  <r>
    <n v="1876"/>
    <s v="Lakshmi"/>
    <s v="Adult"/>
    <n v="30"/>
    <s v="21-30"/>
    <x v="0"/>
    <x v="4"/>
    <x v="2"/>
    <n v="2"/>
    <n v="1000"/>
    <n v="2000"/>
    <x v="39"/>
    <x v="1"/>
    <x v="0"/>
    <x v="0"/>
    <n v="2024"/>
  </r>
  <r>
    <n v="1877"/>
    <s v="Divya"/>
    <s v="Senior"/>
    <n v="45"/>
    <s v="31-50"/>
    <x v="0"/>
    <x v="4"/>
    <x v="2"/>
    <n v="3"/>
    <n v="1000"/>
    <n v="3000"/>
    <x v="47"/>
    <x v="1"/>
    <x v="1"/>
    <x v="1"/>
    <n v="2024"/>
  </r>
  <r>
    <n v="1878"/>
    <s v="Sneha"/>
    <s v="Adult"/>
    <n v="32"/>
    <s v="31-50"/>
    <x v="1"/>
    <x v="0"/>
    <x v="0"/>
    <n v="1"/>
    <n v="1000"/>
    <n v="1000"/>
    <x v="49"/>
    <x v="1"/>
    <x v="2"/>
    <x v="1"/>
    <n v="2024"/>
  </r>
  <r>
    <n v="1879"/>
    <s v="Divya"/>
    <s v="Senior"/>
    <n v="49"/>
    <s v="31-50"/>
    <x v="1"/>
    <x v="1"/>
    <x v="1"/>
    <n v="2"/>
    <n v="1000"/>
    <n v="2000"/>
    <x v="44"/>
    <x v="1"/>
    <x v="2"/>
    <x v="1"/>
    <n v="2024"/>
  </r>
  <r>
    <n v="1880"/>
    <s v="Manoj"/>
    <s v="Senior"/>
    <n v="47"/>
    <s v="31-50"/>
    <x v="0"/>
    <x v="0"/>
    <x v="0"/>
    <n v="4"/>
    <n v="1000"/>
    <n v="4000"/>
    <x v="52"/>
    <x v="1"/>
    <x v="2"/>
    <x v="1"/>
    <n v="2024"/>
  </r>
  <r>
    <n v="1881"/>
    <s v="Neha"/>
    <s v="Adult"/>
    <n v="23"/>
    <s v="21-30"/>
    <x v="1"/>
    <x v="2"/>
    <x v="1"/>
    <n v="4"/>
    <n v="31358"/>
    <n v="125432"/>
    <x v="30"/>
    <x v="0"/>
    <x v="1"/>
    <x v="1"/>
    <n v="2024"/>
  </r>
  <r>
    <n v="1882"/>
    <s v="Sneha"/>
    <s v="Adult"/>
    <n v="30"/>
    <s v="21-30"/>
    <x v="0"/>
    <x v="2"/>
    <x v="1"/>
    <n v="2"/>
    <n v="34555"/>
    <n v="69110"/>
    <x v="31"/>
    <x v="0"/>
    <x v="2"/>
    <x v="1"/>
    <n v="2024"/>
  </r>
  <r>
    <n v="1883"/>
    <s v="Priya"/>
    <s v="Senior"/>
    <n v="47"/>
    <s v="31-50"/>
    <x v="0"/>
    <x v="5"/>
    <x v="2"/>
    <n v="2"/>
    <n v="1000"/>
    <n v="2000"/>
    <x v="9"/>
    <x v="1"/>
    <x v="1"/>
    <x v="0"/>
    <n v="2024"/>
  </r>
  <r>
    <n v="1884"/>
    <s v="Meena"/>
    <s v="Adult"/>
    <n v="38"/>
    <s v="31-50"/>
    <x v="1"/>
    <x v="6"/>
    <x v="0"/>
    <n v="2"/>
    <n v="1000"/>
    <n v="2000"/>
    <x v="58"/>
    <x v="1"/>
    <x v="1"/>
    <x v="0"/>
    <n v="2024"/>
  </r>
  <r>
    <n v="1885"/>
    <s v="Meena"/>
    <s v="Adult"/>
    <n v="30"/>
    <s v="21-30"/>
    <x v="0"/>
    <x v="2"/>
    <x v="1"/>
    <n v="1"/>
    <n v="1000"/>
    <n v="1000"/>
    <x v="55"/>
    <x v="1"/>
    <x v="1"/>
    <x v="1"/>
    <n v="2024"/>
  </r>
  <r>
    <n v="1886"/>
    <s v="Vikram"/>
    <s v="Adult"/>
    <n v="30"/>
    <s v="21-30"/>
    <x v="0"/>
    <x v="2"/>
    <x v="1"/>
    <n v="2"/>
    <n v="1000"/>
    <n v="2000"/>
    <x v="16"/>
    <x v="1"/>
    <x v="0"/>
    <x v="2"/>
    <n v="2024"/>
  </r>
  <r>
    <n v="1887"/>
    <s v="Arun"/>
    <s v="Adult"/>
    <n v="23"/>
    <s v="21-30"/>
    <x v="1"/>
    <x v="3"/>
    <x v="0"/>
    <n v="2"/>
    <n v="1000"/>
    <n v="2000"/>
    <x v="30"/>
    <x v="1"/>
    <x v="0"/>
    <x v="1"/>
    <n v="2024"/>
  </r>
  <r>
    <n v="1888"/>
    <s v="Meena"/>
    <s v="Adult"/>
    <n v="30"/>
    <s v="21-30"/>
    <x v="1"/>
    <x v="7"/>
    <x v="2"/>
    <n v="4"/>
    <n v="40092"/>
    <n v="160368"/>
    <x v="9"/>
    <x v="0"/>
    <x v="0"/>
    <x v="0"/>
    <n v="2024"/>
  </r>
  <r>
    <n v="1889"/>
    <s v="Ravi"/>
    <s v="Adult"/>
    <n v="24"/>
    <s v="21-30"/>
    <x v="1"/>
    <x v="2"/>
    <x v="1"/>
    <n v="2"/>
    <n v="27457"/>
    <n v="54914"/>
    <x v="49"/>
    <x v="0"/>
    <x v="4"/>
    <x v="1"/>
    <n v="2024"/>
  </r>
  <r>
    <n v="1890"/>
    <s v="Surya"/>
    <s v="Adult"/>
    <n v="35"/>
    <s v="31-50"/>
    <x v="0"/>
    <x v="4"/>
    <x v="2"/>
    <n v="1"/>
    <n v="15025"/>
    <n v="15025"/>
    <x v="35"/>
    <x v="0"/>
    <x v="0"/>
    <x v="0"/>
    <n v="2024"/>
  </r>
  <r>
    <n v="1891"/>
    <s v="Arun"/>
    <s v="Adult"/>
    <n v="30"/>
    <s v="21-30"/>
    <x v="0"/>
    <x v="0"/>
    <x v="0"/>
    <n v="4"/>
    <n v="1000"/>
    <n v="4000"/>
    <x v="1"/>
    <x v="1"/>
    <x v="0"/>
    <x v="1"/>
    <n v="2024"/>
  </r>
  <r>
    <n v="1892"/>
    <s v="Anita"/>
    <s v="Adult"/>
    <n v="26"/>
    <s v="21-30"/>
    <x v="1"/>
    <x v="7"/>
    <x v="2"/>
    <n v="4"/>
    <n v="27071"/>
    <n v="108284"/>
    <x v="1"/>
    <x v="0"/>
    <x v="0"/>
    <x v="1"/>
    <n v="2024"/>
  </r>
  <r>
    <n v="1893"/>
    <s v="Manoj"/>
    <s v="Adult"/>
    <n v="26"/>
    <s v="21-30"/>
    <x v="0"/>
    <x v="7"/>
    <x v="2"/>
    <n v="3"/>
    <n v="1000"/>
    <n v="3000"/>
    <x v="44"/>
    <x v="1"/>
    <x v="2"/>
    <x v="1"/>
    <n v="2024"/>
  </r>
  <r>
    <n v="1894"/>
    <s v="Surya"/>
    <s v="Adult"/>
    <n v="30"/>
    <s v="21-30"/>
    <x v="0"/>
    <x v="1"/>
    <x v="1"/>
    <n v="2"/>
    <n v="1000"/>
    <n v="2000"/>
    <x v="48"/>
    <x v="1"/>
    <x v="0"/>
    <x v="1"/>
    <n v="2024"/>
  </r>
  <r>
    <n v="1895"/>
    <s v="Meena"/>
    <s v="Senior"/>
    <n v="47"/>
    <s v="31-50"/>
    <x v="0"/>
    <x v="1"/>
    <x v="1"/>
    <n v="2"/>
    <n v="16538"/>
    <n v="33076"/>
    <x v="47"/>
    <x v="0"/>
    <x v="2"/>
    <x v="1"/>
    <n v="2024"/>
  </r>
  <r>
    <n v="1896"/>
    <s v="Ajay"/>
    <s v="Adult"/>
    <n v="30"/>
    <s v="21-30"/>
    <x v="0"/>
    <x v="2"/>
    <x v="1"/>
    <n v="3"/>
    <n v="1000"/>
    <n v="3000"/>
    <x v="10"/>
    <x v="1"/>
    <x v="1"/>
    <x v="1"/>
    <n v="2024"/>
  </r>
  <r>
    <n v="1897"/>
    <s v="Arun"/>
    <s v="Adult"/>
    <n v="30"/>
    <s v="21-30"/>
    <x v="0"/>
    <x v="7"/>
    <x v="2"/>
    <n v="2"/>
    <n v="1000"/>
    <n v="2000"/>
    <x v="17"/>
    <x v="1"/>
    <x v="2"/>
    <x v="0"/>
    <n v="2024"/>
  </r>
  <r>
    <n v="1898"/>
    <s v="Priya"/>
    <s v="Senior"/>
    <n v="47"/>
    <s v="31-50"/>
    <x v="0"/>
    <x v="6"/>
    <x v="0"/>
    <n v="2"/>
    <n v="40388"/>
    <n v="80776"/>
    <x v="9"/>
    <x v="0"/>
    <x v="4"/>
    <x v="0"/>
    <n v="2024"/>
  </r>
  <r>
    <n v="1899"/>
    <s v="Ajay"/>
    <s v="Adult"/>
    <n v="30"/>
    <s v="21-30"/>
    <x v="0"/>
    <x v="0"/>
    <x v="0"/>
    <n v="2"/>
    <n v="1000"/>
    <n v="2000"/>
    <x v="39"/>
    <x v="1"/>
    <x v="3"/>
    <x v="0"/>
    <n v="2024"/>
  </r>
  <r>
    <n v="1900"/>
    <s v="Sneha"/>
    <s v="Adult"/>
    <n v="39"/>
    <s v="31-50"/>
    <x v="0"/>
    <x v="0"/>
    <x v="0"/>
    <n v="2"/>
    <n v="1000"/>
    <n v="2000"/>
    <x v="0"/>
    <x v="1"/>
    <x v="2"/>
    <x v="0"/>
    <n v="2024"/>
  </r>
  <r>
    <n v="1901"/>
    <s v="Ravi"/>
    <s v="Adult"/>
    <n v="30"/>
    <s v="21-30"/>
    <x v="0"/>
    <x v="2"/>
    <x v="1"/>
    <n v="4"/>
    <n v="15732"/>
    <n v="62928"/>
    <x v="5"/>
    <x v="0"/>
    <x v="1"/>
    <x v="0"/>
    <n v="2024"/>
  </r>
  <r>
    <n v="1902"/>
    <s v="Kiran"/>
    <s v="Adult"/>
    <n v="36"/>
    <s v="31-50"/>
    <x v="0"/>
    <x v="5"/>
    <x v="2"/>
    <n v="4"/>
    <n v="1000"/>
    <n v="4000"/>
    <x v="32"/>
    <x v="1"/>
    <x v="2"/>
    <x v="0"/>
    <n v="2024"/>
  </r>
  <r>
    <n v="1903"/>
    <s v="Kiran"/>
    <s v="Adult"/>
    <n v="30"/>
    <s v="21-30"/>
    <x v="1"/>
    <x v="5"/>
    <x v="2"/>
    <n v="2"/>
    <n v="1000"/>
    <n v="2000"/>
    <x v="53"/>
    <x v="1"/>
    <x v="1"/>
    <x v="0"/>
    <n v="2024"/>
  </r>
  <r>
    <n v="1904"/>
    <s v="Arun"/>
    <s v="Adult"/>
    <n v="37"/>
    <s v="31-50"/>
    <x v="0"/>
    <x v="0"/>
    <x v="0"/>
    <n v="2"/>
    <n v="30878"/>
    <n v="61756"/>
    <x v="47"/>
    <x v="0"/>
    <x v="2"/>
    <x v="1"/>
    <n v="2024"/>
  </r>
  <r>
    <n v="1905"/>
    <s v="Karthik"/>
    <s v="Adult"/>
    <n v="28"/>
    <s v="21-30"/>
    <x v="1"/>
    <x v="0"/>
    <x v="0"/>
    <n v="1"/>
    <n v="1000"/>
    <n v="1000"/>
    <x v="46"/>
    <x v="1"/>
    <x v="2"/>
    <x v="0"/>
    <n v="2024"/>
  </r>
  <r>
    <n v="1906"/>
    <s v="Surya"/>
    <s v="Adult"/>
    <n v="28"/>
    <s v="21-30"/>
    <x v="0"/>
    <x v="6"/>
    <x v="0"/>
    <n v="2"/>
    <n v="1000"/>
    <n v="2000"/>
    <x v="45"/>
    <x v="1"/>
    <x v="1"/>
    <x v="0"/>
    <n v="2024"/>
  </r>
  <r>
    <n v="1907"/>
    <s v="Ravi"/>
    <s v="Senior"/>
    <n v="48"/>
    <s v="31-50"/>
    <x v="0"/>
    <x v="7"/>
    <x v="2"/>
    <n v="2"/>
    <n v="1000"/>
    <n v="2000"/>
    <x v="15"/>
    <x v="1"/>
    <x v="4"/>
    <x v="1"/>
    <n v="2024"/>
  </r>
  <r>
    <n v="1908"/>
    <s v="Sneha"/>
    <s v="Adult"/>
    <n v="22"/>
    <s v="21-30"/>
    <x v="1"/>
    <x v="1"/>
    <x v="1"/>
    <n v="2"/>
    <n v="1000"/>
    <n v="2000"/>
    <x v="20"/>
    <x v="1"/>
    <x v="2"/>
    <x v="1"/>
    <n v="2024"/>
  </r>
  <r>
    <n v="1909"/>
    <s v="Lakshmi"/>
    <s v="Adult"/>
    <n v="30"/>
    <s v="21-30"/>
    <x v="0"/>
    <x v="4"/>
    <x v="2"/>
    <n v="2"/>
    <n v="1000"/>
    <n v="2000"/>
    <x v="3"/>
    <x v="1"/>
    <x v="4"/>
    <x v="0"/>
    <n v="2024"/>
  </r>
  <r>
    <n v="1910"/>
    <s v="Arun"/>
    <s v="Adult"/>
    <n v="30"/>
    <s v="21-30"/>
    <x v="0"/>
    <x v="3"/>
    <x v="0"/>
    <n v="1"/>
    <n v="19029"/>
    <n v="19029"/>
    <x v="1"/>
    <x v="0"/>
    <x v="2"/>
    <x v="1"/>
    <n v="2024"/>
  </r>
  <r>
    <n v="1911"/>
    <s v="Divya"/>
    <s v="Adult"/>
    <n v="38"/>
    <s v="31-50"/>
    <x v="0"/>
    <x v="2"/>
    <x v="1"/>
    <n v="3"/>
    <n v="11657"/>
    <n v="34971"/>
    <x v="24"/>
    <x v="0"/>
    <x v="3"/>
    <x v="1"/>
    <n v="2024"/>
  </r>
  <r>
    <n v="1912"/>
    <s v="Pooja"/>
    <s v="Senior"/>
    <n v="43"/>
    <s v="31-50"/>
    <x v="1"/>
    <x v="5"/>
    <x v="2"/>
    <n v="5"/>
    <n v="12286"/>
    <n v="61430"/>
    <x v="6"/>
    <x v="0"/>
    <x v="0"/>
    <x v="0"/>
    <n v="2024"/>
  </r>
  <r>
    <n v="1913"/>
    <s v="Divya"/>
    <s v="Adult"/>
    <n v="30"/>
    <s v="21-30"/>
    <x v="0"/>
    <x v="1"/>
    <x v="1"/>
    <n v="5"/>
    <n v="1000"/>
    <n v="5000"/>
    <x v="1"/>
    <x v="1"/>
    <x v="2"/>
    <x v="1"/>
    <n v="2024"/>
  </r>
  <r>
    <n v="1914"/>
    <s v="Arun"/>
    <s v="Adult"/>
    <n v="30"/>
    <s v="21-30"/>
    <x v="1"/>
    <x v="3"/>
    <x v="0"/>
    <n v="2"/>
    <n v="1227"/>
    <n v="2454"/>
    <x v="49"/>
    <x v="1"/>
    <x v="4"/>
    <x v="1"/>
    <n v="2024"/>
  </r>
  <r>
    <n v="1915"/>
    <s v="Arun"/>
    <s v="Adult"/>
    <n v="30"/>
    <s v="21-30"/>
    <x v="0"/>
    <x v="1"/>
    <x v="1"/>
    <n v="2"/>
    <n v="1000"/>
    <n v="2000"/>
    <x v="17"/>
    <x v="1"/>
    <x v="3"/>
    <x v="0"/>
    <n v="2024"/>
  </r>
  <r>
    <n v="1916"/>
    <s v="Sneha"/>
    <s v="Adult"/>
    <n v="30"/>
    <s v="21-30"/>
    <x v="1"/>
    <x v="3"/>
    <x v="0"/>
    <n v="2"/>
    <n v="25176"/>
    <n v="50352"/>
    <x v="45"/>
    <x v="0"/>
    <x v="4"/>
    <x v="0"/>
    <n v="2024"/>
  </r>
  <r>
    <n v="1917"/>
    <s v="Vikram"/>
    <s v="Adult"/>
    <n v="30"/>
    <s v="21-30"/>
    <x v="0"/>
    <x v="5"/>
    <x v="2"/>
    <n v="2"/>
    <n v="1000"/>
    <n v="2000"/>
    <x v="20"/>
    <x v="1"/>
    <x v="2"/>
    <x v="1"/>
    <n v="2024"/>
  </r>
  <r>
    <n v="1918"/>
    <s v="Asha"/>
    <s v="Adult"/>
    <n v="35"/>
    <s v="31-50"/>
    <x v="0"/>
    <x v="7"/>
    <x v="2"/>
    <n v="2"/>
    <n v="1000"/>
    <n v="2000"/>
    <x v="21"/>
    <x v="1"/>
    <x v="0"/>
    <x v="1"/>
    <n v="2024"/>
  </r>
  <r>
    <n v="1919"/>
    <s v="Sneha"/>
    <s v="Adult"/>
    <n v="27"/>
    <s v="21-30"/>
    <x v="0"/>
    <x v="7"/>
    <x v="2"/>
    <n v="4"/>
    <n v="1000"/>
    <n v="4000"/>
    <x v="31"/>
    <x v="1"/>
    <x v="3"/>
    <x v="1"/>
    <n v="2024"/>
  </r>
  <r>
    <n v="1920"/>
    <s v="Vikram"/>
    <s v="Adult"/>
    <n v="30"/>
    <s v="21-30"/>
    <x v="1"/>
    <x v="4"/>
    <x v="2"/>
    <n v="2"/>
    <n v="1000"/>
    <n v="2000"/>
    <x v="13"/>
    <x v="1"/>
    <x v="1"/>
    <x v="1"/>
    <n v="2024"/>
  </r>
  <r>
    <n v="1921"/>
    <s v="Manoj"/>
    <s v="Adult"/>
    <n v="36"/>
    <s v="31-50"/>
    <x v="0"/>
    <x v="3"/>
    <x v="0"/>
    <n v="4"/>
    <n v="8036"/>
    <n v="32144"/>
    <x v="1"/>
    <x v="0"/>
    <x v="4"/>
    <x v="1"/>
    <n v="2024"/>
  </r>
  <r>
    <n v="1922"/>
    <s v="Ravi"/>
    <s v="Adult"/>
    <n v="30"/>
    <s v="21-30"/>
    <x v="0"/>
    <x v="4"/>
    <x v="2"/>
    <n v="3"/>
    <n v="2888"/>
    <n v="8664"/>
    <x v="42"/>
    <x v="2"/>
    <x v="0"/>
    <x v="1"/>
    <n v="2024"/>
  </r>
  <r>
    <n v="1923"/>
    <s v="Ajay"/>
    <s v="Adult"/>
    <n v="30"/>
    <s v="21-30"/>
    <x v="0"/>
    <x v="5"/>
    <x v="2"/>
    <n v="5"/>
    <n v="3265"/>
    <n v="16325"/>
    <x v="25"/>
    <x v="0"/>
    <x v="0"/>
    <x v="1"/>
    <n v="2024"/>
  </r>
  <r>
    <n v="1924"/>
    <s v="Arun"/>
    <s v="Teen"/>
    <n v="18"/>
    <s v="0-20"/>
    <x v="0"/>
    <x v="0"/>
    <x v="0"/>
    <n v="1"/>
    <n v="16007"/>
    <n v="16007"/>
    <x v="53"/>
    <x v="0"/>
    <x v="4"/>
    <x v="0"/>
    <n v="2024"/>
  </r>
  <r>
    <n v="1925"/>
    <s v="Kiran"/>
    <s v="Adult"/>
    <n v="30"/>
    <s v="21-30"/>
    <x v="0"/>
    <x v="3"/>
    <x v="0"/>
    <n v="1"/>
    <n v="1000"/>
    <n v="1000"/>
    <x v="23"/>
    <x v="1"/>
    <x v="0"/>
    <x v="1"/>
    <n v="2024"/>
  </r>
  <r>
    <n v="1926"/>
    <s v="Surya"/>
    <s v="Adult"/>
    <n v="30"/>
    <s v="21-30"/>
    <x v="1"/>
    <x v="6"/>
    <x v="0"/>
    <n v="2"/>
    <n v="1000"/>
    <n v="2000"/>
    <x v="55"/>
    <x v="1"/>
    <x v="3"/>
    <x v="1"/>
    <n v="2024"/>
  </r>
  <r>
    <n v="1927"/>
    <s v="Sneha"/>
    <s v="Adult"/>
    <n v="30"/>
    <s v="21-30"/>
    <x v="1"/>
    <x v="2"/>
    <x v="1"/>
    <n v="2"/>
    <n v="1000"/>
    <n v="2000"/>
    <x v="57"/>
    <x v="1"/>
    <x v="0"/>
    <x v="1"/>
    <n v="2024"/>
  </r>
  <r>
    <n v="1928"/>
    <s v="Asha"/>
    <s v="Senior"/>
    <n v="42"/>
    <s v="31-50"/>
    <x v="1"/>
    <x v="5"/>
    <x v="2"/>
    <n v="2"/>
    <n v="1000"/>
    <n v="2000"/>
    <x v="11"/>
    <x v="1"/>
    <x v="3"/>
    <x v="0"/>
    <n v="2024"/>
  </r>
  <r>
    <n v="1929"/>
    <s v="Ravi"/>
    <s v="Adult"/>
    <n v="30"/>
    <s v="21-30"/>
    <x v="1"/>
    <x v="7"/>
    <x v="2"/>
    <n v="4"/>
    <n v="1000"/>
    <n v="4000"/>
    <x v="16"/>
    <x v="1"/>
    <x v="0"/>
    <x v="2"/>
    <n v="2024"/>
  </r>
  <r>
    <n v="1930"/>
    <s v="Pooja"/>
    <s v="Adult"/>
    <n v="30"/>
    <s v="21-30"/>
    <x v="0"/>
    <x v="0"/>
    <x v="0"/>
    <n v="2"/>
    <n v="1000"/>
    <n v="2000"/>
    <x v="51"/>
    <x v="1"/>
    <x v="0"/>
    <x v="0"/>
    <n v="2024"/>
  </r>
  <r>
    <n v="1931"/>
    <s v="Ravi"/>
    <s v="Adult"/>
    <n v="30"/>
    <s v="21-30"/>
    <x v="1"/>
    <x v="6"/>
    <x v="0"/>
    <n v="3"/>
    <n v="1000"/>
    <n v="3000"/>
    <x v="6"/>
    <x v="1"/>
    <x v="1"/>
    <x v="0"/>
    <n v="2024"/>
  </r>
  <r>
    <n v="1932"/>
    <s v="Ravi"/>
    <s v="Adult"/>
    <n v="21"/>
    <s v="21-30"/>
    <x v="0"/>
    <x v="1"/>
    <x v="1"/>
    <n v="3"/>
    <n v="1000"/>
    <n v="3000"/>
    <x v="25"/>
    <x v="1"/>
    <x v="3"/>
    <x v="1"/>
    <n v="2024"/>
  </r>
  <r>
    <n v="1933"/>
    <s v="Divya"/>
    <s v="Adult"/>
    <n v="32"/>
    <s v="31-50"/>
    <x v="1"/>
    <x v="1"/>
    <x v="1"/>
    <n v="2"/>
    <n v="1000"/>
    <n v="2000"/>
    <x v="52"/>
    <x v="1"/>
    <x v="4"/>
    <x v="1"/>
    <n v="2024"/>
  </r>
  <r>
    <n v="1934"/>
    <s v="Manoj"/>
    <s v="Adult"/>
    <n v="22"/>
    <s v="21-30"/>
    <x v="0"/>
    <x v="7"/>
    <x v="2"/>
    <n v="3"/>
    <n v="20838"/>
    <n v="62514"/>
    <x v="58"/>
    <x v="0"/>
    <x v="4"/>
    <x v="0"/>
    <n v="2024"/>
  </r>
  <r>
    <n v="1935"/>
    <s v="Vikram"/>
    <s v="Senior"/>
    <n v="44"/>
    <s v="31-50"/>
    <x v="1"/>
    <x v="4"/>
    <x v="2"/>
    <n v="1"/>
    <n v="1000"/>
    <n v="1000"/>
    <x v="28"/>
    <x v="1"/>
    <x v="3"/>
    <x v="0"/>
    <n v="2024"/>
  </r>
  <r>
    <n v="1936"/>
    <s v="Anita"/>
    <s v="Adult"/>
    <n v="37"/>
    <s v="31-50"/>
    <x v="0"/>
    <x v="2"/>
    <x v="1"/>
    <n v="3"/>
    <n v="1000"/>
    <n v="3000"/>
    <x v="32"/>
    <x v="1"/>
    <x v="2"/>
    <x v="0"/>
    <n v="2024"/>
  </r>
  <r>
    <n v="1937"/>
    <s v="Divya"/>
    <s v="Adult"/>
    <n v="26"/>
    <s v="21-30"/>
    <x v="0"/>
    <x v="2"/>
    <x v="1"/>
    <n v="2"/>
    <n v="1000"/>
    <n v="2000"/>
    <x v="15"/>
    <x v="1"/>
    <x v="1"/>
    <x v="1"/>
    <n v="2024"/>
  </r>
  <r>
    <n v="1938"/>
    <s v="Neha"/>
    <s v="Adult"/>
    <n v="30"/>
    <s v="21-30"/>
    <x v="1"/>
    <x v="4"/>
    <x v="2"/>
    <n v="2"/>
    <n v="1000"/>
    <n v="2000"/>
    <x v="38"/>
    <x v="1"/>
    <x v="3"/>
    <x v="0"/>
    <n v="2024"/>
  </r>
  <r>
    <n v="1939"/>
    <s v="Asha"/>
    <s v="Adult"/>
    <n v="30"/>
    <s v="21-30"/>
    <x v="0"/>
    <x v="4"/>
    <x v="2"/>
    <n v="2"/>
    <n v="1000"/>
    <n v="2000"/>
    <x v="57"/>
    <x v="1"/>
    <x v="0"/>
    <x v="1"/>
    <n v="2024"/>
  </r>
  <r>
    <n v="1940"/>
    <s v="Karthik"/>
    <s v="Adult"/>
    <n v="30"/>
    <s v="21-30"/>
    <x v="0"/>
    <x v="1"/>
    <x v="1"/>
    <n v="5"/>
    <n v="1000"/>
    <n v="5000"/>
    <x v="37"/>
    <x v="1"/>
    <x v="3"/>
    <x v="0"/>
    <n v="2024"/>
  </r>
  <r>
    <n v="1941"/>
    <s v="Kiran"/>
    <s v="Senior"/>
    <n v="43"/>
    <s v="31-50"/>
    <x v="0"/>
    <x v="6"/>
    <x v="0"/>
    <n v="2"/>
    <n v="18103"/>
    <n v="36206"/>
    <x v="47"/>
    <x v="0"/>
    <x v="0"/>
    <x v="1"/>
    <n v="2024"/>
  </r>
  <r>
    <n v="1942"/>
    <s v="Karthik"/>
    <s v="Adult"/>
    <n v="30"/>
    <s v="21-30"/>
    <x v="1"/>
    <x v="3"/>
    <x v="0"/>
    <n v="4"/>
    <n v="1000"/>
    <n v="4000"/>
    <x v="13"/>
    <x v="1"/>
    <x v="2"/>
    <x v="1"/>
    <n v="2024"/>
  </r>
  <r>
    <n v="1943"/>
    <s v="Vikram"/>
    <s v="Adult"/>
    <n v="30"/>
    <s v="21-30"/>
    <x v="0"/>
    <x v="7"/>
    <x v="2"/>
    <n v="2"/>
    <n v="1000"/>
    <n v="2000"/>
    <x v="55"/>
    <x v="1"/>
    <x v="1"/>
    <x v="1"/>
    <n v="2024"/>
  </r>
  <r>
    <n v="1944"/>
    <s v="Pooja"/>
    <s v="Adult"/>
    <n v="35"/>
    <s v="31-50"/>
    <x v="0"/>
    <x v="0"/>
    <x v="0"/>
    <n v="5"/>
    <n v="39043"/>
    <n v="195215"/>
    <x v="11"/>
    <x v="0"/>
    <x v="2"/>
    <x v="0"/>
    <n v="2024"/>
  </r>
  <r>
    <n v="1945"/>
    <s v="Priya"/>
    <s v="Adult"/>
    <n v="30"/>
    <s v="21-30"/>
    <x v="1"/>
    <x v="4"/>
    <x v="2"/>
    <n v="2"/>
    <n v="23442"/>
    <n v="46884"/>
    <x v="35"/>
    <x v="0"/>
    <x v="4"/>
    <x v="0"/>
    <n v="2024"/>
  </r>
  <r>
    <n v="1946"/>
    <s v="Manoj"/>
    <s v="Adult"/>
    <n v="30"/>
    <s v="21-30"/>
    <x v="1"/>
    <x v="7"/>
    <x v="2"/>
    <n v="2"/>
    <n v="38297"/>
    <n v="76594"/>
    <x v="26"/>
    <x v="0"/>
    <x v="3"/>
    <x v="0"/>
    <n v="2024"/>
  </r>
  <r>
    <n v="1947"/>
    <s v="Karthik"/>
    <s v="Senior"/>
    <n v="42"/>
    <s v="31-50"/>
    <x v="0"/>
    <x v="2"/>
    <x v="1"/>
    <n v="5"/>
    <n v="42911"/>
    <n v="214555"/>
    <x v="0"/>
    <x v="0"/>
    <x v="2"/>
    <x v="0"/>
    <n v="2024"/>
  </r>
  <r>
    <n v="1948"/>
    <s v="Surya"/>
    <s v="Adult"/>
    <n v="30"/>
    <s v="21-30"/>
    <x v="0"/>
    <x v="3"/>
    <x v="0"/>
    <n v="1"/>
    <n v="37415"/>
    <n v="37415"/>
    <x v="50"/>
    <x v="0"/>
    <x v="0"/>
    <x v="0"/>
    <n v="2024"/>
  </r>
  <r>
    <n v="1949"/>
    <s v="Asha"/>
    <s v="Adult"/>
    <n v="30"/>
    <s v="21-30"/>
    <x v="1"/>
    <x v="0"/>
    <x v="0"/>
    <n v="2"/>
    <n v="41664"/>
    <n v="83328"/>
    <x v="57"/>
    <x v="0"/>
    <x v="2"/>
    <x v="1"/>
    <n v="2024"/>
  </r>
  <r>
    <n v="1950"/>
    <s v="Anita"/>
    <s v="Adult"/>
    <n v="30"/>
    <s v="21-30"/>
    <x v="1"/>
    <x v="4"/>
    <x v="2"/>
    <n v="2"/>
    <n v="2100"/>
    <n v="4200"/>
    <x v="41"/>
    <x v="1"/>
    <x v="2"/>
    <x v="0"/>
    <n v="2024"/>
  </r>
  <r>
    <n v="1951"/>
    <s v="Anita"/>
    <s v="Adult"/>
    <n v="30"/>
    <s v="21-30"/>
    <x v="0"/>
    <x v="5"/>
    <x v="2"/>
    <n v="2"/>
    <n v="1000"/>
    <n v="2000"/>
    <x v="43"/>
    <x v="1"/>
    <x v="3"/>
    <x v="0"/>
    <n v="2024"/>
  </r>
  <r>
    <n v="1952"/>
    <s v="Kiran"/>
    <s v="Adult"/>
    <n v="24"/>
    <s v="21-30"/>
    <x v="1"/>
    <x v="2"/>
    <x v="1"/>
    <n v="5"/>
    <n v="44656"/>
    <n v="223280"/>
    <x v="55"/>
    <x v="0"/>
    <x v="2"/>
    <x v="1"/>
    <n v="2024"/>
  </r>
  <r>
    <n v="1953"/>
    <s v="Vikram"/>
    <s v="Adult"/>
    <n v="30"/>
    <s v="21-30"/>
    <x v="0"/>
    <x v="7"/>
    <x v="2"/>
    <n v="2"/>
    <n v="1000"/>
    <n v="2000"/>
    <x v="54"/>
    <x v="1"/>
    <x v="2"/>
    <x v="1"/>
    <n v="2024"/>
  </r>
  <r>
    <n v="1954"/>
    <s v="Kiran"/>
    <s v="Adult"/>
    <n v="30"/>
    <s v="21-30"/>
    <x v="0"/>
    <x v="5"/>
    <x v="2"/>
    <n v="2"/>
    <n v="1000"/>
    <n v="2000"/>
    <x v="57"/>
    <x v="1"/>
    <x v="2"/>
    <x v="1"/>
    <n v="2024"/>
  </r>
  <r>
    <n v="1955"/>
    <s v="Vikram"/>
    <s v="Adult"/>
    <n v="21"/>
    <s v="21-30"/>
    <x v="1"/>
    <x v="5"/>
    <x v="2"/>
    <n v="5"/>
    <n v="25422"/>
    <n v="127110"/>
    <x v="33"/>
    <x v="0"/>
    <x v="2"/>
    <x v="0"/>
    <n v="2024"/>
  </r>
  <r>
    <n v="1956"/>
    <s v="Kiran"/>
    <s v="Senior"/>
    <n v="45"/>
    <s v="31-50"/>
    <x v="0"/>
    <x v="2"/>
    <x v="1"/>
    <n v="2"/>
    <n v="1000"/>
    <n v="2000"/>
    <x v="53"/>
    <x v="1"/>
    <x v="4"/>
    <x v="0"/>
    <n v="2024"/>
  </r>
  <r>
    <n v="1957"/>
    <s v="Asha"/>
    <s v="Adult"/>
    <n v="28"/>
    <s v="21-30"/>
    <x v="0"/>
    <x v="2"/>
    <x v="1"/>
    <n v="2"/>
    <n v="49627"/>
    <n v="99254"/>
    <x v="13"/>
    <x v="0"/>
    <x v="2"/>
    <x v="1"/>
    <n v="2024"/>
  </r>
  <r>
    <n v="1958"/>
    <s v="Surya"/>
    <s v="Adult"/>
    <n v="35"/>
    <s v="31-50"/>
    <x v="0"/>
    <x v="5"/>
    <x v="2"/>
    <n v="4"/>
    <n v="1000"/>
    <n v="4000"/>
    <x v="7"/>
    <x v="1"/>
    <x v="4"/>
    <x v="0"/>
    <n v="2024"/>
  </r>
  <r>
    <n v="1959"/>
    <s v="Priya"/>
    <s v="Adult"/>
    <n v="30"/>
    <s v="21-30"/>
    <x v="1"/>
    <x v="6"/>
    <x v="0"/>
    <n v="3"/>
    <n v="1000"/>
    <n v="3000"/>
    <x v="0"/>
    <x v="1"/>
    <x v="3"/>
    <x v="0"/>
    <n v="2024"/>
  </r>
  <r>
    <n v="1960"/>
    <s v="Priya"/>
    <s v="Senior"/>
    <n v="41"/>
    <s v="31-50"/>
    <x v="0"/>
    <x v="2"/>
    <x v="1"/>
    <n v="2"/>
    <n v="23517"/>
    <n v="47034"/>
    <x v="19"/>
    <x v="0"/>
    <x v="0"/>
    <x v="1"/>
    <n v="2024"/>
  </r>
  <r>
    <n v="1961"/>
    <s v="Anita"/>
    <s v="Adult"/>
    <n v="30"/>
    <s v="21-30"/>
    <x v="0"/>
    <x v="6"/>
    <x v="0"/>
    <n v="2"/>
    <n v="1000"/>
    <n v="2000"/>
    <x v="5"/>
    <x v="1"/>
    <x v="1"/>
    <x v="0"/>
    <n v="2024"/>
  </r>
  <r>
    <n v="1962"/>
    <s v="Vikram"/>
    <s v="Adult"/>
    <n v="30"/>
    <s v="21-30"/>
    <x v="0"/>
    <x v="7"/>
    <x v="2"/>
    <n v="3"/>
    <n v="1000"/>
    <n v="3000"/>
    <x v="16"/>
    <x v="1"/>
    <x v="2"/>
    <x v="2"/>
    <n v="2024"/>
  </r>
  <r>
    <n v="1963"/>
    <s v="Anita"/>
    <s v="Adult"/>
    <n v="30"/>
    <s v="21-30"/>
    <x v="0"/>
    <x v="4"/>
    <x v="2"/>
    <n v="4"/>
    <n v="1000"/>
    <n v="4000"/>
    <x v="21"/>
    <x v="1"/>
    <x v="3"/>
    <x v="1"/>
    <n v="2024"/>
  </r>
  <r>
    <n v="1964"/>
    <s v="Priya"/>
    <s v="Adult"/>
    <n v="30"/>
    <s v="21-30"/>
    <x v="1"/>
    <x v="5"/>
    <x v="2"/>
    <n v="5"/>
    <n v="1000"/>
    <n v="5000"/>
    <x v="22"/>
    <x v="1"/>
    <x v="4"/>
    <x v="0"/>
    <n v="2024"/>
  </r>
  <r>
    <n v="1965"/>
    <s v="Karthik"/>
    <s v="Adult"/>
    <n v="30"/>
    <s v="21-30"/>
    <x v="1"/>
    <x v="2"/>
    <x v="1"/>
    <n v="2"/>
    <n v="1000"/>
    <n v="2000"/>
    <x v="28"/>
    <x v="1"/>
    <x v="2"/>
    <x v="0"/>
    <n v="2024"/>
  </r>
  <r>
    <n v="1966"/>
    <s v="Neha"/>
    <s v="Adult"/>
    <n v="30"/>
    <s v="21-30"/>
    <x v="1"/>
    <x v="5"/>
    <x v="2"/>
    <n v="3"/>
    <n v="1000"/>
    <n v="3000"/>
    <x v="23"/>
    <x v="1"/>
    <x v="2"/>
    <x v="1"/>
    <n v="2024"/>
  </r>
  <r>
    <n v="1967"/>
    <s v="Arun"/>
    <s v="Adult"/>
    <n v="30"/>
    <s v="21-30"/>
    <x v="0"/>
    <x v="1"/>
    <x v="1"/>
    <n v="2"/>
    <n v="1000"/>
    <n v="2000"/>
    <x v="52"/>
    <x v="1"/>
    <x v="1"/>
    <x v="1"/>
    <n v="2024"/>
  </r>
  <r>
    <n v="1968"/>
    <s v="Ajay"/>
    <s v="Senior"/>
    <n v="41"/>
    <s v="31-50"/>
    <x v="1"/>
    <x v="1"/>
    <x v="1"/>
    <n v="2"/>
    <n v="1000"/>
    <n v="2000"/>
    <x v="28"/>
    <x v="1"/>
    <x v="0"/>
    <x v="0"/>
    <n v="2024"/>
  </r>
  <r>
    <n v="1969"/>
    <s v="Surya"/>
    <s v="Adult"/>
    <n v="21"/>
    <s v="21-30"/>
    <x v="1"/>
    <x v="6"/>
    <x v="0"/>
    <n v="2"/>
    <n v="1000"/>
    <n v="2000"/>
    <x v="0"/>
    <x v="1"/>
    <x v="0"/>
    <x v="0"/>
    <n v="2024"/>
  </r>
  <r>
    <n v="1970"/>
    <s v="Ramesh"/>
    <s v="Adult"/>
    <n v="28"/>
    <s v="21-30"/>
    <x v="0"/>
    <x v="3"/>
    <x v="0"/>
    <n v="2"/>
    <n v="1000"/>
    <n v="2000"/>
    <x v="40"/>
    <x v="1"/>
    <x v="2"/>
    <x v="0"/>
    <n v="2024"/>
  </r>
  <r>
    <n v="1971"/>
    <s v="Ajay"/>
    <s v="Adult"/>
    <n v="30"/>
    <s v="21-30"/>
    <x v="0"/>
    <x v="2"/>
    <x v="1"/>
    <n v="2"/>
    <n v="1000"/>
    <n v="2000"/>
    <x v="53"/>
    <x v="1"/>
    <x v="1"/>
    <x v="0"/>
    <n v="2024"/>
  </r>
  <r>
    <n v="1972"/>
    <s v="Surya"/>
    <s v="Adult"/>
    <n v="29"/>
    <s v="21-30"/>
    <x v="1"/>
    <x v="4"/>
    <x v="2"/>
    <n v="2"/>
    <n v="1000"/>
    <n v="2000"/>
    <x v="8"/>
    <x v="1"/>
    <x v="3"/>
    <x v="1"/>
    <n v="2024"/>
  </r>
  <r>
    <n v="1973"/>
    <s v="Ajay"/>
    <s v="Adult"/>
    <n v="30"/>
    <s v="21-30"/>
    <x v="0"/>
    <x v="1"/>
    <x v="1"/>
    <n v="1"/>
    <n v="25976"/>
    <n v="25976"/>
    <x v="32"/>
    <x v="0"/>
    <x v="3"/>
    <x v="0"/>
    <n v="2024"/>
  </r>
  <r>
    <n v="1974"/>
    <s v="Ravi"/>
    <s v="Adult"/>
    <n v="20"/>
    <s v="0-20"/>
    <x v="0"/>
    <x v="5"/>
    <x v="2"/>
    <n v="2"/>
    <n v="1000"/>
    <n v="2000"/>
    <x v="45"/>
    <x v="1"/>
    <x v="2"/>
    <x v="0"/>
    <n v="2024"/>
  </r>
  <r>
    <n v="1975"/>
    <s v="Lakshmi"/>
    <s v="Adult"/>
    <n v="30"/>
    <s v="21-30"/>
    <x v="1"/>
    <x v="1"/>
    <x v="1"/>
    <n v="2"/>
    <n v="1000"/>
    <n v="2000"/>
    <x v="11"/>
    <x v="1"/>
    <x v="0"/>
    <x v="0"/>
    <n v="2024"/>
  </r>
  <r>
    <n v="1976"/>
    <s v="Meena"/>
    <s v="Adult"/>
    <n v="23"/>
    <s v="21-30"/>
    <x v="1"/>
    <x v="3"/>
    <x v="0"/>
    <n v="4"/>
    <n v="8479"/>
    <n v="33916"/>
    <x v="11"/>
    <x v="0"/>
    <x v="0"/>
    <x v="0"/>
    <n v="2024"/>
  </r>
  <r>
    <n v="1977"/>
    <s v="Ajay"/>
    <s v="Adult"/>
    <n v="29"/>
    <s v="21-30"/>
    <x v="0"/>
    <x v="1"/>
    <x v="1"/>
    <n v="2"/>
    <n v="1000"/>
    <n v="2000"/>
    <x v="21"/>
    <x v="1"/>
    <x v="3"/>
    <x v="1"/>
    <n v="2024"/>
  </r>
  <r>
    <n v="1978"/>
    <s v="Anita"/>
    <s v="Adult"/>
    <n v="30"/>
    <s v="21-30"/>
    <x v="1"/>
    <x v="4"/>
    <x v="2"/>
    <n v="2"/>
    <n v="1000"/>
    <n v="2000"/>
    <x v="6"/>
    <x v="1"/>
    <x v="4"/>
    <x v="0"/>
    <n v="2024"/>
  </r>
  <r>
    <n v="1979"/>
    <s v="Pooja"/>
    <s v="Adult"/>
    <n v="30"/>
    <s v="21-30"/>
    <x v="0"/>
    <x v="1"/>
    <x v="1"/>
    <n v="2"/>
    <n v="34501"/>
    <n v="69002"/>
    <x v="9"/>
    <x v="0"/>
    <x v="2"/>
    <x v="0"/>
    <n v="2024"/>
  </r>
  <r>
    <n v="1980"/>
    <s v="Ravi"/>
    <s v="Senior"/>
    <n v="46"/>
    <s v="31-50"/>
    <x v="0"/>
    <x v="4"/>
    <x v="2"/>
    <n v="2"/>
    <n v="1000"/>
    <n v="2000"/>
    <x v="8"/>
    <x v="1"/>
    <x v="2"/>
    <x v="1"/>
    <n v="2024"/>
  </r>
  <r>
    <n v="1981"/>
    <s v="Meena"/>
    <s v="Senior"/>
    <n v="49"/>
    <s v="31-50"/>
    <x v="1"/>
    <x v="7"/>
    <x v="2"/>
    <n v="2"/>
    <n v="47472"/>
    <n v="94944"/>
    <x v="31"/>
    <x v="0"/>
    <x v="4"/>
    <x v="1"/>
    <n v="2024"/>
  </r>
  <r>
    <n v="1982"/>
    <s v="Arun"/>
    <s v="Senior"/>
    <n v="41"/>
    <s v="31-50"/>
    <x v="1"/>
    <x v="5"/>
    <x v="2"/>
    <n v="5"/>
    <n v="1000"/>
    <n v="5000"/>
    <x v="33"/>
    <x v="1"/>
    <x v="2"/>
    <x v="0"/>
    <n v="2024"/>
  </r>
  <r>
    <n v="1983"/>
    <s v="Divya"/>
    <s v="Adult"/>
    <n v="30"/>
    <s v="21-30"/>
    <x v="1"/>
    <x v="5"/>
    <x v="2"/>
    <n v="2"/>
    <n v="19777"/>
    <n v="39554"/>
    <x v="29"/>
    <x v="0"/>
    <x v="3"/>
    <x v="0"/>
    <n v="2024"/>
  </r>
  <r>
    <n v="1984"/>
    <s v="Ramesh"/>
    <s v="Adult"/>
    <n v="30"/>
    <s v="21-30"/>
    <x v="0"/>
    <x v="3"/>
    <x v="0"/>
    <n v="3"/>
    <n v="1000"/>
    <n v="3000"/>
    <x v="54"/>
    <x v="1"/>
    <x v="4"/>
    <x v="1"/>
    <n v="2024"/>
  </r>
  <r>
    <n v="1985"/>
    <s v="Divya"/>
    <s v="Adult"/>
    <n v="30"/>
    <s v="21-30"/>
    <x v="1"/>
    <x v="7"/>
    <x v="2"/>
    <n v="2"/>
    <n v="1000"/>
    <n v="2000"/>
    <x v="39"/>
    <x v="1"/>
    <x v="1"/>
    <x v="0"/>
    <n v="2024"/>
  </r>
  <r>
    <n v="1986"/>
    <s v="Pooja"/>
    <s v="Adult"/>
    <n v="30"/>
    <s v="21-30"/>
    <x v="1"/>
    <x v="6"/>
    <x v="0"/>
    <n v="2"/>
    <n v="1000"/>
    <n v="2000"/>
    <x v="1"/>
    <x v="1"/>
    <x v="3"/>
    <x v="1"/>
    <n v="2024"/>
  </r>
  <r>
    <n v="1987"/>
    <s v="Meena"/>
    <s v="Adult"/>
    <n v="30"/>
    <s v="21-30"/>
    <x v="1"/>
    <x v="7"/>
    <x v="2"/>
    <n v="2"/>
    <n v="1000"/>
    <n v="2000"/>
    <x v="16"/>
    <x v="1"/>
    <x v="0"/>
    <x v="2"/>
    <n v="2024"/>
  </r>
  <r>
    <n v="1988"/>
    <s v="Ajay"/>
    <s v="Adult"/>
    <n v="23"/>
    <s v="21-30"/>
    <x v="0"/>
    <x v="3"/>
    <x v="0"/>
    <n v="2"/>
    <n v="14326"/>
    <n v="28652"/>
    <x v="5"/>
    <x v="0"/>
    <x v="3"/>
    <x v="0"/>
    <n v="2024"/>
  </r>
  <r>
    <n v="1989"/>
    <s v="Sneha"/>
    <s v="Adult"/>
    <n v="30"/>
    <s v="21-30"/>
    <x v="1"/>
    <x v="5"/>
    <x v="2"/>
    <n v="2"/>
    <n v="1000"/>
    <n v="2000"/>
    <x v="51"/>
    <x v="1"/>
    <x v="4"/>
    <x v="0"/>
    <n v="2024"/>
  </r>
  <r>
    <n v="1990"/>
    <s v="Neha"/>
    <s v="Senior"/>
    <n v="50"/>
    <s v="31-50"/>
    <x v="1"/>
    <x v="2"/>
    <x v="1"/>
    <n v="4"/>
    <n v="1000"/>
    <n v="4000"/>
    <x v="46"/>
    <x v="1"/>
    <x v="1"/>
    <x v="0"/>
    <n v="2024"/>
  </r>
  <r>
    <n v="1991"/>
    <s v="Lakshmi"/>
    <s v="Adult"/>
    <n v="39"/>
    <s v="31-50"/>
    <x v="1"/>
    <x v="0"/>
    <x v="0"/>
    <n v="3"/>
    <n v="10685"/>
    <n v="32055"/>
    <x v="3"/>
    <x v="0"/>
    <x v="3"/>
    <x v="0"/>
    <n v="2024"/>
  </r>
  <r>
    <n v="1992"/>
    <s v="Neha"/>
    <s v="Adult"/>
    <n v="30"/>
    <s v="21-30"/>
    <x v="0"/>
    <x v="3"/>
    <x v="0"/>
    <n v="2"/>
    <n v="47524"/>
    <n v="95048"/>
    <x v="38"/>
    <x v="0"/>
    <x v="4"/>
    <x v="0"/>
    <n v="2024"/>
  </r>
  <r>
    <n v="1993"/>
    <s v="Manoj"/>
    <s v="Adult"/>
    <n v="30"/>
    <s v="21-30"/>
    <x v="1"/>
    <x v="1"/>
    <x v="1"/>
    <n v="2"/>
    <n v="19690"/>
    <n v="39380"/>
    <x v="5"/>
    <x v="0"/>
    <x v="1"/>
    <x v="0"/>
    <n v="2024"/>
  </r>
  <r>
    <n v="1994"/>
    <s v="Surya"/>
    <s v="Adult"/>
    <n v="33"/>
    <s v="31-50"/>
    <x v="1"/>
    <x v="4"/>
    <x v="2"/>
    <n v="1"/>
    <n v="1000"/>
    <n v="1000"/>
    <x v="32"/>
    <x v="1"/>
    <x v="0"/>
    <x v="0"/>
    <n v="2024"/>
  </r>
  <r>
    <n v="1995"/>
    <s v="Vikram"/>
    <s v="Adult"/>
    <n v="30"/>
    <s v="21-30"/>
    <x v="0"/>
    <x v="5"/>
    <x v="2"/>
    <n v="4"/>
    <n v="1000"/>
    <n v="4000"/>
    <x v="46"/>
    <x v="1"/>
    <x v="1"/>
    <x v="0"/>
    <n v="2024"/>
  </r>
  <r>
    <n v="1996"/>
    <s v="Anita"/>
    <s v="Adult"/>
    <n v="30"/>
    <s v="21-30"/>
    <x v="0"/>
    <x v="1"/>
    <x v="1"/>
    <n v="2"/>
    <n v="1000"/>
    <n v="2000"/>
    <x v="49"/>
    <x v="1"/>
    <x v="4"/>
    <x v="1"/>
    <n v="2024"/>
  </r>
  <r>
    <n v="1997"/>
    <s v="Arun"/>
    <s v="Adult"/>
    <n v="27"/>
    <s v="21-30"/>
    <x v="1"/>
    <x v="1"/>
    <x v="1"/>
    <n v="4"/>
    <n v="14818"/>
    <n v="59272"/>
    <x v="1"/>
    <x v="0"/>
    <x v="3"/>
    <x v="1"/>
    <n v="2024"/>
  </r>
  <r>
    <n v="1998"/>
    <s v="Meena"/>
    <s v="Adult"/>
    <n v="33"/>
    <s v="31-50"/>
    <x v="1"/>
    <x v="1"/>
    <x v="1"/>
    <n v="3"/>
    <n v="12470"/>
    <n v="37410"/>
    <x v="42"/>
    <x v="0"/>
    <x v="1"/>
    <x v="1"/>
    <n v="2024"/>
  </r>
  <r>
    <n v="1999"/>
    <s v="Neha"/>
    <s v="Adult"/>
    <n v="30"/>
    <s v="21-30"/>
    <x v="0"/>
    <x v="1"/>
    <x v="1"/>
    <n v="2"/>
    <n v="23006"/>
    <n v="46012"/>
    <x v="46"/>
    <x v="0"/>
    <x v="1"/>
    <x v="0"/>
    <n v="2024"/>
  </r>
  <r>
    <n v="2000"/>
    <s v="Ramesh"/>
    <s v="Adult"/>
    <n v="30"/>
    <s v="21-30"/>
    <x v="1"/>
    <x v="7"/>
    <x v="2"/>
    <n v="2"/>
    <n v="21127"/>
    <n v="42254"/>
    <x v="54"/>
    <x v="0"/>
    <x v="1"/>
    <x v="1"/>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6489DD-1312-4207-97FD-5E1D41BF0C3E}"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7:C66" firstHeaderRow="1" firstDataRow="2" firstDataCol="1"/>
  <pivotFields count="18">
    <pivotField showAll="0"/>
    <pivotField showAll="0"/>
    <pivotField showAll="0"/>
    <pivotField showAll="0"/>
    <pivotField showAll="0"/>
    <pivotField axis="axisCol" showAll="0">
      <items count="3">
        <item x="1"/>
        <item h="1" x="0"/>
        <item t="default"/>
      </items>
    </pivotField>
    <pivotField axis="axisRow" showAll="0">
      <items count="9">
        <item x="7"/>
        <item x="1"/>
        <item x="6"/>
        <item x="0"/>
        <item x="2"/>
        <item x="4"/>
        <item x="3"/>
        <item h="1" x="5"/>
        <item t="default"/>
      </items>
    </pivotField>
    <pivotField dataField="1" showAll="0">
      <items count="4">
        <item x="2"/>
        <item x="1"/>
        <item x="0"/>
        <item t="default"/>
      </items>
    </pivotField>
    <pivotField showAll="0"/>
    <pivotField numFmtId="165" showAll="0"/>
    <pivotField numFmtId="165" showAll="0"/>
    <pivotField numFmtId="14" showAll="0">
      <items count="62">
        <item x="45"/>
        <item x="29"/>
        <item x="39"/>
        <item x="40"/>
        <item x="22"/>
        <item x="36"/>
        <item x="0"/>
        <item x="32"/>
        <item x="35"/>
        <item x="33"/>
        <item x="3"/>
        <item x="12"/>
        <item x="7"/>
        <item x="41"/>
        <item x="38"/>
        <item x="50"/>
        <item x="51"/>
        <item x="26"/>
        <item x="17"/>
        <item x="53"/>
        <item x="46"/>
        <item x="2"/>
        <item x="27"/>
        <item x="37"/>
        <item x="43"/>
        <item x="28"/>
        <item x="9"/>
        <item x="6"/>
        <item x="5"/>
        <item x="11"/>
        <item x="58"/>
        <item x="13"/>
        <item x="4"/>
        <item x="25"/>
        <item x="49"/>
        <item x="1"/>
        <item x="48"/>
        <item x="42"/>
        <item x="55"/>
        <item x="57"/>
        <item x="31"/>
        <item x="52"/>
        <item x="23"/>
        <item x="21"/>
        <item x="34"/>
        <item x="14"/>
        <item x="24"/>
        <item x="44"/>
        <item x="18"/>
        <item x="15"/>
        <item x="20"/>
        <item x="54"/>
        <item x="56"/>
        <item x="59"/>
        <item x="30"/>
        <item x="60"/>
        <item x="19"/>
        <item x="47"/>
        <item x="8"/>
        <item x="10"/>
        <item x="16"/>
        <item t="default"/>
      </items>
    </pivotField>
    <pivotField showAll="0"/>
    <pivotField showAll="0">
      <items count="6">
        <item h="1" x="4"/>
        <item x="2"/>
        <item h="1" x="1"/>
        <item h="1" x="0"/>
        <item h="1" x="3"/>
        <item t="default"/>
      </items>
    </pivotField>
    <pivotField showAll="0"/>
    <pivotField showAll="0"/>
    <pivotField showAll="0" defaultSubtotal="0"/>
    <pivotField showAll="0" defaultSubtotal="0">
      <items count="3">
        <item x="0"/>
        <item x="1"/>
        <item x="2"/>
      </items>
    </pivotField>
  </pivotFields>
  <rowFields count="1">
    <field x="6"/>
  </rowFields>
  <rowItems count="8">
    <i>
      <x/>
    </i>
    <i>
      <x v="1"/>
    </i>
    <i>
      <x v="2"/>
    </i>
    <i>
      <x v="3"/>
    </i>
    <i>
      <x v="4"/>
    </i>
    <i>
      <x v="5"/>
    </i>
    <i>
      <x v="6"/>
    </i>
    <i t="grand">
      <x/>
    </i>
  </rowItems>
  <colFields count="1">
    <field x="5"/>
  </colFields>
  <colItems count="2">
    <i>
      <x/>
    </i>
    <i t="grand">
      <x/>
    </i>
  </colItems>
  <dataFields count="1">
    <dataField name="Count of Category_1" fld="7" subtotal="count" baseField="0" baseItem="0"/>
  </dataFields>
  <chartFormats count="1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4" format="11" series="1">
      <pivotArea type="data" outline="0" fieldPosition="0">
        <references count="2">
          <reference field="4294967294" count="1" selected="0">
            <x v="0"/>
          </reference>
          <reference field="5" count="1" selected="0">
            <x v="1"/>
          </reference>
        </references>
      </pivotArea>
    </chartFormat>
    <chartFormat chart="4" format="12">
      <pivotArea type="data" outline="0" fieldPosition="0">
        <references count="3">
          <reference field="4294967294" count="1" selected="0">
            <x v="0"/>
          </reference>
          <reference field="5" count="1" selected="0">
            <x v="1"/>
          </reference>
          <reference field="6" count="1" selected="0">
            <x v="0"/>
          </reference>
        </references>
      </pivotArea>
    </chartFormat>
    <chartFormat chart="4" format="13">
      <pivotArea type="data" outline="0" fieldPosition="0">
        <references count="3">
          <reference field="4294967294" count="1" selected="0">
            <x v="0"/>
          </reference>
          <reference field="5" count="1" selected="0">
            <x v="1"/>
          </reference>
          <reference field="6" count="1" selected="0">
            <x v="1"/>
          </reference>
        </references>
      </pivotArea>
    </chartFormat>
    <chartFormat chart="4" format="14">
      <pivotArea type="data" outline="0" fieldPosition="0">
        <references count="3">
          <reference field="4294967294" count="1" selected="0">
            <x v="0"/>
          </reference>
          <reference field="5" count="1" selected="0">
            <x v="1"/>
          </reference>
          <reference field="6" count="1" selected="0">
            <x v="2"/>
          </reference>
        </references>
      </pivotArea>
    </chartFormat>
    <chartFormat chart="4" format="15">
      <pivotArea type="data" outline="0" fieldPosition="0">
        <references count="3">
          <reference field="4294967294" count="1" selected="0">
            <x v="0"/>
          </reference>
          <reference field="5" count="1" selected="0">
            <x v="1"/>
          </reference>
          <reference field="6" count="1" selected="0">
            <x v="3"/>
          </reference>
        </references>
      </pivotArea>
    </chartFormat>
    <chartFormat chart="4" format="16">
      <pivotArea type="data" outline="0" fieldPosition="0">
        <references count="3">
          <reference field="4294967294" count="1" selected="0">
            <x v="0"/>
          </reference>
          <reference field="5" count="1" selected="0">
            <x v="1"/>
          </reference>
          <reference field="6" count="1" selected="0">
            <x v="4"/>
          </reference>
        </references>
      </pivotArea>
    </chartFormat>
    <chartFormat chart="4" format="17">
      <pivotArea type="data" outline="0" fieldPosition="0">
        <references count="3">
          <reference field="4294967294" count="1" selected="0">
            <x v="0"/>
          </reference>
          <reference field="5" count="1" selected="0">
            <x v="1"/>
          </reference>
          <reference field="6" count="1" selected="0">
            <x v="5"/>
          </reference>
        </references>
      </pivotArea>
    </chartFormat>
    <chartFormat chart="4" format="18">
      <pivotArea type="data" outline="0" fieldPosition="0">
        <references count="3">
          <reference field="4294967294" count="1" selected="0">
            <x v="0"/>
          </reference>
          <reference field="5" count="1" selected="0">
            <x v="1"/>
          </reference>
          <reference field="6" count="1" selected="0">
            <x v="6"/>
          </reference>
        </references>
      </pivotArea>
    </chartFormat>
    <chartFormat chart="4" format="19">
      <pivotArea type="data" outline="0" fieldPosition="0">
        <references count="3">
          <reference field="4294967294" count="1" selected="0">
            <x v="0"/>
          </reference>
          <reference field="5" count="1" selected="0">
            <x v="1"/>
          </reference>
          <reference field="6" count="1" selected="0">
            <x v="7"/>
          </reference>
        </references>
      </pivotArea>
    </chartFormat>
    <chartFormat chart="4" format="20"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5747C0-AB10-417F-8D9F-45630D3274A4}"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B37" firstHeaderRow="1" firstDataRow="1" firstDataCol="1"/>
  <pivotFields count="18">
    <pivotField showAll="0"/>
    <pivotField showAll="0"/>
    <pivotField showAll="0"/>
    <pivotField showAll="0"/>
    <pivotField showAll="0"/>
    <pivotField showAll="0"/>
    <pivotField showAll="0"/>
    <pivotField showAll="0"/>
    <pivotField showAll="0"/>
    <pivotField numFmtId="165" showAll="0"/>
    <pivotField dataField="1" numFmtId="165" showAll="0"/>
    <pivotField numFmtId="14" showAll="0">
      <items count="62">
        <item x="45"/>
        <item x="29"/>
        <item x="39"/>
        <item x="40"/>
        <item x="22"/>
        <item x="36"/>
        <item x="0"/>
        <item x="32"/>
        <item x="35"/>
        <item x="33"/>
        <item x="3"/>
        <item x="12"/>
        <item x="7"/>
        <item x="41"/>
        <item x="38"/>
        <item x="50"/>
        <item x="51"/>
        <item x="26"/>
        <item x="17"/>
        <item x="53"/>
        <item x="46"/>
        <item x="2"/>
        <item x="27"/>
        <item x="37"/>
        <item x="43"/>
        <item x="28"/>
        <item x="9"/>
        <item x="6"/>
        <item x="5"/>
        <item x="11"/>
        <item x="58"/>
        <item x="13"/>
        <item x="4"/>
        <item x="25"/>
        <item x="49"/>
        <item x="1"/>
        <item x="48"/>
        <item x="42"/>
        <item x="55"/>
        <item x="57"/>
        <item x="31"/>
        <item x="52"/>
        <item x="23"/>
        <item x="21"/>
        <item x="34"/>
        <item x="14"/>
        <item x="24"/>
        <item x="44"/>
        <item x="18"/>
        <item x="15"/>
        <item x="20"/>
        <item x="54"/>
        <item x="56"/>
        <item x="59"/>
        <item x="30"/>
        <item x="60"/>
        <item x="19"/>
        <item x="47"/>
        <item x="8"/>
        <item x="10"/>
        <item x="16"/>
        <item t="default"/>
      </items>
    </pivotField>
    <pivotField showAll="0"/>
    <pivotField showAll="0"/>
    <pivotField showAll="0">
      <items count="4">
        <item x="0"/>
        <item x="1"/>
        <item x="2"/>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7"/>
    <field x="16"/>
  </rowFields>
  <rowItems count="5">
    <i>
      <x v="1"/>
    </i>
    <i r="1">
      <x v="1"/>
    </i>
    <i r="1">
      <x v="2"/>
    </i>
    <i r="1">
      <x v="3"/>
    </i>
    <i t="grand">
      <x/>
    </i>
  </rowItems>
  <colItems count="1">
    <i/>
  </colItems>
  <dataFields count="1">
    <dataField name="Sum of Total_Sales" fld="10"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258EBC-9A74-4361-9778-C326B9729F05}"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24:B27" firstHeaderRow="1" firstDataRow="1" firstDataCol="1"/>
  <pivotFields count="18">
    <pivotField showAll="0"/>
    <pivotField showAll="0"/>
    <pivotField showAll="0"/>
    <pivotField showAll="0"/>
    <pivotField showAll="0"/>
    <pivotField axis="axisRow" showAll="0">
      <items count="3">
        <item x="1"/>
        <item x="0"/>
        <item t="default"/>
      </items>
    </pivotField>
    <pivotField showAll="0"/>
    <pivotField showAll="0"/>
    <pivotField showAll="0"/>
    <pivotField numFmtId="165" showAll="0"/>
    <pivotField dataField="1" numFmtId="165" showAll="0"/>
    <pivotField numFmtId="14" showAll="0">
      <items count="62">
        <item x="45"/>
        <item x="29"/>
        <item x="39"/>
        <item x="40"/>
        <item x="22"/>
        <item x="36"/>
        <item x="0"/>
        <item x="32"/>
        <item x="35"/>
        <item x="33"/>
        <item x="3"/>
        <item x="12"/>
        <item x="7"/>
        <item x="41"/>
        <item x="38"/>
        <item x="50"/>
        <item x="51"/>
        <item x="26"/>
        <item x="17"/>
        <item x="53"/>
        <item x="46"/>
        <item x="2"/>
        <item x="27"/>
        <item x="37"/>
        <item x="43"/>
        <item x="28"/>
        <item x="9"/>
        <item x="6"/>
        <item x="5"/>
        <item x="11"/>
        <item x="58"/>
        <item x="13"/>
        <item x="4"/>
        <item x="25"/>
        <item x="49"/>
        <item x="1"/>
        <item x="48"/>
        <item x="42"/>
        <item x="55"/>
        <item x="57"/>
        <item x="31"/>
        <item x="52"/>
        <item x="23"/>
        <item x="21"/>
        <item x="34"/>
        <item x="14"/>
        <item x="24"/>
        <item x="44"/>
        <item x="18"/>
        <item x="15"/>
        <item x="20"/>
        <item x="54"/>
        <item x="56"/>
        <item x="59"/>
        <item x="30"/>
        <item x="60"/>
        <item x="19"/>
        <item x="47"/>
        <item x="8"/>
        <item x="10"/>
        <item x="1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3">
    <i>
      <x/>
    </i>
    <i>
      <x v="1"/>
    </i>
    <i t="grand">
      <x/>
    </i>
  </rowItems>
  <colItems count="1">
    <i/>
  </colItems>
  <dataFields count="1">
    <dataField name="Sum of Total_Sales" fld="10" baseField="0" baseItem="0" numFmtId="165"/>
  </dataFields>
  <chartFormats count="4">
    <chartFormat chart="9"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A36AF3-AC1A-4010-B6AB-7B63FE88B1E4}"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4:B20" firstHeaderRow="1" firstDataRow="1" firstDataCol="1"/>
  <pivotFields count="18">
    <pivotField showAll="0"/>
    <pivotField showAll="0"/>
    <pivotField showAll="0"/>
    <pivotField showAll="0"/>
    <pivotField showAll="0"/>
    <pivotField showAll="0"/>
    <pivotField showAll="0"/>
    <pivotField showAll="0">
      <items count="4">
        <item x="2"/>
        <item x="1"/>
        <item x="0"/>
        <item t="default"/>
      </items>
    </pivotField>
    <pivotField showAll="0"/>
    <pivotField numFmtId="165" showAll="0"/>
    <pivotField dataField="1" numFmtId="165" showAll="0"/>
    <pivotField numFmtId="14" showAll="0">
      <items count="62">
        <item x="45"/>
        <item x="29"/>
        <item x="39"/>
        <item x="40"/>
        <item x="22"/>
        <item x="36"/>
        <item x="0"/>
        <item x="32"/>
        <item x="35"/>
        <item x="33"/>
        <item x="3"/>
        <item x="12"/>
        <item x="7"/>
        <item x="41"/>
        <item x="38"/>
        <item x="50"/>
        <item x="51"/>
        <item x="26"/>
        <item x="17"/>
        <item x="53"/>
        <item x="46"/>
        <item x="2"/>
        <item x="27"/>
        <item x="37"/>
        <item x="43"/>
        <item x="28"/>
        <item x="9"/>
        <item x="6"/>
        <item x="5"/>
        <item x="11"/>
        <item x="58"/>
        <item x="13"/>
        <item x="4"/>
        <item x="25"/>
        <item x="49"/>
        <item x="1"/>
        <item x="48"/>
        <item x="42"/>
        <item x="55"/>
        <item x="57"/>
        <item x="31"/>
        <item x="52"/>
        <item x="23"/>
        <item x="21"/>
        <item x="34"/>
        <item x="14"/>
        <item x="24"/>
        <item x="44"/>
        <item x="18"/>
        <item x="15"/>
        <item x="20"/>
        <item x="54"/>
        <item x="56"/>
        <item x="59"/>
        <item x="30"/>
        <item x="60"/>
        <item x="19"/>
        <item x="47"/>
        <item x="8"/>
        <item x="10"/>
        <item x="16"/>
        <item t="default"/>
      </items>
    </pivotField>
    <pivotField showAll="0">
      <items count="4">
        <item x="0"/>
        <item x="1"/>
        <item x="2"/>
        <item t="default"/>
      </items>
    </pivotField>
    <pivotField axis="axisRow" showAll="0">
      <items count="6">
        <item x="4"/>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3"/>
  </rowFields>
  <rowItems count="6">
    <i>
      <x/>
    </i>
    <i>
      <x v="1"/>
    </i>
    <i>
      <x v="2"/>
    </i>
    <i>
      <x v="3"/>
    </i>
    <i>
      <x v="4"/>
    </i>
    <i t="grand">
      <x/>
    </i>
  </rowItems>
  <colItems count="1">
    <i/>
  </colItems>
  <dataFields count="1">
    <dataField name="Sum of Total_Sales" fld="10" baseField="0" baseItem="0" numFmtId="165"/>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990677-E4D9-47CE-BAA6-4BD61595BF82}"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10" firstHeaderRow="1" firstDataRow="1" firstDataCol="1"/>
  <pivotFields count="18">
    <pivotField showAll="0"/>
    <pivotField showAll="0"/>
    <pivotField showAll="0"/>
    <pivotField showAll="0"/>
    <pivotField showAll="0"/>
    <pivotField showAll="0"/>
    <pivotField axis="axisRow" showAll="0">
      <items count="9">
        <item x="7"/>
        <item x="1"/>
        <item x="6"/>
        <item x="0"/>
        <item x="2"/>
        <item x="4"/>
        <item x="3"/>
        <item x="5"/>
        <item t="default"/>
      </items>
    </pivotField>
    <pivotField showAll="0"/>
    <pivotField showAll="0"/>
    <pivotField numFmtId="165" showAll="0"/>
    <pivotField dataField="1" numFmtId="165" showAll="0"/>
    <pivotField numFmtId="14" showAll="0">
      <items count="62">
        <item x="45"/>
        <item x="29"/>
        <item x="39"/>
        <item x="40"/>
        <item x="22"/>
        <item x="36"/>
        <item x="0"/>
        <item x="32"/>
        <item x="35"/>
        <item x="33"/>
        <item x="3"/>
        <item x="12"/>
        <item x="7"/>
        <item x="41"/>
        <item x="38"/>
        <item x="50"/>
        <item x="51"/>
        <item x="26"/>
        <item x="17"/>
        <item x="53"/>
        <item x="46"/>
        <item x="2"/>
        <item x="27"/>
        <item x="37"/>
        <item x="43"/>
        <item x="28"/>
        <item x="9"/>
        <item x="6"/>
        <item x="5"/>
        <item x="11"/>
        <item x="58"/>
        <item x="13"/>
        <item x="4"/>
        <item x="25"/>
        <item x="49"/>
        <item x="1"/>
        <item x="48"/>
        <item x="42"/>
        <item x="55"/>
        <item x="57"/>
        <item x="31"/>
        <item x="52"/>
        <item x="23"/>
        <item x="21"/>
        <item x="34"/>
        <item x="14"/>
        <item x="24"/>
        <item x="44"/>
        <item x="18"/>
        <item x="15"/>
        <item x="20"/>
        <item x="54"/>
        <item x="56"/>
        <item x="59"/>
        <item x="30"/>
        <item x="60"/>
        <item x="19"/>
        <item x="47"/>
        <item x="8"/>
        <item x="10"/>
        <item x="1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6"/>
  </rowFields>
  <rowItems count="9">
    <i>
      <x/>
    </i>
    <i>
      <x v="1"/>
    </i>
    <i>
      <x v="2"/>
    </i>
    <i>
      <x v="3"/>
    </i>
    <i>
      <x v="4"/>
    </i>
    <i>
      <x v="5"/>
    </i>
    <i>
      <x v="6"/>
    </i>
    <i>
      <x v="7"/>
    </i>
    <i t="grand">
      <x/>
    </i>
  </rowItems>
  <colItems count="1">
    <i/>
  </colItems>
  <dataFields count="1">
    <dataField name="Sum of Total_Sales" fld="10"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E4ACC438-D0AF-408A-B747-CBB66496DB1D}" autoFormatId="16" applyNumberFormats="0" applyBorderFormats="0" applyFontFormats="0" applyPatternFormats="0" applyAlignmentFormats="0" applyWidthHeightFormats="0">
  <queryTableRefresh nextId="24">
    <queryTableFields count="16">
      <queryTableField id="1" name="Order ID" tableColumnId="1"/>
      <queryTableField id="2" name="Customer Name" tableColumnId="2"/>
      <queryTableField id="17" dataBound="0" tableColumnId="16"/>
      <queryTableField id="3" name="Age" tableColumnId="3"/>
      <queryTableField id="11" name="Age_group" tableColumnId="11"/>
      <queryTableField id="4" name="Gender" tableColumnId="4"/>
      <queryTableField id="5" name="Product" tableColumnId="5"/>
      <queryTableField id="20" name="Category_1" tableColumnId="19"/>
      <queryTableField id="7" name="Quantity" tableColumnId="7"/>
      <queryTableField id="8" name="Price" tableColumnId="8"/>
      <queryTableField id="12" name="Total_Sales" tableColumnId="12"/>
      <queryTableField id="9" name="Order_Date" tableColumnId="9"/>
      <queryTableField id="19" dataBound="0" tableColumnId="18"/>
      <queryTableField id="10" name="City" tableColumnId="10"/>
      <queryTableField id="13" name="Month"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65409CC-323C-410E-A4D5-5592C53EC703}" sourceName="Gender">
  <pivotTables>
    <pivotTable tabId="8" name="PivotTable7"/>
  </pivotTables>
  <data>
    <tabular pivotCacheId="512644587">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4E11162-F1FA-431D-AAE8-1C3D06A3FE61}" sourceName="Product">
  <pivotTables>
    <pivotTable tabId="8" name="PivotTable7"/>
  </pivotTables>
  <data>
    <tabular pivotCacheId="512644587">
      <items count="8">
        <i x="7" s="1"/>
        <i x="1" s="1"/>
        <i x="6" s="1"/>
        <i x="0" s="1"/>
        <i x="2" s="1"/>
        <i x="4" s="1"/>
        <i x="3" s="1"/>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C088E0B-2506-4B56-B8E6-DB1EF163B608}" sourceName="City">
  <pivotTables>
    <pivotTable tabId="8" name="PivotTable7"/>
  </pivotTables>
  <data>
    <tabular pivotCacheId="512644587">
      <items count="5">
        <i x="4"/>
        <i x="2" s="1"/>
        <i x="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94585B6-30EC-4C46-9309-70AE1CC48A1F}" cache="Slicer_Gender" caption="Gender" rowHeight="234950"/>
  <slicer name="Product" xr10:uid="{B36DA86D-B3A9-4B0D-9D85-9034469BE922}" cache="Slicer_Product" caption="Product" rowHeight="234950"/>
  <slicer name="City" xr10:uid="{49D30417-BC24-40E4-A50E-45DB27F64EE6}"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B398D17-34C2-46AF-B6E7-FC25208EC4FD}" cache="Slicer_Gender" caption="Gender" rowHeight="234950"/>
  <slicer name="Product 1" xr10:uid="{BD2B1316-9DF4-4FB9-8EF9-E706C10C84C2}" cache="Slicer_Product" caption="Product" rowHeight="234950"/>
  <slicer name="City 1" xr10:uid="{8445623A-24AD-4710-A9B4-637CA71C3BB6}" cache="Slicer_City" caption="Cit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7BD712-F1D3-43A1-B108-F7388CB85501}" name="Table4__2" displayName="Table4__2" ref="A1:P1001" tableType="queryTable" totalsRowShown="0">
  <autoFilter ref="A1:P1001" xr:uid="{6F7BD712-F1D3-43A1-B108-F7388CB85501}"/>
  <sortState xmlns:xlrd2="http://schemas.microsoft.com/office/spreadsheetml/2017/richdata2" ref="A2:P1001">
    <sortCondition ref="O1:O1001"/>
  </sortState>
  <tableColumns count="16">
    <tableColumn id="1" xr3:uid="{E4A2DFAD-5136-4E1B-8FA9-28D508FC2B46}" uniqueName="1" name="Order ID" queryTableFieldId="1" dataDxfId="14"/>
    <tableColumn id="2" xr3:uid="{ACDC8886-34A6-4D9A-8DBF-F179DB23DB07}" uniqueName="2" name="Customer Name" queryTableFieldId="2" dataDxfId="13"/>
    <tableColumn id="16" xr3:uid="{C3B1EC42-E23E-47F4-96B1-267849F79F6D}" uniqueName="16" name="Age_Category" queryTableFieldId="17" dataDxfId="12">
      <calculatedColumnFormula>IF(D2="","Unknown",IF(D2&lt;20,"Teen",IF(D2&lt;40,"Adult","Senior")))</calculatedColumnFormula>
    </tableColumn>
    <tableColumn id="3" xr3:uid="{0C88374B-5BE7-4135-935B-0C6F034ED9F1}" uniqueName="3" name="Age" queryTableFieldId="3" dataDxfId="11"/>
    <tableColumn id="11" xr3:uid="{DC37302F-CDF4-4BE9-B863-892ABC0E944C}" uniqueName="11" name="Age_group" queryTableFieldId="11" dataDxfId="10"/>
    <tableColumn id="4" xr3:uid="{550E3A74-9F8A-4B8C-8ED7-1D43D03CE43A}" uniqueName="4" name="Gender" queryTableFieldId="4" dataDxfId="9"/>
    <tableColumn id="5" xr3:uid="{84AD9BF2-D5C5-4612-866E-62626466528E}" uniqueName="5" name="Product" queryTableFieldId="5" dataDxfId="8"/>
    <tableColumn id="19" xr3:uid="{D52D2712-F0C1-4732-B0F1-3FFAA107830C}" uniqueName="19" name="Category_1" queryTableFieldId="20"/>
    <tableColumn id="7" xr3:uid="{46701C4B-310C-482E-B29A-60DDBEBE7D55}" uniqueName="7" name="Quantity" queryTableFieldId="7" dataDxfId="7"/>
    <tableColumn id="8" xr3:uid="{BF6950F2-B4C8-4AFB-8226-EB9ED386E6B1}" uniqueName="8" name="Price" queryTableFieldId="8" dataDxfId="6"/>
    <tableColumn id="12" xr3:uid="{53AD6E2C-64EB-4C5C-9F5B-2770747B9AEF}" uniqueName="12" name="Total_Sales" queryTableFieldId="12" dataDxfId="5" dataCellStyle="Currency"/>
    <tableColumn id="9" xr3:uid="{439B4CEA-4DEF-47BB-8457-EAD74B1803E7}" uniqueName="9" name="Order_Date" queryTableFieldId="9" dataDxfId="4"/>
    <tableColumn id="18" xr3:uid="{99A9E10B-12C2-4A66-8328-6C48CD14296C}" uniqueName="18" name="Sales Category2" queryTableFieldId="19" dataDxfId="3" dataCellStyle="Currency">
      <calculatedColumnFormula>IF(K2&gt;10000,"High",IF(K2&gt;5000,"Medium","Low"))</calculatedColumnFormula>
    </tableColumn>
    <tableColumn id="10" xr3:uid="{58331F18-3323-42A0-BE5A-C849DFB0E596}" uniqueName="10" name="City" queryTableFieldId="10" dataDxfId="2"/>
    <tableColumn id="13" xr3:uid="{F93EEA69-85C5-4F9E-B630-35E689D1C3AC}" uniqueName="13" name="Month" queryTableFieldId="13" dataDxfId="1"/>
    <tableColumn id="14" xr3:uid="{7A1FC883-DA91-44C1-92E7-742E90E3C4C2}" uniqueName="14" name="Year"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5"/>
  <sheetViews>
    <sheetView workbookViewId="0">
      <selection activeCell="D2" sqref="D2"/>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v>1001</v>
      </c>
      <c r="B2" t="s">
        <v>10</v>
      </c>
      <c r="C2">
        <v>50</v>
      </c>
      <c r="D2" t="s">
        <v>11</v>
      </c>
      <c r="E2" t="s">
        <v>12</v>
      </c>
      <c r="F2" t="s">
        <v>13</v>
      </c>
      <c r="G2">
        <v>0</v>
      </c>
      <c r="H2">
        <v>13960</v>
      </c>
      <c r="I2" t="s">
        <v>14</v>
      </c>
      <c r="J2" t="s">
        <v>15</v>
      </c>
    </row>
    <row r="3" spans="1:10" x14ac:dyDescent="0.3">
      <c r="A3">
        <v>1002</v>
      </c>
      <c r="B3" t="s">
        <v>16</v>
      </c>
      <c r="C3">
        <v>34</v>
      </c>
      <c r="D3" t="s">
        <v>17</v>
      </c>
      <c r="E3" t="s">
        <v>18</v>
      </c>
      <c r="F3" t="s">
        <v>13</v>
      </c>
      <c r="G3">
        <v>3</v>
      </c>
      <c r="H3">
        <v>6733</v>
      </c>
      <c r="I3" t="s">
        <v>19</v>
      </c>
      <c r="J3" t="s">
        <v>20</v>
      </c>
    </row>
    <row r="4" spans="1:10" x14ac:dyDescent="0.3">
      <c r="A4">
        <v>1003</v>
      </c>
      <c r="B4" t="s">
        <v>21</v>
      </c>
      <c r="D4" t="s">
        <v>22</v>
      </c>
      <c r="E4" t="s">
        <v>23</v>
      </c>
      <c r="F4" t="s">
        <v>13</v>
      </c>
      <c r="G4">
        <v>0</v>
      </c>
      <c r="H4">
        <v>49737</v>
      </c>
      <c r="I4" t="s">
        <v>24</v>
      </c>
      <c r="J4" t="s">
        <v>20</v>
      </c>
    </row>
    <row r="5" spans="1:10" x14ac:dyDescent="0.3">
      <c r="A5">
        <v>1004</v>
      </c>
      <c r="B5" t="s">
        <v>25</v>
      </c>
      <c r="C5">
        <v>40</v>
      </c>
      <c r="D5" t="s">
        <v>26</v>
      </c>
      <c r="E5" t="s">
        <v>27</v>
      </c>
      <c r="F5" t="s">
        <v>13</v>
      </c>
      <c r="G5">
        <v>0</v>
      </c>
      <c r="H5">
        <v>-1000</v>
      </c>
      <c r="I5" t="s">
        <v>28</v>
      </c>
      <c r="J5" t="s">
        <v>29</v>
      </c>
    </row>
    <row r="6" spans="1:10" x14ac:dyDescent="0.3">
      <c r="A6">
        <v>1005</v>
      </c>
      <c r="B6" t="s">
        <v>16</v>
      </c>
      <c r="C6">
        <v>45</v>
      </c>
      <c r="D6" t="s">
        <v>22</v>
      </c>
      <c r="E6" t="s">
        <v>27</v>
      </c>
      <c r="F6" t="s">
        <v>30</v>
      </c>
      <c r="G6">
        <v>4</v>
      </c>
      <c r="H6">
        <v>0</v>
      </c>
      <c r="I6" t="s">
        <v>31</v>
      </c>
      <c r="J6" t="s">
        <v>29</v>
      </c>
    </row>
    <row r="7" spans="1:10" x14ac:dyDescent="0.3">
      <c r="A7">
        <v>1006</v>
      </c>
      <c r="B7" t="s">
        <v>32</v>
      </c>
      <c r="D7" t="s">
        <v>17</v>
      </c>
      <c r="E7" t="s">
        <v>27</v>
      </c>
      <c r="F7" t="s">
        <v>33</v>
      </c>
      <c r="G7">
        <v>0</v>
      </c>
      <c r="H7">
        <v>-1000</v>
      </c>
      <c r="I7" t="s">
        <v>34</v>
      </c>
      <c r="J7" t="s">
        <v>29</v>
      </c>
    </row>
    <row r="8" spans="1:10" x14ac:dyDescent="0.3">
      <c r="A8">
        <v>1007</v>
      </c>
      <c r="B8" t="s">
        <v>35</v>
      </c>
      <c r="C8">
        <v>32</v>
      </c>
      <c r="D8" t="s">
        <v>26</v>
      </c>
      <c r="E8" t="s">
        <v>27</v>
      </c>
      <c r="F8" t="s">
        <v>36</v>
      </c>
      <c r="G8">
        <v>2</v>
      </c>
      <c r="H8">
        <v>0</v>
      </c>
      <c r="I8" t="s">
        <v>37</v>
      </c>
      <c r="J8" t="s">
        <v>29</v>
      </c>
    </row>
    <row r="9" spans="1:10" x14ac:dyDescent="0.3">
      <c r="A9">
        <v>1008</v>
      </c>
      <c r="B9" t="s">
        <v>38</v>
      </c>
      <c r="D9" t="s">
        <v>22</v>
      </c>
      <c r="E9" t="s">
        <v>27</v>
      </c>
      <c r="F9" t="s">
        <v>33</v>
      </c>
      <c r="G9">
        <v>3</v>
      </c>
      <c r="H9">
        <v>2505</v>
      </c>
      <c r="I9" t="s">
        <v>39</v>
      </c>
      <c r="J9" t="s">
        <v>15</v>
      </c>
    </row>
    <row r="10" spans="1:10" x14ac:dyDescent="0.3">
      <c r="A10">
        <v>1009</v>
      </c>
      <c r="B10" t="s">
        <v>35</v>
      </c>
      <c r="D10" t="s">
        <v>40</v>
      </c>
      <c r="E10" t="s">
        <v>41</v>
      </c>
      <c r="F10" t="s">
        <v>30</v>
      </c>
      <c r="G10">
        <v>5</v>
      </c>
      <c r="H10">
        <v>15644</v>
      </c>
      <c r="I10" t="s">
        <v>42</v>
      </c>
      <c r="J10" t="s">
        <v>43</v>
      </c>
    </row>
    <row r="11" spans="1:10" x14ac:dyDescent="0.3">
      <c r="A11">
        <v>1010</v>
      </c>
      <c r="B11" t="s">
        <v>35</v>
      </c>
      <c r="C11">
        <v>28</v>
      </c>
      <c r="D11" t="s">
        <v>17</v>
      </c>
      <c r="E11" t="s">
        <v>44</v>
      </c>
      <c r="F11" t="s">
        <v>13</v>
      </c>
      <c r="G11">
        <v>0</v>
      </c>
      <c r="H11">
        <v>5945</v>
      </c>
      <c r="I11" t="s">
        <v>39</v>
      </c>
      <c r="J11" t="s">
        <v>45</v>
      </c>
    </row>
    <row r="12" spans="1:10" x14ac:dyDescent="0.3">
      <c r="A12">
        <v>1011</v>
      </c>
      <c r="B12" t="s">
        <v>46</v>
      </c>
      <c r="D12" t="s">
        <v>26</v>
      </c>
      <c r="E12" t="s">
        <v>41</v>
      </c>
      <c r="F12" t="s">
        <v>13</v>
      </c>
      <c r="G12">
        <v>2</v>
      </c>
      <c r="H12">
        <v>-1000</v>
      </c>
      <c r="I12" t="s">
        <v>47</v>
      </c>
      <c r="J12" t="s">
        <v>43</v>
      </c>
    </row>
    <row r="13" spans="1:10" x14ac:dyDescent="0.3">
      <c r="A13">
        <v>1012</v>
      </c>
      <c r="B13" t="s">
        <v>48</v>
      </c>
      <c r="C13">
        <v>48</v>
      </c>
      <c r="D13" t="s">
        <v>22</v>
      </c>
      <c r="E13" t="s">
        <v>27</v>
      </c>
      <c r="F13" t="s">
        <v>13</v>
      </c>
      <c r="G13">
        <v>2</v>
      </c>
      <c r="H13">
        <v>-1000</v>
      </c>
      <c r="I13" t="s">
        <v>49</v>
      </c>
      <c r="J13" t="s">
        <v>29</v>
      </c>
    </row>
    <row r="14" spans="1:10" x14ac:dyDescent="0.3">
      <c r="A14">
        <v>1013</v>
      </c>
      <c r="B14" t="s">
        <v>48</v>
      </c>
      <c r="D14" t="s">
        <v>26</v>
      </c>
      <c r="E14" t="s">
        <v>18</v>
      </c>
      <c r="F14" t="s">
        <v>30</v>
      </c>
      <c r="G14">
        <v>0</v>
      </c>
      <c r="H14">
        <v>0</v>
      </c>
      <c r="I14" t="s">
        <v>50</v>
      </c>
      <c r="J14" t="s">
        <v>45</v>
      </c>
    </row>
    <row r="15" spans="1:10" x14ac:dyDescent="0.3">
      <c r="A15">
        <v>1014</v>
      </c>
      <c r="B15" t="s">
        <v>25</v>
      </c>
      <c r="D15" t="s">
        <v>11</v>
      </c>
      <c r="E15" t="s">
        <v>51</v>
      </c>
      <c r="F15" t="s">
        <v>36</v>
      </c>
      <c r="G15">
        <v>0</v>
      </c>
      <c r="H15">
        <v>0</v>
      </c>
      <c r="I15" t="s">
        <v>52</v>
      </c>
      <c r="J15" t="s">
        <v>20</v>
      </c>
    </row>
    <row r="16" spans="1:10" x14ac:dyDescent="0.3">
      <c r="A16">
        <v>1015</v>
      </c>
      <c r="B16" t="s">
        <v>16</v>
      </c>
      <c r="C16">
        <v>48</v>
      </c>
      <c r="D16" t="s">
        <v>11</v>
      </c>
      <c r="E16" t="s">
        <v>12</v>
      </c>
      <c r="F16" t="s">
        <v>36</v>
      </c>
      <c r="G16">
        <v>0</v>
      </c>
      <c r="H16">
        <v>-1000</v>
      </c>
      <c r="I16" t="s">
        <v>53</v>
      </c>
      <c r="J16" t="s">
        <v>15</v>
      </c>
    </row>
    <row r="17" spans="1:10" x14ac:dyDescent="0.3">
      <c r="A17">
        <v>1016</v>
      </c>
      <c r="B17" t="s">
        <v>54</v>
      </c>
      <c r="D17" t="s">
        <v>17</v>
      </c>
      <c r="E17" t="s">
        <v>55</v>
      </c>
      <c r="F17" t="s">
        <v>30</v>
      </c>
      <c r="G17">
        <v>2</v>
      </c>
      <c r="H17">
        <v>0</v>
      </c>
      <c r="I17" t="s">
        <v>56</v>
      </c>
      <c r="J17" t="s">
        <v>29</v>
      </c>
    </row>
    <row r="18" spans="1:10" x14ac:dyDescent="0.3">
      <c r="A18">
        <v>1017</v>
      </c>
      <c r="B18" t="s">
        <v>57</v>
      </c>
      <c r="D18" t="s">
        <v>22</v>
      </c>
      <c r="E18" t="s">
        <v>55</v>
      </c>
      <c r="F18" t="s">
        <v>13</v>
      </c>
      <c r="G18">
        <v>1</v>
      </c>
      <c r="H18">
        <v>34599</v>
      </c>
      <c r="I18" t="s">
        <v>58</v>
      </c>
      <c r="J18" t="s">
        <v>45</v>
      </c>
    </row>
    <row r="19" spans="1:10" x14ac:dyDescent="0.3">
      <c r="A19">
        <v>1018</v>
      </c>
      <c r="B19" t="s">
        <v>59</v>
      </c>
      <c r="C19">
        <v>26</v>
      </c>
      <c r="D19" t="s">
        <v>26</v>
      </c>
      <c r="E19" t="s">
        <v>41</v>
      </c>
      <c r="F19" t="s">
        <v>36</v>
      </c>
      <c r="G19">
        <v>0</v>
      </c>
      <c r="H19">
        <v>-1000</v>
      </c>
      <c r="I19" t="s">
        <v>60</v>
      </c>
      <c r="J19" t="s">
        <v>20</v>
      </c>
    </row>
    <row r="20" spans="1:10" x14ac:dyDescent="0.3">
      <c r="A20">
        <v>1019</v>
      </c>
      <c r="B20" t="s">
        <v>32</v>
      </c>
      <c r="D20" t="s">
        <v>11</v>
      </c>
      <c r="E20" t="s">
        <v>18</v>
      </c>
      <c r="F20" t="s">
        <v>13</v>
      </c>
      <c r="G20">
        <v>1</v>
      </c>
      <c r="H20">
        <v>0</v>
      </c>
      <c r="I20" t="s">
        <v>61</v>
      </c>
      <c r="J20" t="s">
        <v>43</v>
      </c>
    </row>
    <row r="21" spans="1:10" x14ac:dyDescent="0.3">
      <c r="A21">
        <v>1020</v>
      </c>
      <c r="B21" t="s">
        <v>62</v>
      </c>
      <c r="D21" t="s">
        <v>22</v>
      </c>
      <c r="E21" t="s">
        <v>18</v>
      </c>
      <c r="F21" t="s">
        <v>36</v>
      </c>
      <c r="G21">
        <v>0</v>
      </c>
      <c r="H21">
        <v>0</v>
      </c>
      <c r="I21" t="s">
        <v>63</v>
      </c>
      <c r="J21" t="s">
        <v>20</v>
      </c>
    </row>
    <row r="22" spans="1:10" x14ac:dyDescent="0.3">
      <c r="A22">
        <v>1021</v>
      </c>
      <c r="B22" t="s">
        <v>64</v>
      </c>
      <c r="C22">
        <v>19</v>
      </c>
      <c r="D22" t="s">
        <v>26</v>
      </c>
      <c r="E22" t="s">
        <v>23</v>
      </c>
      <c r="F22" t="s">
        <v>36</v>
      </c>
      <c r="G22">
        <v>0</v>
      </c>
      <c r="H22">
        <v>0</v>
      </c>
      <c r="I22" t="s">
        <v>65</v>
      </c>
      <c r="J22" t="s">
        <v>45</v>
      </c>
    </row>
    <row r="23" spans="1:10" x14ac:dyDescent="0.3">
      <c r="A23">
        <v>1022</v>
      </c>
      <c r="B23" t="s">
        <v>16</v>
      </c>
      <c r="C23">
        <v>28</v>
      </c>
      <c r="D23" t="s">
        <v>22</v>
      </c>
      <c r="E23" t="s">
        <v>44</v>
      </c>
      <c r="F23" t="s">
        <v>33</v>
      </c>
      <c r="G23">
        <v>0</v>
      </c>
      <c r="H23">
        <v>0</v>
      </c>
      <c r="I23" t="s">
        <v>66</v>
      </c>
      <c r="J23" t="s">
        <v>45</v>
      </c>
    </row>
    <row r="24" spans="1:10" x14ac:dyDescent="0.3">
      <c r="A24">
        <v>1023</v>
      </c>
      <c r="B24" t="s">
        <v>10</v>
      </c>
      <c r="C24">
        <v>43</v>
      </c>
      <c r="D24" t="s">
        <v>11</v>
      </c>
      <c r="E24" t="s">
        <v>18</v>
      </c>
      <c r="F24" t="s">
        <v>36</v>
      </c>
      <c r="G24">
        <v>0</v>
      </c>
      <c r="H24">
        <v>0</v>
      </c>
      <c r="I24" t="s">
        <v>67</v>
      </c>
      <c r="J24" t="s">
        <v>43</v>
      </c>
    </row>
    <row r="25" spans="1:10" x14ac:dyDescent="0.3">
      <c r="A25">
        <v>1024</v>
      </c>
      <c r="B25" t="s">
        <v>68</v>
      </c>
      <c r="C25">
        <v>46</v>
      </c>
      <c r="D25" t="s">
        <v>22</v>
      </c>
      <c r="E25" t="s">
        <v>51</v>
      </c>
      <c r="F25" t="s">
        <v>36</v>
      </c>
      <c r="G25">
        <v>0</v>
      </c>
      <c r="H25">
        <v>0</v>
      </c>
      <c r="I25" t="s">
        <v>31</v>
      </c>
      <c r="J25" t="s">
        <v>20</v>
      </c>
    </row>
    <row r="26" spans="1:10" x14ac:dyDescent="0.3">
      <c r="A26">
        <v>1025</v>
      </c>
      <c r="B26" t="s">
        <v>57</v>
      </c>
      <c r="C26">
        <v>45</v>
      </c>
      <c r="D26" t="s">
        <v>22</v>
      </c>
      <c r="E26" t="s">
        <v>18</v>
      </c>
      <c r="F26" t="s">
        <v>13</v>
      </c>
      <c r="G26">
        <v>5</v>
      </c>
      <c r="H26">
        <v>0</v>
      </c>
      <c r="I26" t="s">
        <v>47</v>
      </c>
      <c r="J26" t="s">
        <v>20</v>
      </c>
    </row>
    <row r="27" spans="1:10" x14ac:dyDescent="0.3">
      <c r="A27">
        <v>1026</v>
      </c>
      <c r="B27" t="s">
        <v>69</v>
      </c>
      <c r="D27" t="s">
        <v>22</v>
      </c>
      <c r="E27" t="s">
        <v>27</v>
      </c>
      <c r="F27" t="s">
        <v>33</v>
      </c>
      <c r="G27">
        <v>1</v>
      </c>
      <c r="H27">
        <v>16677</v>
      </c>
      <c r="I27" t="s">
        <v>70</v>
      </c>
      <c r="J27" t="s">
        <v>43</v>
      </c>
    </row>
    <row r="28" spans="1:10" x14ac:dyDescent="0.3">
      <c r="A28">
        <v>1027</v>
      </c>
      <c r="B28" t="s">
        <v>10</v>
      </c>
      <c r="C28">
        <v>47</v>
      </c>
      <c r="D28" t="s">
        <v>11</v>
      </c>
      <c r="E28" t="s">
        <v>51</v>
      </c>
      <c r="F28" t="s">
        <v>13</v>
      </c>
      <c r="G28">
        <v>0</v>
      </c>
      <c r="H28">
        <v>-1000</v>
      </c>
      <c r="I28" t="s">
        <v>71</v>
      </c>
      <c r="J28" t="s">
        <v>29</v>
      </c>
    </row>
    <row r="29" spans="1:10" x14ac:dyDescent="0.3">
      <c r="A29">
        <v>1028</v>
      </c>
      <c r="B29" t="s">
        <v>57</v>
      </c>
      <c r="C29">
        <v>29</v>
      </c>
      <c r="D29" t="s">
        <v>11</v>
      </c>
      <c r="E29" t="s">
        <v>55</v>
      </c>
      <c r="F29" t="s">
        <v>33</v>
      </c>
      <c r="G29">
        <v>2</v>
      </c>
      <c r="H29">
        <v>49227</v>
      </c>
      <c r="I29" t="s">
        <v>72</v>
      </c>
      <c r="J29" t="s">
        <v>15</v>
      </c>
    </row>
    <row r="30" spans="1:10" x14ac:dyDescent="0.3">
      <c r="A30">
        <v>1029</v>
      </c>
      <c r="B30" t="s">
        <v>73</v>
      </c>
      <c r="C30">
        <v>34</v>
      </c>
      <c r="D30" t="s">
        <v>22</v>
      </c>
      <c r="E30" t="s">
        <v>51</v>
      </c>
      <c r="F30" t="s">
        <v>30</v>
      </c>
      <c r="G30">
        <v>3</v>
      </c>
      <c r="H30">
        <v>-1000</v>
      </c>
      <c r="I30" t="s">
        <v>72</v>
      </c>
      <c r="J30" t="s">
        <v>43</v>
      </c>
    </row>
    <row r="31" spans="1:10" x14ac:dyDescent="0.3">
      <c r="A31">
        <v>1030</v>
      </c>
      <c r="B31" t="s">
        <v>25</v>
      </c>
      <c r="C31">
        <v>45</v>
      </c>
      <c r="D31" t="s">
        <v>26</v>
      </c>
      <c r="E31" t="s">
        <v>23</v>
      </c>
      <c r="F31" t="s">
        <v>36</v>
      </c>
      <c r="G31">
        <v>3</v>
      </c>
      <c r="H31">
        <v>3754</v>
      </c>
      <c r="I31" t="s">
        <v>74</v>
      </c>
      <c r="J31" t="s">
        <v>45</v>
      </c>
    </row>
    <row r="32" spans="1:10" x14ac:dyDescent="0.3">
      <c r="A32">
        <v>1031</v>
      </c>
      <c r="B32" t="s">
        <v>64</v>
      </c>
      <c r="D32" t="s">
        <v>17</v>
      </c>
      <c r="E32" t="s">
        <v>27</v>
      </c>
      <c r="F32" t="s">
        <v>36</v>
      </c>
      <c r="G32">
        <v>5</v>
      </c>
      <c r="H32">
        <v>36400</v>
      </c>
      <c r="I32" t="s">
        <v>75</v>
      </c>
      <c r="J32" t="s">
        <v>45</v>
      </c>
    </row>
    <row r="33" spans="1:10" x14ac:dyDescent="0.3">
      <c r="A33">
        <v>1032</v>
      </c>
      <c r="B33" t="s">
        <v>73</v>
      </c>
      <c r="D33" t="s">
        <v>11</v>
      </c>
      <c r="E33" t="s">
        <v>12</v>
      </c>
      <c r="F33" t="s">
        <v>30</v>
      </c>
      <c r="G33">
        <v>1</v>
      </c>
      <c r="H33">
        <v>0</v>
      </c>
      <c r="I33" t="s">
        <v>39</v>
      </c>
      <c r="J33" t="s">
        <v>15</v>
      </c>
    </row>
    <row r="34" spans="1:10" x14ac:dyDescent="0.3">
      <c r="A34">
        <v>1033</v>
      </c>
      <c r="B34" t="s">
        <v>57</v>
      </c>
      <c r="D34" t="s">
        <v>22</v>
      </c>
      <c r="E34" t="s">
        <v>23</v>
      </c>
      <c r="F34" t="s">
        <v>13</v>
      </c>
      <c r="G34">
        <v>1</v>
      </c>
      <c r="H34">
        <v>-1000</v>
      </c>
      <c r="I34" t="s">
        <v>76</v>
      </c>
      <c r="J34" t="s">
        <v>43</v>
      </c>
    </row>
    <row r="35" spans="1:10" x14ac:dyDescent="0.3">
      <c r="A35">
        <v>1034</v>
      </c>
      <c r="B35" t="s">
        <v>25</v>
      </c>
      <c r="D35" t="s">
        <v>40</v>
      </c>
      <c r="E35" t="s">
        <v>23</v>
      </c>
      <c r="F35" t="s">
        <v>33</v>
      </c>
      <c r="G35">
        <v>0</v>
      </c>
      <c r="H35">
        <v>29455</v>
      </c>
      <c r="I35" t="s">
        <v>77</v>
      </c>
      <c r="J35" t="s">
        <v>45</v>
      </c>
    </row>
    <row r="36" spans="1:10" x14ac:dyDescent="0.3">
      <c r="A36">
        <v>1035</v>
      </c>
      <c r="B36" t="s">
        <v>78</v>
      </c>
      <c r="D36" t="s">
        <v>26</v>
      </c>
      <c r="E36" t="s">
        <v>44</v>
      </c>
      <c r="F36" t="s">
        <v>30</v>
      </c>
      <c r="G36">
        <v>5</v>
      </c>
      <c r="H36">
        <v>-1000</v>
      </c>
      <c r="I36" t="s">
        <v>79</v>
      </c>
      <c r="J36" t="s">
        <v>20</v>
      </c>
    </row>
    <row r="37" spans="1:10" x14ac:dyDescent="0.3">
      <c r="A37">
        <v>1036</v>
      </c>
      <c r="B37" t="s">
        <v>68</v>
      </c>
      <c r="D37" t="s">
        <v>11</v>
      </c>
      <c r="E37" t="s">
        <v>41</v>
      </c>
      <c r="F37" t="s">
        <v>33</v>
      </c>
      <c r="G37">
        <v>4</v>
      </c>
      <c r="H37">
        <v>0</v>
      </c>
      <c r="I37" t="s">
        <v>80</v>
      </c>
      <c r="J37" t="s">
        <v>45</v>
      </c>
    </row>
    <row r="38" spans="1:10" x14ac:dyDescent="0.3">
      <c r="A38">
        <v>1037</v>
      </c>
      <c r="B38" t="s">
        <v>62</v>
      </c>
      <c r="C38">
        <v>37</v>
      </c>
      <c r="D38" t="s">
        <v>40</v>
      </c>
      <c r="E38" t="s">
        <v>55</v>
      </c>
      <c r="F38" t="s">
        <v>30</v>
      </c>
      <c r="G38">
        <v>2</v>
      </c>
      <c r="H38">
        <v>0</v>
      </c>
      <c r="I38" t="s">
        <v>81</v>
      </c>
      <c r="J38" t="s">
        <v>43</v>
      </c>
    </row>
    <row r="39" spans="1:10" x14ac:dyDescent="0.3">
      <c r="A39">
        <v>1038</v>
      </c>
      <c r="B39" t="s">
        <v>62</v>
      </c>
      <c r="C39">
        <v>40</v>
      </c>
      <c r="D39" t="s">
        <v>22</v>
      </c>
      <c r="E39" t="s">
        <v>12</v>
      </c>
      <c r="F39" t="s">
        <v>30</v>
      </c>
      <c r="G39">
        <v>0</v>
      </c>
      <c r="H39">
        <v>35763</v>
      </c>
      <c r="I39" t="s">
        <v>82</v>
      </c>
      <c r="J39" t="s">
        <v>43</v>
      </c>
    </row>
    <row r="40" spans="1:10" x14ac:dyDescent="0.3">
      <c r="A40">
        <v>1039</v>
      </c>
      <c r="B40" t="s">
        <v>78</v>
      </c>
      <c r="C40">
        <v>47</v>
      </c>
      <c r="D40" t="s">
        <v>17</v>
      </c>
      <c r="E40" t="s">
        <v>51</v>
      </c>
      <c r="F40" t="s">
        <v>36</v>
      </c>
      <c r="G40">
        <v>5</v>
      </c>
      <c r="H40">
        <v>0</v>
      </c>
      <c r="I40" t="s">
        <v>83</v>
      </c>
      <c r="J40" t="s">
        <v>20</v>
      </c>
    </row>
    <row r="41" spans="1:10" x14ac:dyDescent="0.3">
      <c r="A41">
        <v>1040</v>
      </c>
      <c r="B41" t="s">
        <v>16</v>
      </c>
      <c r="D41" t="s">
        <v>11</v>
      </c>
      <c r="E41" t="s">
        <v>23</v>
      </c>
      <c r="F41" t="s">
        <v>33</v>
      </c>
      <c r="G41">
        <v>0</v>
      </c>
      <c r="H41">
        <v>-1000</v>
      </c>
      <c r="I41" t="s">
        <v>84</v>
      </c>
      <c r="J41" t="s">
        <v>43</v>
      </c>
    </row>
    <row r="42" spans="1:10" x14ac:dyDescent="0.3">
      <c r="A42">
        <v>1041</v>
      </c>
      <c r="B42" t="s">
        <v>68</v>
      </c>
      <c r="C42">
        <v>28</v>
      </c>
      <c r="D42" t="s">
        <v>22</v>
      </c>
      <c r="E42" t="s">
        <v>41</v>
      </c>
      <c r="F42" t="s">
        <v>33</v>
      </c>
      <c r="G42">
        <v>4</v>
      </c>
      <c r="H42">
        <v>-1000</v>
      </c>
      <c r="I42" t="s">
        <v>85</v>
      </c>
      <c r="J42" t="s">
        <v>45</v>
      </c>
    </row>
    <row r="43" spans="1:10" x14ac:dyDescent="0.3">
      <c r="A43">
        <v>1042</v>
      </c>
      <c r="B43" t="s">
        <v>25</v>
      </c>
      <c r="D43" t="s">
        <v>11</v>
      </c>
      <c r="E43" t="s">
        <v>23</v>
      </c>
      <c r="F43" t="s">
        <v>13</v>
      </c>
      <c r="G43">
        <v>0</v>
      </c>
      <c r="H43">
        <v>9264</v>
      </c>
      <c r="I43" t="s">
        <v>86</v>
      </c>
      <c r="J43" t="s">
        <v>29</v>
      </c>
    </row>
    <row r="44" spans="1:10" x14ac:dyDescent="0.3">
      <c r="A44">
        <v>1043</v>
      </c>
      <c r="B44" t="s">
        <v>64</v>
      </c>
      <c r="D44" t="s">
        <v>22</v>
      </c>
      <c r="E44" t="s">
        <v>12</v>
      </c>
      <c r="F44" t="s">
        <v>36</v>
      </c>
      <c r="G44">
        <v>5</v>
      </c>
      <c r="H44">
        <v>1557</v>
      </c>
      <c r="I44" t="s">
        <v>87</v>
      </c>
      <c r="J44" t="s">
        <v>43</v>
      </c>
    </row>
    <row r="45" spans="1:10" x14ac:dyDescent="0.3">
      <c r="A45">
        <v>1044</v>
      </c>
      <c r="B45" t="s">
        <v>32</v>
      </c>
      <c r="D45" t="s">
        <v>40</v>
      </c>
      <c r="E45" t="s">
        <v>27</v>
      </c>
      <c r="F45" t="s">
        <v>33</v>
      </c>
      <c r="G45">
        <v>0</v>
      </c>
      <c r="H45">
        <v>49020</v>
      </c>
      <c r="I45" t="s">
        <v>88</v>
      </c>
      <c r="J45" t="s">
        <v>43</v>
      </c>
    </row>
    <row r="46" spans="1:10" x14ac:dyDescent="0.3">
      <c r="A46">
        <v>1045</v>
      </c>
      <c r="B46" t="s">
        <v>16</v>
      </c>
      <c r="C46">
        <v>46</v>
      </c>
      <c r="D46" t="s">
        <v>40</v>
      </c>
      <c r="E46" t="s">
        <v>51</v>
      </c>
      <c r="F46" t="s">
        <v>13</v>
      </c>
      <c r="G46">
        <v>3</v>
      </c>
      <c r="H46">
        <v>0</v>
      </c>
      <c r="I46" t="s">
        <v>89</v>
      </c>
      <c r="J46" t="s">
        <v>45</v>
      </c>
    </row>
    <row r="47" spans="1:10" x14ac:dyDescent="0.3">
      <c r="A47">
        <v>1046</v>
      </c>
      <c r="B47" t="s">
        <v>57</v>
      </c>
      <c r="D47" t="s">
        <v>17</v>
      </c>
      <c r="E47" t="s">
        <v>51</v>
      </c>
      <c r="F47" t="s">
        <v>13</v>
      </c>
      <c r="G47">
        <v>0</v>
      </c>
      <c r="H47">
        <v>-1000</v>
      </c>
      <c r="I47" t="s">
        <v>90</v>
      </c>
      <c r="J47" t="s">
        <v>43</v>
      </c>
    </row>
    <row r="48" spans="1:10" x14ac:dyDescent="0.3">
      <c r="A48">
        <v>1047</v>
      </c>
      <c r="B48" t="s">
        <v>78</v>
      </c>
      <c r="D48" t="s">
        <v>22</v>
      </c>
      <c r="E48" t="s">
        <v>51</v>
      </c>
      <c r="F48" t="s">
        <v>13</v>
      </c>
      <c r="G48">
        <v>0</v>
      </c>
      <c r="H48">
        <v>-1000</v>
      </c>
      <c r="I48" t="s">
        <v>91</v>
      </c>
      <c r="J48" t="s">
        <v>20</v>
      </c>
    </row>
    <row r="49" spans="1:10" x14ac:dyDescent="0.3">
      <c r="A49">
        <v>1048</v>
      </c>
      <c r="B49" t="s">
        <v>48</v>
      </c>
      <c r="C49">
        <v>25</v>
      </c>
      <c r="D49" t="s">
        <v>22</v>
      </c>
      <c r="E49" t="s">
        <v>44</v>
      </c>
      <c r="F49" t="s">
        <v>30</v>
      </c>
      <c r="G49">
        <v>0</v>
      </c>
      <c r="H49">
        <v>18392</v>
      </c>
      <c r="I49" t="s">
        <v>28</v>
      </c>
      <c r="J49" t="s">
        <v>15</v>
      </c>
    </row>
    <row r="50" spans="1:10" x14ac:dyDescent="0.3">
      <c r="A50">
        <v>1049</v>
      </c>
      <c r="B50" t="s">
        <v>62</v>
      </c>
      <c r="D50" t="s">
        <v>22</v>
      </c>
      <c r="E50" t="s">
        <v>18</v>
      </c>
      <c r="F50" t="s">
        <v>33</v>
      </c>
      <c r="G50">
        <v>0</v>
      </c>
      <c r="H50">
        <v>-1000</v>
      </c>
      <c r="I50" t="s">
        <v>92</v>
      </c>
      <c r="J50" t="s">
        <v>20</v>
      </c>
    </row>
    <row r="51" spans="1:10" x14ac:dyDescent="0.3">
      <c r="A51">
        <v>1050</v>
      </c>
      <c r="B51" t="s">
        <v>38</v>
      </c>
      <c r="D51" t="s">
        <v>40</v>
      </c>
      <c r="E51" t="s">
        <v>12</v>
      </c>
      <c r="F51" t="s">
        <v>33</v>
      </c>
      <c r="G51">
        <v>0</v>
      </c>
      <c r="H51">
        <v>-1000</v>
      </c>
      <c r="I51" t="s">
        <v>93</v>
      </c>
      <c r="J51" t="s">
        <v>29</v>
      </c>
    </row>
    <row r="52" spans="1:10" x14ac:dyDescent="0.3">
      <c r="A52">
        <v>1051</v>
      </c>
      <c r="B52" t="s">
        <v>57</v>
      </c>
      <c r="C52">
        <v>24</v>
      </c>
      <c r="D52" t="s">
        <v>11</v>
      </c>
      <c r="E52" t="s">
        <v>23</v>
      </c>
      <c r="F52" t="s">
        <v>30</v>
      </c>
      <c r="G52">
        <v>0</v>
      </c>
      <c r="H52">
        <v>0</v>
      </c>
      <c r="I52" t="s">
        <v>94</v>
      </c>
      <c r="J52" t="s">
        <v>20</v>
      </c>
    </row>
    <row r="53" spans="1:10" x14ac:dyDescent="0.3">
      <c r="A53">
        <v>1052</v>
      </c>
      <c r="B53" t="s">
        <v>48</v>
      </c>
      <c r="C53">
        <v>47</v>
      </c>
      <c r="D53" t="s">
        <v>22</v>
      </c>
      <c r="E53" t="s">
        <v>41</v>
      </c>
      <c r="F53" t="s">
        <v>13</v>
      </c>
      <c r="G53">
        <v>0</v>
      </c>
      <c r="H53">
        <v>-1000</v>
      </c>
      <c r="I53" t="s">
        <v>95</v>
      </c>
      <c r="J53" t="s">
        <v>15</v>
      </c>
    </row>
    <row r="54" spans="1:10" x14ac:dyDescent="0.3">
      <c r="A54">
        <v>1053</v>
      </c>
      <c r="B54" t="s">
        <v>38</v>
      </c>
      <c r="C54">
        <v>27</v>
      </c>
      <c r="D54" t="s">
        <v>22</v>
      </c>
      <c r="E54" t="s">
        <v>27</v>
      </c>
      <c r="F54" t="s">
        <v>30</v>
      </c>
      <c r="G54">
        <v>0</v>
      </c>
      <c r="H54">
        <v>41672</v>
      </c>
      <c r="I54" t="s">
        <v>96</v>
      </c>
      <c r="J54" t="s">
        <v>43</v>
      </c>
    </row>
    <row r="55" spans="1:10" x14ac:dyDescent="0.3">
      <c r="A55">
        <v>1054</v>
      </c>
      <c r="B55" t="s">
        <v>64</v>
      </c>
      <c r="D55" t="s">
        <v>17</v>
      </c>
      <c r="E55" t="s">
        <v>51</v>
      </c>
      <c r="F55" t="s">
        <v>36</v>
      </c>
      <c r="G55">
        <v>4</v>
      </c>
      <c r="H55">
        <v>0</v>
      </c>
      <c r="I55" t="s">
        <v>97</v>
      </c>
      <c r="J55" t="s">
        <v>45</v>
      </c>
    </row>
    <row r="56" spans="1:10" x14ac:dyDescent="0.3">
      <c r="A56">
        <v>1055</v>
      </c>
      <c r="B56" t="s">
        <v>25</v>
      </c>
      <c r="D56" t="s">
        <v>22</v>
      </c>
      <c r="E56" t="s">
        <v>55</v>
      </c>
      <c r="F56" t="s">
        <v>30</v>
      </c>
      <c r="G56">
        <v>1</v>
      </c>
      <c r="H56">
        <v>0</v>
      </c>
      <c r="I56" t="s">
        <v>98</v>
      </c>
      <c r="J56" t="s">
        <v>29</v>
      </c>
    </row>
    <row r="57" spans="1:10" x14ac:dyDescent="0.3">
      <c r="A57">
        <v>1056</v>
      </c>
      <c r="B57" t="s">
        <v>46</v>
      </c>
      <c r="C57">
        <v>23</v>
      </c>
      <c r="D57" t="s">
        <v>26</v>
      </c>
      <c r="E57" t="s">
        <v>23</v>
      </c>
      <c r="F57" t="s">
        <v>36</v>
      </c>
      <c r="G57">
        <v>0</v>
      </c>
      <c r="H57">
        <v>0</v>
      </c>
      <c r="I57" t="s">
        <v>79</v>
      </c>
      <c r="J57" t="s">
        <v>15</v>
      </c>
    </row>
    <row r="58" spans="1:10" x14ac:dyDescent="0.3">
      <c r="A58">
        <v>1057</v>
      </c>
      <c r="B58" t="s">
        <v>38</v>
      </c>
      <c r="D58" t="s">
        <v>26</v>
      </c>
      <c r="E58" t="s">
        <v>23</v>
      </c>
      <c r="F58" t="s">
        <v>33</v>
      </c>
      <c r="G58">
        <v>3</v>
      </c>
      <c r="H58">
        <v>-1000</v>
      </c>
      <c r="I58" t="s">
        <v>99</v>
      </c>
      <c r="J58" t="s">
        <v>29</v>
      </c>
    </row>
    <row r="59" spans="1:10" x14ac:dyDescent="0.3">
      <c r="A59">
        <v>1058</v>
      </c>
      <c r="B59" t="s">
        <v>46</v>
      </c>
      <c r="C59">
        <v>32</v>
      </c>
      <c r="D59" t="s">
        <v>40</v>
      </c>
      <c r="E59" t="s">
        <v>55</v>
      </c>
      <c r="F59" t="s">
        <v>33</v>
      </c>
      <c r="G59">
        <v>1</v>
      </c>
      <c r="H59">
        <v>41173</v>
      </c>
      <c r="I59" t="s">
        <v>100</v>
      </c>
      <c r="J59" t="s">
        <v>43</v>
      </c>
    </row>
    <row r="60" spans="1:10" x14ac:dyDescent="0.3">
      <c r="A60">
        <v>1059</v>
      </c>
      <c r="B60" t="s">
        <v>35</v>
      </c>
      <c r="C60">
        <v>20</v>
      </c>
      <c r="D60" t="s">
        <v>40</v>
      </c>
      <c r="E60" t="s">
        <v>12</v>
      </c>
      <c r="F60" t="s">
        <v>13</v>
      </c>
      <c r="G60">
        <v>5</v>
      </c>
      <c r="H60">
        <v>662</v>
      </c>
      <c r="I60" t="s">
        <v>101</v>
      </c>
      <c r="J60" t="s">
        <v>20</v>
      </c>
    </row>
    <row r="61" spans="1:10" x14ac:dyDescent="0.3">
      <c r="A61">
        <v>1060</v>
      </c>
      <c r="B61" t="s">
        <v>59</v>
      </c>
      <c r="D61" t="s">
        <v>26</v>
      </c>
      <c r="E61" t="s">
        <v>51</v>
      </c>
      <c r="F61" t="s">
        <v>36</v>
      </c>
      <c r="G61">
        <v>3</v>
      </c>
      <c r="H61">
        <v>0</v>
      </c>
      <c r="I61" t="s">
        <v>81</v>
      </c>
      <c r="J61" t="s">
        <v>15</v>
      </c>
    </row>
    <row r="62" spans="1:10" x14ac:dyDescent="0.3">
      <c r="A62">
        <v>1061</v>
      </c>
      <c r="B62" t="s">
        <v>64</v>
      </c>
      <c r="D62" t="s">
        <v>11</v>
      </c>
      <c r="E62" t="s">
        <v>41</v>
      </c>
      <c r="F62" t="s">
        <v>36</v>
      </c>
      <c r="G62">
        <v>0</v>
      </c>
      <c r="H62">
        <v>-1000</v>
      </c>
      <c r="I62" t="s">
        <v>102</v>
      </c>
      <c r="J62" t="s">
        <v>43</v>
      </c>
    </row>
    <row r="63" spans="1:10" x14ac:dyDescent="0.3">
      <c r="A63">
        <v>1062</v>
      </c>
      <c r="B63" t="s">
        <v>21</v>
      </c>
      <c r="C63">
        <v>36</v>
      </c>
      <c r="D63" t="s">
        <v>26</v>
      </c>
      <c r="E63" t="s">
        <v>23</v>
      </c>
      <c r="F63" t="s">
        <v>30</v>
      </c>
      <c r="G63">
        <v>0</v>
      </c>
      <c r="H63">
        <v>-1000</v>
      </c>
      <c r="I63" t="s">
        <v>103</v>
      </c>
      <c r="J63" t="s">
        <v>20</v>
      </c>
    </row>
    <row r="64" spans="1:10" x14ac:dyDescent="0.3">
      <c r="A64">
        <v>1063</v>
      </c>
      <c r="B64" t="s">
        <v>68</v>
      </c>
      <c r="C64">
        <v>45</v>
      </c>
      <c r="D64" t="s">
        <v>40</v>
      </c>
      <c r="E64" t="s">
        <v>27</v>
      </c>
      <c r="F64" t="s">
        <v>13</v>
      </c>
      <c r="G64">
        <v>0</v>
      </c>
      <c r="H64">
        <v>23027</v>
      </c>
      <c r="I64" t="s">
        <v>104</v>
      </c>
      <c r="J64" t="s">
        <v>29</v>
      </c>
    </row>
    <row r="65" spans="1:10" x14ac:dyDescent="0.3">
      <c r="A65">
        <v>1064</v>
      </c>
      <c r="B65" t="s">
        <v>73</v>
      </c>
      <c r="C65">
        <v>41</v>
      </c>
      <c r="D65" t="s">
        <v>40</v>
      </c>
      <c r="E65" t="s">
        <v>27</v>
      </c>
      <c r="F65" t="s">
        <v>13</v>
      </c>
      <c r="G65">
        <v>2</v>
      </c>
      <c r="H65">
        <v>18041</v>
      </c>
      <c r="I65" t="s">
        <v>63</v>
      </c>
      <c r="J65" t="s">
        <v>43</v>
      </c>
    </row>
    <row r="66" spans="1:10" x14ac:dyDescent="0.3">
      <c r="A66">
        <v>1065</v>
      </c>
      <c r="B66" t="s">
        <v>69</v>
      </c>
      <c r="C66">
        <v>25</v>
      </c>
      <c r="D66" t="s">
        <v>17</v>
      </c>
      <c r="E66" t="s">
        <v>12</v>
      </c>
      <c r="F66" t="s">
        <v>30</v>
      </c>
      <c r="G66">
        <v>4</v>
      </c>
      <c r="H66">
        <v>-1000</v>
      </c>
      <c r="I66" t="s">
        <v>105</v>
      </c>
      <c r="J66" t="s">
        <v>20</v>
      </c>
    </row>
    <row r="67" spans="1:10" x14ac:dyDescent="0.3">
      <c r="A67">
        <v>1066</v>
      </c>
      <c r="B67" t="s">
        <v>16</v>
      </c>
      <c r="D67" t="s">
        <v>26</v>
      </c>
      <c r="E67" t="s">
        <v>51</v>
      </c>
      <c r="F67" t="s">
        <v>13</v>
      </c>
      <c r="G67">
        <v>4</v>
      </c>
      <c r="H67">
        <v>0</v>
      </c>
      <c r="I67" t="s">
        <v>106</v>
      </c>
      <c r="J67" t="s">
        <v>29</v>
      </c>
    </row>
    <row r="68" spans="1:10" x14ac:dyDescent="0.3">
      <c r="A68">
        <v>1067</v>
      </c>
      <c r="B68" t="s">
        <v>10</v>
      </c>
      <c r="C68">
        <v>40</v>
      </c>
      <c r="D68" t="s">
        <v>40</v>
      </c>
      <c r="E68" t="s">
        <v>27</v>
      </c>
      <c r="F68" t="s">
        <v>33</v>
      </c>
      <c r="G68">
        <v>0</v>
      </c>
      <c r="H68">
        <v>0</v>
      </c>
      <c r="I68" t="s">
        <v>107</v>
      </c>
      <c r="J68" t="s">
        <v>15</v>
      </c>
    </row>
    <row r="69" spans="1:10" x14ac:dyDescent="0.3">
      <c r="A69">
        <v>1068</v>
      </c>
      <c r="B69" t="s">
        <v>46</v>
      </c>
      <c r="C69">
        <v>43</v>
      </c>
      <c r="D69" t="s">
        <v>11</v>
      </c>
      <c r="E69" t="s">
        <v>55</v>
      </c>
      <c r="F69" t="s">
        <v>33</v>
      </c>
      <c r="G69">
        <v>0</v>
      </c>
      <c r="H69">
        <v>41430</v>
      </c>
      <c r="I69" t="s">
        <v>65</v>
      </c>
      <c r="J69" t="s">
        <v>20</v>
      </c>
    </row>
    <row r="70" spans="1:10" x14ac:dyDescent="0.3">
      <c r="A70">
        <v>1069</v>
      </c>
      <c r="B70" t="s">
        <v>32</v>
      </c>
      <c r="C70">
        <v>38</v>
      </c>
      <c r="D70" t="s">
        <v>11</v>
      </c>
      <c r="E70" t="s">
        <v>27</v>
      </c>
      <c r="F70" t="s">
        <v>36</v>
      </c>
      <c r="G70">
        <v>3</v>
      </c>
      <c r="H70">
        <v>0</v>
      </c>
      <c r="I70" t="s">
        <v>108</v>
      </c>
      <c r="J70" t="s">
        <v>29</v>
      </c>
    </row>
    <row r="71" spans="1:10" x14ac:dyDescent="0.3">
      <c r="A71">
        <v>1070</v>
      </c>
      <c r="B71" t="s">
        <v>59</v>
      </c>
      <c r="C71">
        <v>23</v>
      </c>
      <c r="D71" t="s">
        <v>11</v>
      </c>
      <c r="E71" t="s">
        <v>12</v>
      </c>
      <c r="F71" t="s">
        <v>33</v>
      </c>
      <c r="G71">
        <v>3</v>
      </c>
      <c r="H71">
        <v>-1000</v>
      </c>
      <c r="I71" t="s">
        <v>109</v>
      </c>
      <c r="J71" t="s">
        <v>15</v>
      </c>
    </row>
    <row r="72" spans="1:10" x14ac:dyDescent="0.3">
      <c r="A72">
        <v>1071</v>
      </c>
      <c r="B72" t="s">
        <v>38</v>
      </c>
      <c r="D72" t="s">
        <v>11</v>
      </c>
      <c r="E72" t="s">
        <v>51</v>
      </c>
      <c r="F72" t="s">
        <v>30</v>
      </c>
      <c r="G72">
        <v>0</v>
      </c>
      <c r="H72">
        <v>22529</v>
      </c>
      <c r="I72" t="s">
        <v>110</v>
      </c>
      <c r="J72" t="s">
        <v>45</v>
      </c>
    </row>
    <row r="73" spans="1:10" x14ac:dyDescent="0.3">
      <c r="A73">
        <v>1072</v>
      </c>
      <c r="B73" t="s">
        <v>69</v>
      </c>
      <c r="D73" t="s">
        <v>26</v>
      </c>
      <c r="E73" t="s">
        <v>27</v>
      </c>
      <c r="F73" t="s">
        <v>33</v>
      </c>
      <c r="G73">
        <v>5</v>
      </c>
      <c r="H73">
        <v>5188</v>
      </c>
      <c r="I73" t="s">
        <v>111</v>
      </c>
      <c r="J73" t="s">
        <v>20</v>
      </c>
    </row>
    <row r="74" spans="1:10" x14ac:dyDescent="0.3">
      <c r="A74">
        <v>1073</v>
      </c>
      <c r="B74" t="s">
        <v>10</v>
      </c>
      <c r="D74" t="s">
        <v>26</v>
      </c>
      <c r="E74" t="s">
        <v>51</v>
      </c>
      <c r="F74" t="s">
        <v>30</v>
      </c>
      <c r="G74">
        <v>0</v>
      </c>
      <c r="H74">
        <v>-1000</v>
      </c>
      <c r="I74" t="s">
        <v>82</v>
      </c>
      <c r="J74" t="s">
        <v>45</v>
      </c>
    </row>
    <row r="75" spans="1:10" x14ac:dyDescent="0.3">
      <c r="A75">
        <v>1074</v>
      </c>
      <c r="B75" t="s">
        <v>54</v>
      </c>
      <c r="D75" t="s">
        <v>11</v>
      </c>
      <c r="E75" t="s">
        <v>27</v>
      </c>
      <c r="F75" t="s">
        <v>36</v>
      </c>
      <c r="G75">
        <v>4</v>
      </c>
      <c r="H75">
        <v>0</v>
      </c>
      <c r="I75" t="s">
        <v>28</v>
      </c>
      <c r="J75" t="s">
        <v>29</v>
      </c>
    </row>
    <row r="76" spans="1:10" x14ac:dyDescent="0.3">
      <c r="A76">
        <v>1075</v>
      </c>
      <c r="B76" t="s">
        <v>73</v>
      </c>
      <c r="D76" t="s">
        <v>26</v>
      </c>
      <c r="E76" t="s">
        <v>27</v>
      </c>
      <c r="F76" t="s">
        <v>36</v>
      </c>
      <c r="G76">
        <v>0</v>
      </c>
      <c r="H76">
        <v>0</v>
      </c>
      <c r="I76" t="s">
        <v>81</v>
      </c>
      <c r="J76" t="s">
        <v>45</v>
      </c>
    </row>
    <row r="77" spans="1:10" x14ac:dyDescent="0.3">
      <c r="A77">
        <v>1076</v>
      </c>
      <c r="B77" t="s">
        <v>25</v>
      </c>
      <c r="D77" t="s">
        <v>40</v>
      </c>
      <c r="E77" t="s">
        <v>18</v>
      </c>
      <c r="F77" t="s">
        <v>13</v>
      </c>
      <c r="G77">
        <v>0</v>
      </c>
      <c r="H77">
        <v>-1000</v>
      </c>
      <c r="I77" t="s">
        <v>112</v>
      </c>
      <c r="J77" t="s">
        <v>43</v>
      </c>
    </row>
    <row r="78" spans="1:10" x14ac:dyDescent="0.3">
      <c r="A78">
        <v>1077</v>
      </c>
      <c r="B78" t="s">
        <v>32</v>
      </c>
      <c r="D78" t="s">
        <v>11</v>
      </c>
      <c r="E78" t="s">
        <v>23</v>
      </c>
      <c r="F78" t="s">
        <v>30</v>
      </c>
      <c r="G78">
        <v>0</v>
      </c>
      <c r="H78">
        <v>0</v>
      </c>
      <c r="I78" t="s">
        <v>113</v>
      </c>
      <c r="J78" t="s">
        <v>43</v>
      </c>
    </row>
    <row r="79" spans="1:10" x14ac:dyDescent="0.3">
      <c r="A79">
        <v>1078</v>
      </c>
      <c r="B79" t="s">
        <v>25</v>
      </c>
      <c r="D79" t="s">
        <v>17</v>
      </c>
      <c r="E79" t="s">
        <v>12</v>
      </c>
      <c r="F79" t="s">
        <v>30</v>
      </c>
      <c r="G79">
        <v>5</v>
      </c>
      <c r="H79">
        <v>0</v>
      </c>
      <c r="I79" t="s">
        <v>114</v>
      </c>
      <c r="J79" t="s">
        <v>15</v>
      </c>
    </row>
    <row r="80" spans="1:10" x14ac:dyDescent="0.3">
      <c r="A80">
        <v>1079</v>
      </c>
      <c r="B80" t="s">
        <v>54</v>
      </c>
      <c r="C80">
        <v>37</v>
      </c>
      <c r="D80" t="s">
        <v>22</v>
      </c>
      <c r="E80" t="s">
        <v>23</v>
      </c>
      <c r="F80" t="s">
        <v>30</v>
      </c>
      <c r="G80">
        <v>0</v>
      </c>
      <c r="H80">
        <v>-1000</v>
      </c>
      <c r="I80" t="s">
        <v>115</v>
      </c>
      <c r="J80" t="s">
        <v>20</v>
      </c>
    </row>
    <row r="81" spans="1:10" x14ac:dyDescent="0.3">
      <c r="A81">
        <v>1080</v>
      </c>
      <c r="B81" t="s">
        <v>48</v>
      </c>
      <c r="C81">
        <v>42</v>
      </c>
      <c r="D81" t="s">
        <v>40</v>
      </c>
      <c r="E81" t="s">
        <v>51</v>
      </c>
      <c r="F81" t="s">
        <v>33</v>
      </c>
      <c r="G81">
        <v>4</v>
      </c>
      <c r="H81">
        <v>12166</v>
      </c>
      <c r="I81" t="s">
        <v>84</v>
      </c>
      <c r="J81" t="s">
        <v>15</v>
      </c>
    </row>
    <row r="82" spans="1:10" x14ac:dyDescent="0.3">
      <c r="A82">
        <v>1081</v>
      </c>
      <c r="B82" t="s">
        <v>54</v>
      </c>
      <c r="D82" t="s">
        <v>22</v>
      </c>
      <c r="E82" t="s">
        <v>23</v>
      </c>
      <c r="F82" t="s">
        <v>36</v>
      </c>
      <c r="G82">
        <v>0</v>
      </c>
      <c r="H82">
        <v>-1000</v>
      </c>
      <c r="I82" t="s">
        <v>116</v>
      </c>
      <c r="J82" t="s">
        <v>29</v>
      </c>
    </row>
    <row r="83" spans="1:10" x14ac:dyDescent="0.3">
      <c r="A83">
        <v>1082</v>
      </c>
      <c r="B83" t="s">
        <v>16</v>
      </c>
      <c r="D83" t="s">
        <v>17</v>
      </c>
      <c r="E83" t="s">
        <v>18</v>
      </c>
      <c r="F83" t="s">
        <v>30</v>
      </c>
      <c r="G83">
        <v>0</v>
      </c>
      <c r="H83">
        <v>0</v>
      </c>
      <c r="I83" t="s">
        <v>117</v>
      </c>
      <c r="J83" t="s">
        <v>29</v>
      </c>
    </row>
    <row r="84" spans="1:10" x14ac:dyDescent="0.3">
      <c r="A84">
        <v>1083</v>
      </c>
      <c r="B84" t="s">
        <v>38</v>
      </c>
      <c r="C84">
        <v>39</v>
      </c>
      <c r="D84" t="s">
        <v>17</v>
      </c>
      <c r="E84" t="s">
        <v>55</v>
      </c>
      <c r="F84" t="s">
        <v>33</v>
      </c>
      <c r="G84">
        <v>5</v>
      </c>
      <c r="H84">
        <v>0</v>
      </c>
      <c r="I84" t="s">
        <v>118</v>
      </c>
      <c r="J84" t="s">
        <v>43</v>
      </c>
    </row>
    <row r="85" spans="1:10" x14ac:dyDescent="0.3">
      <c r="A85">
        <v>1084</v>
      </c>
      <c r="B85" t="s">
        <v>62</v>
      </c>
      <c r="C85">
        <v>38</v>
      </c>
      <c r="D85" t="s">
        <v>17</v>
      </c>
      <c r="E85" t="s">
        <v>55</v>
      </c>
      <c r="F85" t="s">
        <v>33</v>
      </c>
      <c r="G85">
        <v>0</v>
      </c>
      <c r="H85">
        <v>0</v>
      </c>
      <c r="I85" t="s">
        <v>119</v>
      </c>
      <c r="J85" t="s">
        <v>15</v>
      </c>
    </row>
    <row r="86" spans="1:10" x14ac:dyDescent="0.3">
      <c r="A86">
        <v>1085</v>
      </c>
      <c r="B86" t="s">
        <v>64</v>
      </c>
      <c r="C86">
        <v>29</v>
      </c>
      <c r="D86" t="s">
        <v>40</v>
      </c>
      <c r="E86" t="s">
        <v>51</v>
      </c>
      <c r="F86" t="s">
        <v>36</v>
      </c>
      <c r="G86">
        <v>1</v>
      </c>
      <c r="H86">
        <v>21190</v>
      </c>
      <c r="I86" t="s">
        <v>120</v>
      </c>
      <c r="J86" t="s">
        <v>20</v>
      </c>
    </row>
    <row r="87" spans="1:10" x14ac:dyDescent="0.3">
      <c r="A87">
        <v>1086</v>
      </c>
      <c r="B87" t="s">
        <v>57</v>
      </c>
      <c r="D87" t="s">
        <v>40</v>
      </c>
      <c r="E87" t="s">
        <v>23</v>
      </c>
      <c r="F87" t="s">
        <v>13</v>
      </c>
      <c r="G87">
        <v>0</v>
      </c>
      <c r="H87">
        <v>21903</v>
      </c>
      <c r="I87" t="s">
        <v>82</v>
      </c>
      <c r="J87" t="s">
        <v>45</v>
      </c>
    </row>
    <row r="88" spans="1:10" x14ac:dyDescent="0.3">
      <c r="A88">
        <v>1087</v>
      </c>
      <c r="B88" t="s">
        <v>57</v>
      </c>
      <c r="D88" t="s">
        <v>40</v>
      </c>
      <c r="E88" t="s">
        <v>51</v>
      </c>
      <c r="F88" t="s">
        <v>33</v>
      </c>
      <c r="G88">
        <v>0</v>
      </c>
      <c r="H88">
        <v>49818</v>
      </c>
      <c r="I88" t="s">
        <v>121</v>
      </c>
      <c r="J88" t="s">
        <v>29</v>
      </c>
    </row>
    <row r="89" spans="1:10" x14ac:dyDescent="0.3">
      <c r="A89">
        <v>1088</v>
      </c>
      <c r="B89" t="s">
        <v>59</v>
      </c>
      <c r="D89" t="s">
        <v>40</v>
      </c>
      <c r="E89" t="s">
        <v>27</v>
      </c>
      <c r="F89" t="s">
        <v>36</v>
      </c>
      <c r="G89">
        <v>5</v>
      </c>
      <c r="H89">
        <v>12794</v>
      </c>
      <c r="I89" t="s">
        <v>79</v>
      </c>
      <c r="J89" t="s">
        <v>43</v>
      </c>
    </row>
    <row r="90" spans="1:10" x14ac:dyDescent="0.3">
      <c r="A90">
        <v>1089</v>
      </c>
      <c r="B90" t="s">
        <v>16</v>
      </c>
      <c r="D90" t="s">
        <v>22</v>
      </c>
      <c r="E90" t="s">
        <v>51</v>
      </c>
      <c r="F90" t="s">
        <v>13</v>
      </c>
      <c r="G90">
        <v>5</v>
      </c>
      <c r="H90">
        <v>0</v>
      </c>
      <c r="I90" t="s">
        <v>122</v>
      </c>
      <c r="J90" t="s">
        <v>43</v>
      </c>
    </row>
    <row r="91" spans="1:10" x14ac:dyDescent="0.3">
      <c r="A91">
        <v>1090</v>
      </c>
      <c r="B91" t="s">
        <v>16</v>
      </c>
      <c r="C91">
        <v>22</v>
      </c>
      <c r="D91" t="s">
        <v>11</v>
      </c>
      <c r="E91" t="s">
        <v>27</v>
      </c>
      <c r="F91" t="s">
        <v>13</v>
      </c>
      <c r="G91">
        <v>0</v>
      </c>
      <c r="H91">
        <v>18507</v>
      </c>
      <c r="I91" t="s">
        <v>116</v>
      </c>
      <c r="J91" t="s">
        <v>29</v>
      </c>
    </row>
    <row r="92" spans="1:10" x14ac:dyDescent="0.3">
      <c r="A92">
        <v>1091</v>
      </c>
      <c r="B92" t="s">
        <v>10</v>
      </c>
      <c r="D92" t="s">
        <v>17</v>
      </c>
      <c r="E92" t="s">
        <v>27</v>
      </c>
      <c r="F92" t="s">
        <v>33</v>
      </c>
      <c r="G92">
        <v>0</v>
      </c>
      <c r="H92">
        <v>0</v>
      </c>
      <c r="I92" t="s">
        <v>58</v>
      </c>
      <c r="J92" t="s">
        <v>45</v>
      </c>
    </row>
    <row r="93" spans="1:10" x14ac:dyDescent="0.3">
      <c r="A93">
        <v>1092</v>
      </c>
      <c r="B93" t="s">
        <v>10</v>
      </c>
      <c r="D93" t="s">
        <v>17</v>
      </c>
      <c r="E93" t="s">
        <v>55</v>
      </c>
      <c r="F93" t="s">
        <v>33</v>
      </c>
      <c r="G93">
        <v>1</v>
      </c>
      <c r="H93">
        <v>-1000</v>
      </c>
      <c r="I93" t="s">
        <v>123</v>
      </c>
      <c r="J93" t="s">
        <v>43</v>
      </c>
    </row>
    <row r="94" spans="1:10" x14ac:dyDescent="0.3">
      <c r="A94">
        <v>1093</v>
      </c>
      <c r="B94" t="s">
        <v>16</v>
      </c>
      <c r="D94" t="s">
        <v>17</v>
      </c>
      <c r="E94" t="s">
        <v>55</v>
      </c>
      <c r="F94" t="s">
        <v>30</v>
      </c>
      <c r="G94">
        <v>0</v>
      </c>
      <c r="H94">
        <v>46496</v>
      </c>
      <c r="I94" t="s">
        <v>124</v>
      </c>
      <c r="J94" t="s">
        <v>45</v>
      </c>
    </row>
    <row r="95" spans="1:10" x14ac:dyDescent="0.3">
      <c r="A95">
        <v>1094</v>
      </c>
      <c r="B95" t="s">
        <v>62</v>
      </c>
      <c r="D95" t="s">
        <v>26</v>
      </c>
      <c r="E95" t="s">
        <v>18</v>
      </c>
      <c r="F95" t="s">
        <v>13</v>
      </c>
      <c r="G95">
        <v>0</v>
      </c>
      <c r="H95">
        <v>-1000</v>
      </c>
      <c r="I95" t="s">
        <v>125</v>
      </c>
      <c r="J95" t="s">
        <v>45</v>
      </c>
    </row>
    <row r="96" spans="1:10" x14ac:dyDescent="0.3">
      <c r="A96">
        <v>1095</v>
      </c>
      <c r="B96" t="s">
        <v>73</v>
      </c>
      <c r="C96">
        <v>45</v>
      </c>
      <c r="D96" t="s">
        <v>22</v>
      </c>
      <c r="E96" t="s">
        <v>27</v>
      </c>
      <c r="F96" t="s">
        <v>30</v>
      </c>
      <c r="G96">
        <v>0</v>
      </c>
      <c r="H96">
        <v>-1000</v>
      </c>
      <c r="I96" t="s">
        <v>126</v>
      </c>
      <c r="J96" t="s">
        <v>20</v>
      </c>
    </row>
    <row r="97" spans="1:10" x14ac:dyDescent="0.3">
      <c r="A97">
        <v>1096</v>
      </c>
      <c r="B97" t="s">
        <v>10</v>
      </c>
      <c r="D97" t="s">
        <v>26</v>
      </c>
      <c r="E97" t="s">
        <v>23</v>
      </c>
      <c r="F97" t="s">
        <v>30</v>
      </c>
      <c r="G97">
        <v>3</v>
      </c>
      <c r="H97">
        <v>37004</v>
      </c>
      <c r="I97" t="s">
        <v>127</v>
      </c>
      <c r="J97" t="s">
        <v>45</v>
      </c>
    </row>
    <row r="98" spans="1:10" x14ac:dyDescent="0.3">
      <c r="A98">
        <v>1097</v>
      </c>
      <c r="B98" t="s">
        <v>54</v>
      </c>
      <c r="C98">
        <v>47</v>
      </c>
      <c r="D98" t="s">
        <v>22</v>
      </c>
      <c r="E98" t="s">
        <v>23</v>
      </c>
      <c r="F98" t="s">
        <v>33</v>
      </c>
      <c r="G98">
        <v>4</v>
      </c>
      <c r="H98">
        <v>-1000</v>
      </c>
      <c r="I98" t="s">
        <v>103</v>
      </c>
      <c r="J98" t="s">
        <v>45</v>
      </c>
    </row>
    <row r="99" spans="1:10" x14ac:dyDescent="0.3">
      <c r="A99">
        <v>1098</v>
      </c>
      <c r="B99" t="s">
        <v>73</v>
      </c>
      <c r="D99" t="s">
        <v>40</v>
      </c>
      <c r="E99" t="s">
        <v>44</v>
      </c>
      <c r="F99" t="s">
        <v>13</v>
      </c>
      <c r="G99">
        <v>5</v>
      </c>
      <c r="H99">
        <v>5198</v>
      </c>
      <c r="I99" t="s">
        <v>47</v>
      </c>
      <c r="J99" t="s">
        <v>29</v>
      </c>
    </row>
    <row r="100" spans="1:10" x14ac:dyDescent="0.3">
      <c r="A100">
        <v>1099</v>
      </c>
      <c r="B100" t="s">
        <v>35</v>
      </c>
      <c r="C100">
        <v>26</v>
      </c>
      <c r="D100" t="s">
        <v>11</v>
      </c>
      <c r="E100" t="s">
        <v>27</v>
      </c>
      <c r="F100" t="s">
        <v>13</v>
      </c>
      <c r="G100">
        <v>5</v>
      </c>
      <c r="H100">
        <v>30128</v>
      </c>
      <c r="I100" t="s">
        <v>128</v>
      </c>
      <c r="J100" t="s">
        <v>15</v>
      </c>
    </row>
    <row r="101" spans="1:10" x14ac:dyDescent="0.3">
      <c r="A101">
        <v>1100</v>
      </c>
      <c r="B101" t="s">
        <v>21</v>
      </c>
      <c r="D101" t="s">
        <v>26</v>
      </c>
      <c r="E101" t="s">
        <v>41</v>
      </c>
      <c r="F101" t="s">
        <v>13</v>
      </c>
      <c r="G101">
        <v>0</v>
      </c>
      <c r="H101">
        <v>-1000</v>
      </c>
      <c r="I101" t="s">
        <v>125</v>
      </c>
      <c r="J101" t="s">
        <v>45</v>
      </c>
    </row>
    <row r="102" spans="1:10" x14ac:dyDescent="0.3">
      <c r="A102">
        <v>1101</v>
      </c>
      <c r="B102" t="s">
        <v>38</v>
      </c>
      <c r="D102" t="s">
        <v>11</v>
      </c>
      <c r="E102" t="s">
        <v>44</v>
      </c>
      <c r="F102" t="s">
        <v>36</v>
      </c>
      <c r="G102">
        <v>3</v>
      </c>
      <c r="H102">
        <v>16654</v>
      </c>
      <c r="I102" t="s">
        <v>129</v>
      </c>
      <c r="J102" t="s">
        <v>45</v>
      </c>
    </row>
    <row r="103" spans="1:10" x14ac:dyDescent="0.3">
      <c r="A103">
        <v>1102</v>
      </c>
      <c r="B103" t="s">
        <v>21</v>
      </c>
      <c r="C103">
        <v>45</v>
      </c>
      <c r="D103" t="s">
        <v>17</v>
      </c>
      <c r="E103" t="s">
        <v>55</v>
      </c>
      <c r="F103" t="s">
        <v>36</v>
      </c>
      <c r="G103">
        <v>0</v>
      </c>
      <c r="H103">
        <v>17222</v>
      </c>
      <c r="I103" t="s">
        <v>130</v>
      </c>
      <c r="J103" t="s">
        <v>45</v>
      </c>
    </row>
    <row r="104" spans="1:10" x14ac:dyDescent="0.3">
      <c r="A104">
        <v>1103</v>
      </c>
      <c r="B104" t="s">
        <v>46</v>
      </c>
      <c r="D104" t="s">
        <v>22</v>
      </c>
      <c r="E104" t="s">
        <v>55</v>
      </c>
      <c r="F104" t="s">
        <v>36</v>
      </c>
      <c r="G104">
        <v>3</v>
      </c>
      <c r="H104">
        <v>-1000</v>
      </c>
      <c r="I104" t="s">
        <v>131</v>
      </c>
      <c r="J104" t="s">
        <v>15</v>
      </c>
    </row>
    <row r="105" spans="1:10" x14ac:dyDescent="0.3">
      <c r="A105">
        <v>1104</v>
      </c>
      <c r="B105" t="s">
        <v>54</v>
      </c>
      <c r="C105">
        <v>31</v>
      </c>
      <c r="D105" t="s">
        <v>26</v>
      </c>
      <c r="E105" t="s">
        <v>55</v>
      </c>
      <c r="F105" t="s">
        <v>33</v>
      </c>
      <c r="G105">
        <v>0</v>
      </c>
      <c r="H105">
        <v>-1000</v>
      </c>
      <c r="I105" t="s">
        <v>97</v>
      </c>
      <c r="J105" t="s">
        <v>45</v>
      </c>
    </row>
    <row r="106" spans="1:10" x14ac:dyDescent="0.3">
      <c r="A106">
        <v>1105</v>
      </c>
      <c r="B106" t="s">
        <v>48</v>
      </c>
      <c r="C106">
        <v>48</v>
      </c>
      <c r="D106" t="s">
        <v>22</v>
      </c>
      <c r="E106" t="s">
        <v>51</v>
      </c>
      <c r="F106" t="s">
        <v>36</v>
      </c>
      <c r="G106">
        <v>4</v>
      </c>
      <c r="H106">
        <v>1469</v>
      </c>
      <c r="I106" t="s">
        <v>83</v>
      </c>
      <c r="J106" t="s">
        <v>43</v>
      </c>
    </row>
    <row r="107" spans="1:10" x14ac:dyDescent="0.3">
      <c r="A107">
        <v>1106</v>
      </c>
      <c r="B107" t="s">
        <v>25</v>
      </c>
      <c r="C107">
        <v>35</v>
      </c>
      <c r="D107" t="s">
        <v>26</v>
      </c>
      <c r="E107" t="s">
        <v>41</v>
      </c>
      <c r="F107" t="s">
        <v>13</v>
      </c>
      <c r="G107">
        <v>4</v>
      </c>
      <c r="H107">
        <v>0</v>
      </c>
      <c r="I107" t="s">
        <v>61</v>
      </c>
      <c r="J107" t="s">
        <v>20</v>
      </c>
    </row>
    <row r="108" spans="1:10" x14ac:dyDescent="0.3">
      <c r="A108">
        <v>1107</v>
      </c>
      <c r="B108" t="s">
        <v>78</v>
      </c>
      <c r="D108" t="s">
        <v>11</v>
      </c>
      <c r="E108" t="s">
        <v>55</v>
      </c>
      <c r="F108" t="s">
        <v>13</v>
      </c>
      <c r="G108">
        <v>0</v>
      </c>
      <c r="H108">
        <v>36465</v>
      </c>
      <c r="I108" t="s">
        <v>85</v>
      </c>
      <c r="J108" t="s">
        <v>43</v>
      </c>
    </row>
    <row r="109" spans="1:10" x14ac:dyDescent="0.3">
      <c r="A109">
        <v>1108</v>
      </c>
      <c r="B109" t="s">
        <v>54</v>
      </c>
      <c r="C109">
        <v>27</v>
      </c>
      <c r="D109" t="s">
        <v>11</v>
      </c>
      <c r="E109" t="s">
        <v>27</v>
      </c>
      <c r="F109" t="s">
        <v>30</v>
      </c>
      <c r="G109">
        <v>5</v>
      </c>
      <c r="H109">
        <v>-1000</v>
      </c>
      <c r="I109" t="s">
        <v>132</v>
      </c>
      <c r="J109" t="s">
        <v>45</v>
      </c>
    </row>
    <row r="110" spans="1:10" x14ac:dyDescent="0.3">
      <c r="A110">
        <v>1109</v>
      </c>
      <c r="B110" t="s">
        <v>73</v>
      </c>
      <c r="C110">
        <v>46</v>
      </c>
      <c r="D110" t="s">
        <v>22</v>
      </c>
      <c r="E110" t="s">
        <v>55</v>
      </c>
      <c r="F110" t="s">
        <v>36</v>
      </c>
      <c r="G110">
        <v>0</v>
      </c>
      <c r="H110">
        <v>0</v>
      </c>
      <c r="I110" t="s">
        <v>116</v>
      </c>
      <c r="J110" t="s">
        <v>20</v>
      </c>
    </row>
    <row r="111" spans="1:10" x14ac:dyDescent="0.3">
      <c r="A111">
        <v>1110</v>
      </c>
      <c r="B111" t="s">
        <v>48</v>
      </c>
      <c r="C111">
        <v>28</v>
      </c>
      <c r="D111" t="s">
        <v>17</v>
      </c>
      <c r="E111" t="s">
        <v>12</v>
      </c>
      <c r="F111" t="s">
        <v>30</v>
      </c>
      <c r="G111">
        <v>0</v>
      </c>
      <c r="H111">
        <v>1417</v>
      </c>
      <c r="I111" t="s">
        <v>133</v>
      </c>
      <c r="J111" t="s">
        <v>29</v>
      </c>
    </row>
    <row r="112" spans="1:10" x14ac:dyDescent="0.3">
      <c r="A112">
        <v>1111</v>
      </c>
      <c r="B112" t="s">
        <v>35</v>
      </c>
      <c r="D112" t="s">
        <v>22</v>
      </c>
      <c r="E112" t="s">
        <v>18</v>
      </c>
      <c r="F112" t="s">
        <v>13</v>
      </c>
      <c r="G112">
        <v>3</v>
      </c>
      <c r="H112">
        <v>-1000</v>
      </c>
      <c r="I112" t="s">
        <v>98</v>
      </c>
      <c r="J112" t="s">
        <v>43</v>
      </c>
    </row>
    <row r="113" spans="1:10" x14ac:dyDescent="0.3">
      <c r="A113">
        <v>1112</v>
      </c>
      <c r="B113" t="s">
        <v>59</v>
      </c>
      <c r="C113">
        <v>29</v>
      </c>
      <c r="D113" t="s">
        <v>22</v>
      </c>
      <c r="E113" t="s">
        <v>44</v>
      </c>
      <c r="F113" t="s">
        <v>36</v>
      </c>
      <c r="G113">
        <v>0</v>
      </c>
      <c r="H113">
        <v>0</v>
      </c>
      <c r="I113" t="s">
        <v>129</v>
      </c>
      <c r="J113" t="s">
        <v>43</v>
      </c>
    </row>
    <row r="114" spans="1:10" x14ac:dyDescent="0.3">
      <c r="A114">
        <v>1113</v>
      </c>
      <c r="B114" t="s">
        <v>35</v>
      </c>
      <c r="D114" t="s">
        <v>22</v>
      </c>
      <c r="E114" t="s">
        <v>41</v>
      </c>
      <c r="F114" t="s">
        <v>30</v>
      </c>
      <c r="G114">
        <v>0</v>
      </c>
      <c r="H114">
        <v>27322</v>
      </c>
      <c r="I114" t="s">
        <v>47</v>
      </c>
      <c r="J114" t="s">
        <v>15</v>
      </c>
    </row>
    <row r="115" spans="1:10" x14ac:dyDescent="0.3">
      <c r="A115">
        <v>1114</v>
      </c>
      <c r="B115" t="s">
        <v>68</v>
      </c>
      <c r="C115">
        <v>45</v>
      </c>
      <c r="D115" t="s">
        <v>11</v>
      </c>
      <c r="E115" t="s">
        <v>55</v>
      </c>
      <c r="F115" t="s">
        <v>13</v>
      </c>
      <c r="G115">
        <v>4</v>
      </c>
      <c r="H115">
        <v>0</v>
      </c>
      <c r="I115" t="s">
        <v>47</v>
      </c>
      <c r="J115" t="s">
        <v>20</v>
      </c>
    </row>
    <row r="116" spans="1:10" x14ac:dyDescent="0.3">
      <c r="A116">
        <v>1115</v>
      </c>
      <c r="B116" t="s">
        <v>54</v>
      </c>
      <c r="C116">
        <v>21</v>
      </c>
      <c r="D116" t="s">
        <v>17</v>
      </c>
      <c r="E116" t="s">
        <v>18</v>
      </c>
      <c r="F116" t="s">
        <v>30</v>
      </c>
      <c r="G116">
        <v>1</v>
      </c>
      <c r="H116">
        <v>12924</v>
      </c>
      <c r="I116" t="s">
        <v>112</v>
      </c>
      <c r="J116" t="s">
        <v>45</v>
      </c>
    </row>
    <row r="117" spans="1:10" x14ac:dyDescent="0.3">
      <c r="A117">
        <v>1116</v>
      </c>
      <c r="B117" t="s">
        <v>48</v>
      </c>
      <c r="D117" t="s">
        <v>11</v>
      </c>
      <c r="E117" t="s">
        <v>23</v>
      </c>
      <c r="F117" t="s">
        <v>33</v>
      </c>
      <c r="G117">
        <v>5</v>
      </c>
      <c r="H117">
        <v>0</v>
      </c>
      <c r="I117" t="s">
        <v>134</v>
      </c>
      <c r="J117" t="s">
        <v>29</v>
      </c>
    </row>
    <row r="118" spans="1:10" x14ac:dyDescent="0.3">
      <c r="A118">
        <v>1117</v>
      </c>
      <c r="B118" t="s">
        <v>25</v>
      </c>
      <c r="D118" t="s">
        <v>26</v>
      </c>
      <c r="E118" t="s">
        <v>51</v>
      </c>
      <c r="F118" t="s">
        <v>33</v>
      </c>
      <c r="G118">
        <v>5</v>
      </c>
      <c r="H118">
        <v>-1000</v>
      </c>
      <c r="I118" t="s">
        <v>135</v>
      </c>
      <c r="J118" t="s">
        <v>20</v>
      </c>
    </row>
    <row r="119" spans="1:10" x14ac:dyDescent="0.3">
      <c r="A119">
        <v>1118</v>
      </c>
      <c r="B119" t="s">
        <v>35</v>
      </c>
      <c r="C119">
        <v>47</v>
      </c>
      <c r="D119" t="s">
        <v>22</v>
      </c>
      <c r="E119" t="s">
        <v>55</v>
      </c>
      <c r="F119" t="s">
        <v>33</v>
      </c>
      <c r="G119">
        <v>3</v>
      </c>
      <c r="H119">
        <v>-1000</v>
      </c>
      <c r="I119" t="s">
        <v>136</v>
      </c>
      <c r="J119" t="s">
        <v>20</v>
      </c>
    </row>
    <row r="120" spans="1:10" x14ac:dyDescent="0.3">
      <c r="A120">
        <v>1119</v>
      </c>
      <c r="B120" t="s">
        <v>78</v>
      </c>
      <c r="D120" t="s">
        <v>11</v>
      </c>
      <c r="E120" t="s">
        <v>23</v>
      </c>
      <c r="F120" t="s">
        <v>33</v>
      </c>
      <c r="G120">
        <v>0</v>
      </c>
      <c r="H120">
        <v>7929</v>
      </c>
      <c r="I120" t="s">
        <v>137</v>
      </c>
      <c r="J120" t="s">
        <v>45</v>
      </c>
    </row>
    <row r="121" spans="1:10" x14ac:dyDescent="0.3">
      <c r="A121">
        <v>1120</v>
      </c>
      <c r="B121" t="s">
        <v>68</v>
      </c>
      <c r="C121">
        <v>35</v>
      </c>
      <c r="D121" t="s">
        <v>22</v>
      </c>
      <c r="E121" t="s">
        <v>51</v>
      </c>
      <c r="F121" t="s">
        <v>13</v>
      </c>
      <c r="G121">
        <v>0</v>
      </c>
      <c r="H121">
        <v>0</v>
      </c>
      <c r="I121" t="s">
        <v>105</v>
      </c>
      <c r="J121" t="s">
        <v>45</v>
      </c>
    </row>
    <row r="122" spans="1:10" x14ac:dyDescent="0.3">
      <c r="A122">
        <v>1121</v>
      </c>
      <c r="B122" t="s">
        <v>16</v>
      </c>
      <c r="C122">
        <v>40</v>
      </c>
      <c r="D122" t="s">
        <v>22</v>
      </c>
      <c r="E122" t="s">
        <v>41</v>
      </c>
      <c r="F122" t="s">
        <v>36</v>
      </c>
      <c r="G122">
        <v>4</v>
      </c>
      <c r="H122">
        <v>16134</v>
      </c>
      <c r="I122" t="s">
        <v>138</v>
      </c>
      <c r="J122" t="s">
        <v>29</v>
      </c>
    </row>
    <row r="123" spans="1:10" x14ac:dyDescent="0.3">
      <c r="A123">
        <v>1122</v>
      </c>
      <c r="B123" t="s">
        <v>62</v>
      </c>
      <c r="D123" t="s">
        <v>17</v>
      </c>
      <c r="E123" t="s">
        <v>27</v>
      </c>
      <c r="F123" t="s">
        <v>30</v>
      </c>
      <c r="G123">
        <v>0</v>
      </c>
      <c r="H123">
        <v>43604</v>
      </c>
      <c r="I123" t="s">
        <v>139</v>
      </c>
      <c r="J123" t="s">
        <v>20</v>
      </c>
    </row>
    <row r="124" spans="1:10" x14ac:dyDescent="0.3">
      <c r="A124">
        <v>1123</v>
      </c>
      <c r="B124" t="s">
        <v>38</v>
      </c>
      <c r="D124" t="s">
        <v>11</v>
      </c>
      <c r="E124" t="s">
        <v>23</v>
      </c>
      <c r="F124" t="s">
        <v>30</v>
      </c>
      <c r="G124">
        <v>0</v>
      </c>
      <c r="H124">
        <v>-1000</v>
      </c>
      <c r="I124" t="s">
        <v>140</v>
      </c>
      <c r="J124" t="s">
        <v>20</v>
      </c>
    </row>
    <row r="125" spans="1:10" x14ac:dyDescent="0.3">
      <c r="A125">
        <v>1124</v>
      </c>
      <c r="B125" t="s">
        <v>38</v>
      </c>
      <c r="C125">
        <v>41</v>
      </c>
      <c r="D125" t="s">
        <v>40</v>
      </c>
      <c r="E125" t="s">
        <v>12</v>
      </c>
      <c r="F125" t="s">
        <v>30</v>
      </c>
      <c r="G125">
        <v>0</v>
      </c>
      <c r="H125">
        <v>8359</v>
      </c>
      <c r="I125" t="s">
        <v>71</v>
      </c>
      <c r="J125" t="s">
        <v>20</v>
      </c>
    </row>
    <row r="126" spans="1:10" x14ac:dyDescent="0.3">
      <c r="A126">
        <v>1125</v>
      </c>
      <c r="B126" t="s">
        <v>35</v>
      </c>
      <c r="D126" t="s">
        <v>17</v>
      </c>
      <c r="E126" t="s">
        <v>55</v>
      </c>
      <c r="F126" t="s">
        <v>13</v>
      </c>
      <c r="G126">
        <v>2</v>
      </c>
      <c r="H126">
        <v>0</v>
      </c>
      <c r="I126" t="s">
        <v>141</v>
      </c>
      <c r="J126" t="s">
        <v>29</v>
      </c>
    </row>
    <row r="127" spans="1:10" x14ac:dyDescent="0.3">
      <c r="A127">
        <v>1126</v>
      </c>
      <c r="B127" t="s">
        <v>35</v>
      </c>
      <c r="C127">
        <v>25</v>
      </c>
      <c r="D127" t="s">
        <v>17</v>
      </c>
      <c r="E127" t="s">
        <v>55</v>
      </c>
      <c r="F127" t="s">
        <v>36</v>
      </c>
      <c r="G127">
        <v>0</v>
      </c>
      <c r="H127">
        <v>45782</v>
      </c>
      <c r="I127" t="s">
        <v>116</v>
      </c>
      <c r="J127" t="s">
        <v>45</v>
      </c>
    </row>
    <row r="128" spans="1:10" x14ac:dyDescent="0.3">
      <c r="A128">
        <v>1127</v>
      </c>
      <c r="B128" t="s">
        <v>21</v>
      </c>
      <c r="C128">
        <v>28</v>
      </c>
      <c r="D128" t="s">
        <v>11</v>
      </c>
      <c r="E128" t="s">
        <v>12</v>
      </c>
      <c r="F128" t="s">
        <v>30</v>
      </c>
      <c r="G128">
        <v>0</v>
      </c>
      <c r="H128">
        <v>-1000</v>
      </c>
      <c r="I128" t="s">
        <v>86</v>
      </c>
      <c r="J128" t="s">
        <v>43</v>
      </c>
    </row>
    <row r="129" spans="1:10" x14ac:dyDescent="0.3">
      <c r="A129">
        <v>1128</v>
      </c>
      <c r="B129" t="s">
        <v>69</v>
      </c>
      <c r="D129" t="s">
        <v>17</v>
      </c>
      <c r="E129" t="s">
        <v>44</v>
      </c>
      <c r="F129" t="s">
        <v>13</v>
      </c>
      <c r="G129">
        <v>5</v>
      </c>
      <c r="H129">
        <v>-1000</v>
      </c>
      <c r="I129" t="s">
        <v>142</v>
      </c>
      <c r="J129" t="s">
        <v>43</v>
      </c>
    </row>
    <row r="130" spans="1:10" x14ac:dyDescent="0.3">
      <c r="A130">
        <v>1129</v>
      </c>
      <c r="B130" t="s">
        <v>48</v>
      </c>
      <c r="C130">
        <v>39</v>
      </c>
      <c r="D130" t="s">
        <v>22</v>
      </c>
      <c r="E130" t="s">
        <v>27</v>
      </c>
      <c r="F130" t="s">
        <v>33</v>
      </c>
      <c r="G130">
        <v>0</v>
      </c>
      <c r="H130">
        <v>0</v>
      </c>
      <c r="I130" t="s">
        <v>77</v>
      </c>
      <c r="J130" t="s">
        <v>15</v>
      </c>
    </row>
    <row r="131" spans="1:10" x14ac:dyDescent="0.3">
      <c r="A131">
        <v>1130</v>
      </c>
      <c r="B131" t="s">
        <v>46</v>
      </c>
      <c r="C131">
        <v>28</v>
      </c>
      <c r="D131" t="s">
        <v>26</v>
      </c>
      <c r="E131" t="s">
        <v>27</v>
      </c>
      <c r="F131" t="s">
        <v>33</v>
      </c>
      <c r="G131">
        <v>4</v>
      </c>
      <c r="H131">
        <v>42671</v>
      </c>
      <c r="I131" t="s">
        <v>85</v>
      </c>
      <c r="J131" t="s">
        <v>45</v>
      </c>
    </row>
    <row r="132" spans="1:10" x14ac:dyDescent="0.3">
      <c r="A132">
        <v>1131</v>
      </c>
      <c r="B132" t="s">
        <v>64</v>
      </c>
      <c r="C132">
        <v>28</v>
      </c>
      <c r="D132" t="s">
        <v>26</v>
      </c>
      <c r="E132" t="s">
        <v>23</v>
      </c>
      <c r="F132" t="s">
        <v>13</v>
      </c>
      <c r="G132">
        <v>2</v>
      </c>
      <c r="H132">
        <v>34309</v>
      </c>
      <c r="I132" t="s">
        <v>103</v>
      </c>
      <c r="J132" t="s">
        <v>29</v>
      </c>
    </row>
    <row r="133" spans="1:10" x14ac:dyDescent="0.3">
      <c r="A133">
        <v>1132</v>
      </c>
      <c r="B133" t="s">
        <v>32</v>
      </c>
      <c r="C133">
        <v>27</v>
      </c>
      <c r="D133" t="s">
        <v>26</v>
      </c>
      <c r="E133" t="s">
        <v>23</v>
      </c>
      <c r="F133" t="s">
        <v>13</v>
      </c>
      <c r="G133">
        <v>4</v>
      </c>
      <c r="H133">
        <v>15517</v>
      </c>
      <c r="I133" t="s">
        <v>143</v>
      </c>
      <c r="J133" t="s">
        <v>45</v>
      </c>
    </row>
    <row r="134" spans="1:10" x14ac:dyDescent="0.3">
      <c r="A134">
        <v>1133</v>
      </c>
      <c r="B134" t="s">
        <v>68</v>
      </c>
      <c r="D134" t="s">
        <v>40</v>
      </c>
      <c r="E134" t="s">
        <v>12</v>
      </c>
      <c r="F134" t="s">
        <v>13</v>
      </c>
      <c r="G134">
        <v>0</v>
      </c>
      <c r="H134">
        <v>0</v>
      </c>
      <c r="I134" t="s">
        <v>144</v>
      </c>
      <c r="J134" t="s">
        <v>15</v>
      </c>
    </row>
    <row r="135" spans="1:10" x14ac:dyDescent="0.3">
      <c r="A135">
        <v>1134</v>
      </c>
      <c r="B135" t="s">
        <v>78</v>
      </c>
      <c r="D135" t="s">
        <v>22</v>
      </c>
      <c r="E135" t="s">
        <v>18</v>
      </c>
      <c r="F135" t="s">
        <v>13</v>
      </c>
      <c r="G135">
        <v>4</v>
      </c>
      <c r="H135">
        <v>-1000</v>
      </c>
      <c r="I135" t="s">
        <v>145</v>
      </c>
      <c r="J135" t="s">
        <v>29</v>
      </c>
    </row>
    <row r="136" spans="1:10" x14ac:dyDescent="0.3">
      <c r="A136">
        <v>1135</v>
      </c>
      <c r="B136" t="s">
        <v>16</v>
      </c>
      <c r="D136" t="s">
        <v>22</v>
      </c>
      <c r="E136" t="s">
        <v>55</v>
      </c>
      <c r="F136" t="s">
        <v>13</v>
      </c>
      <c r="G136">
        <v>0</v>
      </c>
      <c r="H136">
        <v>-1000</v>
      </c>
      <c r="I136" t="s">
        <v>146</v>
      </c>
      <c r="J136" t="s">
        <v>29</v>
      </c>
    </row>
    <row r="137" spans="1:10" x14ac:dyDescent="0.3">
      <c r="A137">
        <v>1136</v>
      </c>
      <c r="B137" t="s">
        <v>68</v>
      </c>
      <c r="D137" t="s">
        <v>26</v>
      </c>
      <c r="E137" t="s">
        <v>27</v>
      </c>
      <c r="F137" t="s">
        <v>36</v>
      </c>
      <c r="G137">
        <v>3</v>
      </c>
      <c r="H137">
        <v>0</v>
      </c>
      <c r="I137" t="s">
        <v>31</v>
      </c>
      <c r="J137" t="s">
        <v>15</v>
      </c>
    </row>
    <row r="138" spans="1:10" x14ac:dyDescent="0.3">
      <c r="A138">
        <v>1137</v>
      </c>
      <c r="B138" t="s">
        <v>48</v>
      </c>
      <c r="C138">
        <v>42</v>
      </c>
      <c r="D138" t="s">
        <v>22</v>
      </c>
      <c r="E138" t="s">
        <v>41</v>
      </c>
      <c r="F138" t="s">
        <v>33</v>
      </c>
      <c r="G138">
        <v>3</v>
      </c>
      <c r="H138">
        <v>0</v>
      </c>
      <c r="I138" t="s">
        <v>147</v>
      </c>
      <c r="J138" t="s">
        <v>15</v>
      </c>
    </row>
    <row r="139" spans="1:10" x14ac:dyDescent="0.3">
      <c r="A139">
        <v>1138</v>
      </c>
      <c r="B139" t="s">
        <v>16</v>
      </c>
      <c r="C139">
        <v>46</v>
      </c>
      <c r="D139" t="s">
        <v>26</v>
      </c>
      <c r="E139" t="s">
        <v>44</v>
      </c>
      <c r="F139" t="s">
        <v>30</v>
      </c>
      <c r="G139">
        <v>0</v>
      </c>
      <c r="H139">
        <v>-1000</v>
      </c>
      <c r="I139" t="s">
        <v>95</v>
      </c>
      <c r="J139" t="s">
        <v>45</v>
      </c>
    </row>
    <row r="140" spans="1:10" x14ac:dyDescent="0.3">
      <c r="A140">
        <v>1139</v>
      </c>
      <c r="B140" t="s">
        <v>59</v>
      </c>
      <c r="C140">
        <v>22</v>
      </c>
      <c r="D140" t="s">
        <v>40</v>
      </c>
      <c r="E140" t="s">
        <v>18</v>
      </c>
      <c r="F140" t="s">
        <v>13</v>
      </c>
      <c r="G140">
        <v>0</v>
      </c>
      <c r="H140">
        <v>4840</v>
      </c>
      <c r="I140" t="s">
        <v>88</v>
      </c>
      <c r="J140" t="s">
        <v>45</v>
      </c>
    </row>
    <row r="141" spans="1:10" x14ac:dyDescent="0.3">
      <c r="A141">
        <v>1140</v>
      </c>
      <c r="B141" t="s">
        <v>21</v>
      </c>
      <c r="C141">
        <v>50</v>
      </c>
      <c r="D141" t="s">
        <v>40</v>
      </c>
      <c r="E141" t="s">
        <v>18</v>
      </c>
      <c r="F141" t="s">
        <v>13</v>
      </c>
      <c r="G141">
        <v>4</v>
      </c>
      <c r="H141">
        <v>13906</v>
      </c>
      <c r="I141" t="s">
        <v>101</v>
      </c>
      <c r="J141" t="s">
        <v>29</v>
      </c>
    </row>
    <row r="142" spans="1:10" x14ac:dyDescent="0.3">
      <c r="A142">
        <v>1141</v>
      </c>
      <c r="B142" t="s">
        <v>64</v>
      </c>
      <c r="C142">
        <v>42</v>
      </c>
      <c r="D142" t="s">
        <v>11</v>
      </c>
      <c r="E142" t="s">
        <v>51</v>
      </c>
      <c r="F142" t="s">
        <v>13</v>
      </c>
      <c r="G142">
        <v>0</v>
      </c>
      <c r="H142">
        <v>46872</v>
      </c>
      <c r="I142" t="s">
        <v>148</v>
      </c>
      <c r="J142" t="s">
        <v>15</v>
      </c>
    </row>
    <row r="143" spans="1:10" x14ac:dyDescent="0.3">
      <c r="A143">
        <v>1142</v>
      </c>
      <c r="B143" t="s">
        <v>68</v>
      </c>
      <c r="D143" t="s">
        <v>11</v>
      </c>
      <c r="E143" t="s">
        <v>18</v>
      </c>
      <c r="F143" t="s">
        <v>13</v>
      </c>
      <c r="G143">
        <v>2</v>
      </c>
      <c r="H143">
        <v>0</v>
      </c>
      <c r="I143" t="s">
        <v>117</v>
      </c>
      <c r="J143" t="s">
        <v>45</v>
      </c>
    </row>
    <row r="144" spans="1:10" x14ac:dyDescent="0.3">
      <c r="A144">
        <v>1143</v>
      </c>
      <c r="B144" t="s">
        <v>32</v>
      </c>
      <c r="D144" t="s">
        <v>40</v>
      </c>
      <c r="E144" t="s">
        <v>23</v>
      </c>
      <c r="F144" t="s">
        <v>33</v>
      </c>
      <c r="G144">
        <v>1</v>
      </c>
      <c r="H144">
        <v>-1000</v>
      </c>
      <c r="I144" t="s">
        <v>85</v>
      </c>
      <c r="J144" t="s">
        <v>29</v>
      </c>
    </row>
    <row r="145" spans="1:10" x14ac:dyDescent="0.3">
      <c r="A145">
        <v>1144</v>
      </c>
      <c r="B145" t="s">
        <v>46</v>
      </c>
      <c r="C145">
        <v>24</v>
      </c>
      <c r="D145" t="s">
        <v>22</v>
      </c>
      <c r="E145" t="s">
        <v>23</v>
      </c>
      <c r="F145" t="s">
        <v>30</v>
      </c>
      <c r="G145">
        <v>4</v>
      </c>
      <c r="H145">
        <v>11679</v>
      </c>
      <c r="I145" t="s">
        <v>149</v>
      </c>
      <c r="J145" t="s">
        <v>45</v>
      </c>
    </row>
    <row r="146" spans="1:10" x14ac:dyDescent="0.3">
      <c r="A146">
        <v>1145</v>
      </c>
      <c r="B146" t="s">
        <v>78</v>
      </c>
      <c r="D146" t="s">
        <v>22</v>
      </c>
      <c r="E146" t="s">
        <v>44</v>
      </c>
      <c r="F146" t="s">
        <v>36</v>
      </c>
      <c r="G146">
        <v>0</v>
      </c>
      <c r="H146">
        <v>0</v>
      </c>
      <c r="I146" t="s">
        <v>150</v>
      </c>
      <c r="J146" t="s">
        <v>20</v>
      </c>
    </row>
    <row r="147" spans="1:10" x14ac:dyDescent="0.3">
      <c r="A147">
        <v>1146</v>
      </c>
      <c r="B147" t="s">
        <v>69</v>
      </c>
      <c r="D147" t="s">
        <v>17</v>
      </c>
      <c r="E147" t="s">
        <v>41</v>
      </c>
      <c r="F147" t="s">
        <v>36</v>
      </c>
      <c r="G147">
        <v>0</v>
      </c>
      <c r="H147">
        <v>12855</v>
      </c>
      <c r="I147" t="s">
        <v>91</v>
      </c>
      <c r="J147" t="s">
        <v>15</v>
      </c>
    </row>
    <row r="148" spans="1:10" x14ac:dyDescent="0.3">
      <c r="A148">
        <v>1147</v>
      </c>
      <c r="B148" t="s">
        <v>35</v>
      </c>
      <c r="C148">
        <v>43</v>
      </c>
      <c r="D148" t="s">
        <v>17</v>
      </c>
      <c r="E148" t="s">
        <v>41</v>
      </c>
      <c r="F148" t="s">
        <v>36</v>
      </c>
      <c r="G148">
        <v>3</v>
      </c>
      <c r="H148">
        <v>0</v>
      </c>
      <c r="I148" t="s">
        <v>93</v>
      </c>
      <c r="J148" t="s">
        <v>20</v>
      </c>
    </row>
    <row r="149" spans="1:10" x14ac:dyDescent="0.3">
      <c r="A149">
        <v>1148</v>
      </c>
      <c r="B149" t="s">
        <v>59</v>
      </c>
      <c r="C149">
        <v>27</v>
      </c>
      <c r="D149" t="s">
        <v>11</v>
      </c>
      <c r="E149" t="s">
        <v>55</v>
      </c>
      <c r="F149" t="s">
        <v>13</v>
      </c>
      <c r="G149">
        <v>2</v>
      </c>
      <c r="H149">
        <v>-1000</v>
      </c>
      <c r="I149" t="s">
        <v>74</v>
      </c>
      <c r="J149" t="s">
        <v>20</v>
      </c>
    </row>
    <row r="150" spans="1:10" x14ac:dyDescent="0.3">
      <c r="A150">
        <v>1149</v>
      </c>
      <c r="B150" t="s">
        <v>73</v>
      </c>
      <c r="C150">
        <v>30</v>
      </c>
      <c r="D150" t="s">
        <v>26</v>
      </c>
      <c r="E150" t="s">
        <v>41</v>
      </c>
      <c r="F150" t="s">
        <v>13</v>
      </c>
      <c r="G150">
        <v>4</v>
      </c>
      <c r="H150">
        <v>-1000</v>
      </c>
      <c r="I150" t="s">
        <v>151</v>
      </c>
      <c r="J150" t="s">
        <v>29</v>
      </c>
    </row>
    <row r="151" spans="1:10" x14ac:dyDescent="0.3">
      <c r="A151">
        <v>1150</v>
      </c>
      <c r="B151" t="s">
        <v>38</v>
      </c>
      <c r="C151">
        <v>48</v>
      </c>
      <c r="D151" t="s">
        <v>40</v>
      </c>
      <c r="E151" t="s">
        <v>51</v>
      </c>
      <c r="F151" t="s">
        <v>36</v>
      </c>
      <c r="G151">
        <v>0</v>
      </c>
      <c r="H151">
        <v>0</v>
      </c>
      <c r="I151" t="s">
        <v>140</v>
      </c>
      <c r="J151" t="s">
        <v>15</v>
      </c>
    </row>
    <row r="152" spans="1:10" x14ac:dyDescent="0.3">
      <c r="A152">
        <v>1151</v>
      </c>
      <c r="B152" t="s">
        <v>68</v>
      </c>
      <c r="C152">
        <v>44</v>
      </c>
      <c r="D152" t="s">
        <v>40</v>
      </c>
      <c r="E152" t="s">
        <v>55</v>
      </c>
      <c r="F152" t="s">
        <v>33</v>
      </c>
      <c r="G152">
        <v>0</v>
      </c>
      <c r="H152">
        <v>-1000</v>
      </c>
      <c r="I152" t="s">
        <v>151</v>
      </c>
      <c r="J152" t="s">
        <v>43</v>
      </c>
    </row>
    <row r="153" spans="1:10" x14ac:dyDescent="0.3">
      <c r="A153">
        <v>1152</v>
      </c>
      <c r="B153" t="s">
        <v>57</v>
      </c>
      <c r="C153">
        <v>48</v>
      </c>
      <c r="D153" t="s">
        <v>22</v>
      </c>
      <c r="E153" t="s">
        <v>23</v>
      </c>
      <c r="F153" t="s">
        <v>36</v>
      </c>
      <c r="G153">
        <v>0</v>
      </c>
      <c r="H153">
        <v>-1000</v>
      </c>
      <c r="I153" t="s">
        <v>37</v>
      </c>
      <c r="J153" t="s">
        <v>29</v>
      </c>
    </row>
    <row r="154" spans="1:10" x14ac:dyDescent="0.3">
      <c r="A154">
        <v>1153</v>
      </c>
      <c r="B154" t="s">
        <v>78</v>
      </c>
      <c r="C154">
        <v>30</v>
      </c>
      <c r="D154" t="s">
        <v>26</v>
      </c>
      <c r="E154" t="s">
        <v>51</v>
      </c>
      <c r="F154" t="s">
        <v>13</v>
      </c>
      <c r="G154">
        <v>0</v>
      </c>
      <c r="H154">
        <v>0</v>
      </c>
      <c r="I154" t="s">
        <v>28</v>
      </c>
      <c r="J154" t="s">
        <v>45</v>
      </c>
    </row>
    <row r="155" spans="1:10" x14ac:dyDescent="0.3">
      <c r="A155">
        <v>1154</v>
      </c>
      <c r="B155" t="s">
        <v>35</v>
      </c>
      <c r="C155">
        <v>35</v>
      </c>
      <c r="D155" t="s">
        <v>26</v>
      </c>
      <c r="E155" t="s">
        <v>41</v>
      </c>
      <c r="F155" t="s">
        <v>33</v>
      </c>
      <c r="G155">
        <v>1</v>
      </c>
      <c r="H155">
        <v>0</v>
      </c>
      <c r="I155" t="s">
        <v>152</v>
      </c>
      <c r="J155" t="s">
        <v>15</v>
      </c>
    </row>
    <row r="156" spans="1:10" x14ac:dyDescent="0.3">
      <c r="A156">
        <v>1155</v>
      </c>
      <c r="B156" t="s">
        <v>32</v>
      </c>
      <c r="D156" t="s">
        <v>22</v>
      </c>
      <c r="E156" t="s">
        <v>44</v>
      </c>
      <c r="F156" t="s">
        <v>30</v>
      </c>
      <c r="G156">
        <v>0</v>
      </c>
      <c r="H156">
        <v>0</v>
      </c>
      <c r="I156" t="s">
        <v>47</v>
      </c>
      <c r="J156" t="s">
        <v>43</v>
      </c>
    </row>
    <row r="157" spans="1:10" x14ac:dyDescent="0.3">
      <c r="A157">
        <v>1156</v>
      </c>
      <c r="B157" t="s">
        <v>59</v>
      </c>
      <c r="C157">
        <v>20</v>
      </c>
      <c r="D157" t="s">
        <v>22</v>
      </c>
      <c r="E157" t="s">
        <v>55</v>
      </c>
      <c r="F157" t="s">
        <v>36</v>
      </c>
      <c r="G157">
        <v>0</v>
      </c>
      <c r="H157">
        <v>0</v>
      </c>
      <c r="I157" t="s">
        <v>53</v>
      </c>
      <c r="J157" t="s">
        <v>45</v>
      </c>
    </row>
    <row r="158" spans="1:10" x14ac:dyDescent="0.3">
      <c r="A158">
        <v>1157</v>
      </c>
      <c r="B158" t="s">
        <v>57</v>
      </c>
      <c r="C158">
        <v>46</v>
      </c>
      <c r="D158" t="s">
        <v>22</v>
      </c>
      <c r="E158" t="s">
        <v>44</v>
      </c>
      <c r="F158" t="s">
        <v>30</v>
      </c>
      <c r="G158">
        <v>5</v>
      </c>
      <c r="H158">
        <v>0</v>
      </c>
      <c r="I158" t="s">
        <v>19</v>
      </c>
      <c r="J158" t="s">
        <v>43</v>
      </c>
    </row>
    <row r="159" spans="1:10" x14ac:dyDescent="0.3">
      <c r="A159">
        <v>1158</v>
      </c>
      <c r="B159" t="s">
        <v>32</v>
      </c>
      <c r="D159" t="s">
        <v>11</v>
      </c>
      <c r="E159" t="s">
        <v>12</v>
      </c>
      <c r="F159" t="s">
        <v>36</v>
      </c>
      <c r="G159">
        <v>0</v>
      </c>
      <c r="H159">
        <v>30958</v>
      </c>
      <c r="I159" t="s">
        <v>108</v>
      </c>
      <c r="J159" t="s">
        <v>29</v>
      </c>
    </row>
    <row r="160" spans="1:10" x14ac:dyDescent="0.3">
      <c r="A160">
        <v>1159</v>
      </c>
      <c r="B160" t="s">
        <v>73</v>
      </c>
      <c r="C160">
        <v>47</v>
      </c>
      <c r="D160" t="s">
        <v>26</v>
      </c>
      <c r="E160" t="s">
        <v>41</v>
      </c>
      <c r="F160" t="s">
        <v>30</v>
      </c>
      <c r="G160">
        <v>5</v>
      </c>
      <c r="H160">
        <v>0</v>
      </c>
      <c r="I160" t="s">
        <v>153</v>
      </c>
      <c r="J160" t="s">
        <v>20</v>
      </c>
    </row>
    <row r="161" spans="1:10" x14ac:dyDescent="0.3">
      <c r="A161">
        <v>1160</v>
      </c>
      <c r="B161" t="s">
        <v>21</v>
      </c>
      <c r="C161">
        <v>24</v>
      </c>
      <c r="D161" t="s">
        <v>40</v>
      </c>
      <c r="E161" t="s">
        <v>12</v>
      </c>
      <c r="F161" t="s">
        <v>33</v>
      </c>
      <c r="G161">
        <v>0</v>
      </c>
      <c r="H161">
        <v>0</v>
      </c>
      <c r="I161" t="s">
        <v>85</v>
      </c>
      <c r="J161" t="s">
        <v>45</v>
      </c>
    </row>
    <row r="162" spans="1:10" x14ac:dyDescent="0.3">
      <c r="A162">
        <v>1161</v>
      </c>
      <c r="B162" t="s">
        <v>25</v>
      </c>
      <c r="D162" t="s">
        <v>22</v>
      </c>
      <c r="E162" t="s">
        <v>44</v>
      </c>
      <c r="F162" t="s">
        <v>33</v>
      </c>
      <c r="G162">
        <v>5</v>
      </c>
      <c r="H162">
        <v>-1000</v>
      </c>
      <c r="I162" t="s">
        <v>131</v>
      </c>
      <c r="J162" t="s">
        <v>15</v>
      </c>
    </row>
    <row r="163" spans="1:10" x14ac:dyDescent="0.3">
      <c r="A163">
        <v>1162</v>
      </c>
      <c r="B163" t="s">
        <v>48</v>
      </c>
      <c r="D163" t="s">
        <v>17</v>
      </c>
      <c r="E163" t="s">
        <v>55</v>
      </c>
      <c r="F163" t="s">
        <v>13</v>
      </c>
      <c r="G163">
        <v>2</v>
      </c>
      <c r="H163">
        <v>0</v>
      </c>
      <c r="I163" t="s">
        <v>154</v>
      </c>
      <c r="J163" t="s">
        <v>29</v>
      </c>
    </row>
    <row r="164" spans="1:10" x14ac:dyDescent="0.3">
      <c r="A164">
        <v>1163</v>
      </c>
      <c r="B164" t="s">
        <v>73</v>
      </c>
      <c r="C164">
        <v>46</v>
      </c>
      <c r="D164" t="s">
        <v>40</v>
      </c>
      <c r="E164" t="s">
        <v>23</v>
      </c>
      <c r="F164" t="s">
        <v>30</v>
      </c>
      <c r="G164">
        <v>2</v>
      </c>
      <c r="H164">
        <v>46647</v>
      </c>
      <c r="I164" t="s">
        <v>155</v>
      </c>
      <c r="J164" t="s">
        <v>45</v>
      </c>
    </row>
    <row r="165" spans="1:10" x14ac:dyDescent="0.3">
      <c r="A165">
        <v>1164</v>
      </c>
      <c r="B165" t="s">
        <v>57</v>
      </c>
      <c r="D165" t="s">
        <v>40</v>
      </c>
      <c r="E165" t="s">
        <v>41</v>
      </c>
      <c r="F165" t="s">
        <v>13</v>
      </c>
      <c r="G165">
        <v>5</v>
      </c>
      <c r="H165">
        <v>-1000</v>
      </c>
      <c r="I165" t="s">
        <v>14</v>
      </c>
      <c r="J165" t="s">
        <v>15</v>
      </c>
    </row>
    <row r="166" spans="1:10" x14ac:dyDescent="0.3">
      <c r="A166">
        <v>1165</v>
      </c>
      <c r="B166" t="s">
        <v>46</v>
      </c>
      <c r="D166" t="s">
        <v>17</v>
      </c>
      <c r="E166" t="s">
        <v>18</v>
      </c>
      <c r="F166" t="s">
        <v>33</v>
      </c>
      <c r="G166">
        <v>0</v>
      </c>
      <c r="H166">
        <v>0</v>
      </c>
      <c r="I166" t="s">
        <v>156</v>
      </c>
      <c r="J166" t="s">
        <v>43</v>
      </c>
    </row>
    <row r="167" spans="1:10" x14ac:dyDescent="0.3">
      <c r="A167">
        <v>1166</v>
      </c>
      <c r="B167" t="s">
        <v>10</v>
      </c>
      <c r="C167">
        <v>28</v>
      </c>
      <c r="D167" t="s">
        <v>40</v>
      </c>
      <c r="E167" t="s">
        <v>12</v>
      </c>
      <c r="F167" t="s">
        <v>36</v>
      </c>
      <c r="G167">
        <v>3</v>
      </c>
      <c r="H167">
        <v>-1000</v>
      </c>
      <c r="I167" t="s">
        <v>157</v>
      </c>
      <c r="J167" t="s">
        <v>43</v>
      </c>
    </row>
    <row r="168" spans="1:10" x14ac:dyDescent="0.3">
      <c r="A168">
        <v>1167</v>
      </c>
      <c r="B168" t="s">
        <v>73</v>
      </c>
      <c r="D168" t="s">
        <v>17</v>
      </c>
      <c r="E168" t="s">
        <v>44</v>
      </c>
      <c r="F168" t="s">
        <v>33</v>
      </c>
      <c r="G168">
        <v>0</v>
      </c>
      <c r="H168">
        <v>0</v>
      </c>
      <c r="I168" t="s">
        <v>158</v>
      </c>
      <c r="J168" t="s">
        <v>20</v>
      </c>
    </row>
    <row r="169" spans="1:10" x14ac:dyDescent="0.3">
      <c r="A169">
        <v>1168</v>
      </c>
      <c r="B169" t="s">
        <v>78</v>
      </c>
      <c r="D169" t="s">
        <v>22</v>
      </c>
      <c r="E169" t="s">
        <v>18</v>
      </c>
      <c r="F169" t="s">
        <v>36</v>
      </c>
      <c r="G169">
        <v>0</v>
      </c>
      <c r="H169">
        <v>-1000</v>
      </c>
      <c r="I169" t="s">
        <v>159</v>
      </c>
      <c r="J169" t="s">
        <v>43</v>
      </c>
    </row>
    <row r="170" spans="1:10" x14ac:dyDescent="0.3">
      <c r="A170">
        <v>1169</v>
      </c>
      <c r="B170" t="s">
        <v>25</v>
      </c>
      <c r="C170">
        <v>34</v>
      </c>
      <c r="D170" t="s">
        <v>11</v>
      </c>
      <c r="E170" t="s">
        <v>12</v>
      </c>
      <c r="F170" t="s">
        <v>33</v>
      </c>
      <c r="G170">
        <v>0</v>
      </c>
      <c r="H170">
        <v>0</v>
      </c>
      <c r="I170" t="s">
        <v>160</v>
      </c>
      <c r="J170" t="s">
        <v>29</v>
      </c>
    </row>
    <row r="171" spans="1:10" x14ac:dyDescent="0.3">
      <c r="A171">
        <v>1170</v>
      </c>
      <c r="B171" t="s">
        <v>59</v>
      </c>
      <c r="C171">
        <v>25</v>
      </c>
      <c r="D171" t="s">
        <v>11</v>
      </c>
      <c r="E171" t="s">
        <v>41</v>
      </c>
      <c r="F171" t="s">
        <v>13</v>
      </c>
      <c r="G171">
        <v>5</v>
      </c>
      <c r="H171">
        <v>0</v>
      </c>
      <c r="I171" t="s">
        <v>150</v>
      </c>
      <c r="J171" t="s">
        <v>43</v>
      </c>
    </row>
    <row r="172" spans="1:10" x14ac:dyDescent="0.3">
      <c r="A172">
        <v>1171</v>
      </c>
      <c r="B172" t="s">
        <v>68</v>
      </c>
      <c r="C172">
        <v>35</v>
      </c>
      <c r="D172" t="s">
        <v>26</v>
      </c>
      <c r="E172" t="s">
        <v>27</v>
      </c>
      <c r="F172" t="s">
        <v>36</v>
      </c>
      <c r="G172">
        <v>0</v>
      </c>
      <c r="H172">
        <v>-1000</v>
      </c>
      <c r="I172" t="s">
        <v>161</v>
      </c>
      <c r="J172" t="s">
        <v>29</v>
      </c>
    </row>
    <row r="173" spans="1:10" x14ac:dyDescent="0.3">
      <c r="A173">
        <v>1172</v>
      </c>
      <c r="B173" t="s">
        <v>69</v>
      </c>
      <c r="D173" t="s">
        <v>40</v>
      </c>
      <c r="E173" t="s">
        <v>41</v>
      </c>
      <c r="F173" t="s">
        <v>13</v>
      </c>
      <c r="G173">
        <v>5</v>
      </c>
      <c r="H173">
        <v>45201</v>
      </c>
      <c r="I173" t="s">
        <v>162</v>
      </c>
      <c r="J173" t="s">
        <v>29</v>
      </c>
    </row>
    <row r="174" spans="1:10" x14ac:dyDescent="0.3">
      <c r="A174">
        <v>1173</v>
      </c>
      <c r="B174" t="s">
        <v>48</v>
      </c>
      <c r="C174">
        <v>38</v>
      </c>
      <c r="D174" t="s">
        <v>26</v>
      </c>
      <c r="E174" t="s">
        <v>12</v>
      </c>
      <c r="F174" t="s">
        <v>13</v>
      </c>
      <c r="G174">
        <v>0</v>
      </c>
      <c r="H174">
        <v>0</v>
      </c>
      <c r="I174" t="s">
        <v>28</v>
      </c>
      <c r="J174" t="s">
        <v>15</v>
      </c>
    </row>
    <row r="175" spans="1:10" x14ac:dyDescent="0.3">
      <c r="A175">
        <v>1174</v>
      </c>
      <c r="B175" t="s">
        <v>68</v>
      </c>
      <c r="C175">
        <v>22</v>
      </c>
      <c r="D175" t="s">
        <v>40</v>
      </c>
      <c r="E175" t="s">
        <v>27</v>
      </c>
      <c r="F175" t="s">
        <v>13</v>
      </c>
      <c r="G175">
        <v>0</v>
      </c>
      <c r="H175">
        <v>26026</v>
      </c>
      <c r="I175" t="s">
        <v>132</v>
      </c>
      <c r="J175" t="s">
        <v>15</v>
      </c>
    </row>
    <row r="176" spans="1:10" x14ac:dyDescent="0.3">
      <c r="A176">
        <v>1175</v>
      </c>
      <c r="B176" t="s">
        <v>62</v>
      </c>
      <c r="D176" t="s">
        <v>22</v>
      </c>
      <c r="E176" t="s">
        <v>23</v>
      </c>
      <c r="F176" t="s">
        <v>30</v>
      </c>
      <c r="G176">
        <v>4</v>
      </c>
      <c r="H176">
        <v>0</v>
      </c>
      <c r="I176" t="s">
        <v>100</v>
      </c>
      <c r="J176" t="s">
        <v>43</v>
      </c>
    </row>
    <row r="177" spans="1:10" x14ac:dyDescent="0.3">
      <c r="A177">
        <v>1176</v>
      </c>
      <c r="B177" t="s">
        <v>25</v>
      </c>
      <c r="D177" t="s">
        <v>11</v>
      </c>
      <c r="E177" t="s">
        <v>23</v>
      </c>
      <c r="F177" t="s">
        <v>36</v>
      </c>
      <c r="G177">
        <v>0</v>
      </c>
      <c r="H177">
        <v>40637</v>
      </c>
      <c r="I177" t="s">
        <v>163</v>
      </c>
      <c r="J177" t="s">
        <v>45</v>
      </c>
    </row>
    <row r="178" spans="1:10" x14ac:dyDescent="0.3">
      <c r="A178">
        <v>1177</v>
      </c>
      <c r="B178" t="s">
        <v>38</v>
      </c>
      <c r="D178" t="s">
        <v>11</v>
      </c>
      <c r="E178" t="s">
        <v>18</v>
      </c>
      <c r="F178" t="s">
        <v>36</v>
      </c>
      <c r="G178">
        <v>5</v>
      </c>
      <c r="H178">
        <v>0</v>
      </c>
      <c r="I178" t="s">
        <v>164</v>
      </c>
      <c r="J178" t="s">
        <v>15</v>
      </c>
    </row>
    <row r="179" spans="1:10" x14ac:dyDescent="0.3">
      <c r="A179">
        <v>1178</v>
      </c>
      <c r="B179" t="s">
        <v>64</v>
      </c>
      <c r="C179">
        <v>42</v>
      </c>
      <c r="D179" t="s">
        <v>40</v>
      </c>
      <c r="E179" t="s">
        <v>44</v>
      </c>
      <c r="F179" t="s">
        <v>36</v>
      </c>
      <c r="G179">
        <v>5</v>
      </c>
      <c r="H179">
        <v>-1000</v>
      </c>
      <c r="I179" t="s">
        <v>165</v>
      </c>
      <c r="J179" t="s">
        <v>20</v>
      </c>
    </row>
    <row r="180" spans="1:10" x14ac:dyDescent="0.3">
      <c r="A180">
        <v>1179</v>
      </c>
      <c r="B180" t="s">
        <v>64</v>
      </c>
      <c r="D180" t="s">
        <v>26</v>
      </c>
      <c r="E180" t="s">
        <v>23</v>
      </c>
      <c r="F180" t="s">
        <v>36</v>
      </c>
      <c r="G180">
        <v>4</v>
      </c>
      <c r="H180">
        <v>-1000</v>
      </c>
      <c r="I180" t="s">
        <v>47</v>
      </c>
      <c r="J180" t="s">
        <v>43</v>
      </c>
    </row>
    <row r="181" spans="1:10" x14ac:dyDescent="0.3">
      <c r="A181">
        <v>1180</v>
      </c>
      <c r="B181" t="s">
        <v>54</v>
      </c>
      <c r="C181">
        <v>45</v>
      </c>
      <c r="D181" t="s">
        <v>17</v>
      </c>
      <c r="E181" t="s">
        <v>23</v>
      </c>
      <c r="F181" t="s">
        <v>13</v>
      </c>
      <c r="G181">
        <v>5</v>
      </c>
      <c r="H181">
        <v>0</v>
      </c>
      <c r="I181" t="s">
        <v>130</v>
      </c>
      <c r="J181" t="s">
        <v>29</v>
      </c>
    </row>
    <row r="182" spans="1:10" x14ac:dyDescent="0.3">
      <c r="A182">
        <v>1181</v>
      </c>
      <c r="B182" t="s">
        <v>69</v>
      </c>
      <c r="C182">
        <v>32</v>
      </c>
      <c r="D182" t="s">
        <v>40</v>
      </c>
      <c r="E182" t="s">
        <v>55</v>
      </c>
      <c r="F182" t="s">
        <v>36</v>
      </c>
      <c r="G182">
        <v>5</v>
      </c>
      <c r="H182">
        <v>22484</v>
      </c>
      <c r="I182" t="s">
        <v>166</v>
      </c>
      <c r="J182" t="s">
        <v>15</v>
      </c>
    </row>
    <row r="183" spans="1:10" x14ac:dyDescent="0.3">
      <c r="A183">
        <v>1182</v>
      </c>
      <c r="B183" t="s">
        <v>68</v>
      </c>
      <c r="C183">
        <v>32</v>
      </c>
      <c r="D183" t="s">
        <v>40</v>
      </c>
      <c r="E183" t="s">
        <v>51</v>
      </c>
      <c r="F183" t="s">
        <v>33</v>
      </c>
      <c r="G183">
        <v>0</v>
      </c>
      <c r="H183">
        <v>48960</v>
      </c>
      <c r="I183" t="s">
        <v>126</v>
      </c>
      <c r="J183" t="s">
        <v>20</v>
      </c>
    </row>
    <row r="184" spans="1:10" x14ac:dyDescent="0.3">
      <c r="A184">
        <v>1183</v>
      </c>
      <c r="B184" t="s">
        <v>32</v>
      </c>
      <c r="D184" t="s">
        <v>11</v>
      </c>
      <c r="E184" t="s">
        <v>55</v>
      </c>
      <c r="F184" t="s">
        <v>33</v>
      </c>
      <c r="G184">
        <v>0</v>
      </c>
      <c r="H184">
        <v>0</v>
      </c>
      <c r="I184" t="s">
        <v>167</v>
      </c>
      <c r="J184" t="s">
        <v>43</v>
      </c>
    </row>
    <row r="185" spans="1:10" x14ac:dyDescent="0.3">
      <c r="A185">
        <v>1184</v>
      </c>
      <c r="B185" t="s">
        <v>68</v>
      </c>
      <c r="D185" t="s">
        <v>11</v>
      </c>
      <c r="E185" t="s">
        <v>55</v>
      </c>
      <c r="F185" t="s">
        <v>30</v>
      </c>
      <c r="G185">
        <v>3</v>
      </c>
      <c r="H185">
        <v>44402</v>
      </c>
      <c r="I185" t="s">
        <v>168</v>
      </c>
      <c r="J185" t="s">
        <v>20</v>
      </c>
    </row>
    <row r="186" spans="1:10" x14ac:dyDescent="0.3">
      <c r="A186">
        <v>1185</v>
      </c>
      <c r="B186" t="s">
        <v>16</v>
      </c>
      <c r="D186" t="s">
        <v>40</v>
      </c>
      <c r="E186" t="s">
        <v>18</v>
      </c>
      <c r="F186" t="s">
        <v>30</v>
      </c>
      <c r="G186">
        <v>1</v>
      </c>
      <c r="H186">
        <v>-1000</v>
      </c>
      <c r="I186" t="s">
        <v>99</v>
      </c>
      <c r="J186" t="s">
        <v>29</v>
      </c>
    </row>
    <row r="187" spans="1:10" x14ac:dyDescent="0.3">
      <c r="A187">
        <v>1186</v>
      </c>
      <c r="B187" t="s">
        <v>78</v>
      </c>
      <c r="D187" t="s">
        <v>11</v>
      </c>
      <c r="E187" t="s">
        <v>44</v>
      </c>
      <c r="F187" t="s">
        <v>33</v>
      </c>
      <c r="G187">
        <v>5</v>
      </c>
      <c r="H187">
        <v>-1000</v>
      </c>
      <c r="I187" t="s">
        <v>169</v>
      </c>
      <c r="J187" t="s">
        <v>45</v>
      </c>
    </row>
    <row r="188" spans="1:10" x14ac:dyDescent="0.3">
      <c r="A188">
        <v>1187</v>
      </c>
      <c r="B188" t="s">
        <v>54</v>
      </c>
      <c r="D188" t="s">
        <v>40</v>
      </c>
      <c r="E188" t="s">
        <v>23</v>
      </c>
      <c r="F188" t="s">
        <v>36</v>
      </c>
      <c r="G188">
        <v>1</v>
      </c>
      <c r="H188">
        <v>-1000</v>
      </c>
      <c r="I188" t="s">
        <v>170</v>
      </c>
      <c r="J188" t="s">
        <v>29</v>
      </c>
    </row>
    <row r="189" spans="1:10" x14ac:dyDescent="0.3">
      <c r="A189">
        <v>1188</v>
      </c>
      <c r="B189" t="s">
        <v>59</v>
      </c>
      <c r="C189">
        <v>19</v>
      </c>
      <c r="D189" t="s">
        <v>11</v>
      </c>
      <c r="E189" t="s">
        <v>27</v>
      </c>
      <c r="F189" t="s">
        <v>13</v>
      </c>
      <c r="G189">
        <v>0</v>
      </c>
      <c r="H189">
        <v>-1000</v>
      </c>
      <c r="I189" t="s">
        <v>66</v>
      </c>
      <c r="J189" t="s">
        <v>20</v>
      </c>
    </row>
    <row r="190" spans="1:10" x14ac:dyDescent="0.3">
      <c r="A190">
        <v>1189</v>
      </c>
      <c r="B190" t="s">
        <v>64</v>
      </c>
      <c r="D190" t="s">
        <v>40</v>
      </c>
      <c r="E190" t="s">
        <v>51</v>
      </c>
      <c r="F190" t="s">
        <v>36</v>
      </c>
      <c r="G190">
        <v>0</v>
      </c>
      <c r="H190">
        <v>12597</v>
      </c>
      <c r="I190" t="s">
        <v>39</v>
      </c>
      <c r="J190" t="s">
        <v>43</v>
      </c>
    </row>
    <row r="191" spans="1:10" x14ac:dyDescent="0.3">
      <c r="A191">
        <v>1190</v>
      </c>
      <c r="B191" t="s">
        <v>25</v>
      </c>
      <c r="D191" t="s">
        <v>26</v>
      </c>
      <c r="E191" t="s">
        <v>44</v>
      </c>
      <c r="F191" t="s">
        <v>30</v>
      </c>
      <c r="G191">
        <v>0</v>
      </c>
      <c r="H191">
        <v>9138</v>
      </c>
      <c r="I191" t="s">
        <v>127</v>
      </c>
      <c r="J191" t="s">
        <v>43</v>
      </c>
    </row>
    <row r="192" spans="1:10" x14ac:dyDescent="0.3">
      <c r="A192">
        <v>1191</v>
      </c>
      <c r="B192" t="s">
        <v>62</v>
      </c>
      <c r="C192">
        <v>46</v>
      </c>
      <c r="D192" t="s">
        <v>22</v>
      </c>
      <c r="E192" t="s">
        <v>27</v>
      </c>
      <c r="F192" t="s">
        <v>30</v>
      </c>
      <c r="G192">
        <v>0</v>
      </c>
      <c r="H192">
        <v>-1000</v>
      </c>
      <c r="I192" t="s">
        <v>101</v>
      </c>
      <c r="J192" t="s">
        <v>45</v>
      </c>
    </row>
    <row r="193" spans="1:10" x14ac:dyDescent="0.3">
      <c r="A193">
        <v>1192</v>
      </c>
      <c r="B193" t="s">
        <v>59</v>
      </c>
      <c r="C193">
        <v>42</v>
      </c>
      <c r="D193" t="s">
        <v>22</v>
      </c>
      <c r="E193" t="s">
        <v>27</v>
      </c>
      <c r="F193" t="s">
        <v>13</v>
      </c>
      <c r="G193">
        <v>5</v>
      </c>
      <c r="H193">
        <v>0</v>
      </c>
      <c r="I193" t="s">
        <v>171</v>
      </c>
      <c r="J193" t="s">
        <v>20</v>
      </c>
    </row>
    <row r="194" spans="1:10" x14ac:dyDescent="0.3">
      <c r="A194">
        <v>1193</v>
      </c>
      <c r="B194" t="s">
        <v>16</v>
      </c>
      <c r="D194" t="s">
        <v>40</v>
      </c>
      <c r="E194" t="s">
        <v>18</v>
      </c>
      <c r="F194" t="s">
        <v>30</v>
      </c>
      <c r="G194">
        <v>1</v>
      </c>
      <c r="H194">
        <v>8970</v>
      </c>
      <c r="I194" t="s">
        <v>172</v>
      </c>
      <c r="J194" t="s">
        <v>45</v>
      </c>
    </row>
    <row r="195" spans="1:10" x14ac:dyDescent="0.3">
      <c r="A195">
        <v>1194</v>
      </c>
      <c r="B195" t="s">
        <v>68</v>
      </c>
      <c r="D195" t="s">
        <v>22</v>
      </c>
      <c r="E195" t="s">
        <v>27</v>
      </c>
      <c r="F195" t="s">
        <v>30</v>
      </c>
      <c r="G195">
        <v>0</v>
      </c>
      <c r="H195">
        <v>8285</v>
      </c>
      <c r="I195" t="s">
        <v>103</v>
      </c>
      <c r="J195" t="s">
        <v>29</v>
      </c>
    </row>
    <row r="196" spans="1:10" x14ac:dyDescent="0.3">
      <c r="A196">
        <v>1195</v>
      </c>
      <c r="B196" t="s">
        <v>54</v>
      </c>
      <c r="D196" t="s">
        <v>11</v>
      </c>
      <c r="E196" t="s">
        <v>55</v>
      </c>
      <c r="F196" t="s">
        <v>13</v>
      </c>
      <c r="G196">
        <v>0</v>
      </c>
      <c r="H196">
        <v>0</v>
      </c>
      <c r="I196" t="s">
        <v>24</v>
      </c>
      <c r="J196" t="s">
        <v>29</v>
      </c>
    </row>
    <row r="197" spans="1:10" x14ac:dyDescent="0.3">
      <c r="A197">
        <v>1196</v>
      </c>
      <c r="B197" t="s">
        <v>46</v>
      </c>
      <c r="D197" t="s">
        <v>11</v>
      </c>
      <c r="E197" t="s">
        <v>51</v>
      </c>
      <c r="F197" t="s">
        <v>36</v>
      </c>
      <c r="G197">
        <v>0</v>
      </c>
      <c r="H197">
        <v>-1000</v>
      </c>
      <c r="I197" t="s">
        <v>173</v>
      </c>
      <c r="J197" t="s">
        <v>43</v>
      </c>
    </row>
    <row r="198" spans="1:10" x14ac:dyDescent="0.3">
      <c r="A198">
        <v>1197</v>
      </c>
      <c r="B198" t="s">
        <v>46</v>
      </c>
      <c r="D198" t="s">
        <v>26</v>
      </c>
      <c r="E198" t="s">
        <v>55</v>
      </c>
      <c r="F198" t="s">
        <v>36</v>
      </c>
      <c r="G198">
        <v>0</v>
      </c>
      <c r="H198">
        <v>0</v>
      </c>
      <c r="I198" t="s">
        <v>42</v>
      </c>
      <c r="J198" t="s">
        <v>43</v>
      </c>
    </row>
    <row r="199" spans="1:10" x14ac:dyDescent="0.3">
      <c r="A199">
        <v>1198</v>
      </c>
      <c r="B199" t="s">
        <v>35</v>
      </c>
      <c r="C199">
        <v>19</v>
      </c>
      <c r="D199" t="s">
        <v>40</v>
      </c>
      <c r="E199" t="s">
        <v>23</v>
      </c>
      <c r="F199" t="s">
        <v>30</v>
      </c>
      <c r="G199">
        <v>0</v>
      </c>
      <c r="H199">
        <v>0</v>
      </c>
      <c r="I199" t="s">
        <v>144</v>
      </c>
      <c r="J199" t="s">
        <v>45</v>
      </c>
    </row>
    <row r="200" spans="1:10" x14ac:dyDescent="0.3">
      <c r="A200">
        <v>1199</v>
      </c>
      <c r="B200" t="s">
        <v>38</v>
      </c>
      <c r="C200">
        <v>35</v>
      </c>
      <c r="D200" t="s">
        <v>11</v>
      </c>
      <c r="E200" t="s">
        <v>12</v>
      </c>
      <c r="F200" t="s">
        <v>13</v>
      </c>
      <c r="G200">
        <v>4</v>
      </c>
      <c r="H200">
        <v>-1000</v>
      </c>
      <c r="I200" t="s">
        <v>174</v>
      </c>
      <c r="J200" t="s">
        <v>20</v>
      </c>
    </row>
    <row r="201" spans="1:10" x14ac:dyDescent="0.3">
      <c r="A201">
        <v>1200</v>
      </c>
      <c r="B201" t="s">
        <v>35</v>
      </c>
      <c r="D201" t="s">
        <v>11</v>
      </c>
      <c r="E201" t="s">
        <v>18</v>
      </c>
      <c r="F201" t="s">
        <v>33</v>
      </c>
      <c r="G201">
        <v>0</v>
      </c>
      <c r="H201">
        <v>35345</v>
      </c>
      <c r="I201" t="s">
        <v>129</v>
      </c>
      <c r="J201" t="s">
        <v>15</v>
      </c>
    </row>
    <row r="202" spans="1:10" x14ac:dyDescent="0.3">
      <c r="A202">
        <v>1201</v>
      </c>
      <c r="B202" t="s">
        <v>48</v>
      </c>
      <c r="C202">
        <v>50</v>
      </c>
      <c r="D202" t="s">
        <v>11</v>
      </c>
      <c r="E202" t="s">
        <v>12</v>
      </c>
      <c r="F202" t="s">
        <v>13</v>
      </c>
      <c r="G202">
        <v>3</v>
      </c>
      <c r="H202">
        <v>0</v>
      </c>
      <c r="I202" t="s">
        <v>161</v>
      </c>
      <c r="J202" t="s">
        <v>20</v>
      </c>
    </row>
    <row r="203" spans="1:10" x14ac:dyDescent="0.3">
      <c r="A203">
        <v>1202</v>
      </c>
      <c r="B203" t="s">
        <v>78</v>
      </c>
      <c r="D203" t="s">
        <v>11</v>
      </c>
      <c r="E203" t="s">
        <v>18</v>
      </c>
      <c r="F203" t="s">
        <v>36</v>
      </c>
      <c r="G203">
        <v>5</v>
      </c>
      <c r="H203">
        <v>0</v>
      </c>
      <c r="I203" t="s">
        <v>106</v>
      </c>
      <c r="J203" t="s">
        <v>15</v>
      </c>
    </row>
    <row r="204" spans="1:10" x14ac:dyDescent="0.3">
      <c r="A204">
        <v>1203</v>
      </c>
      <c r="B204" t="s">
        <v>68</v>
      </c>
      <c r="D204" t="s">
        <v>11</v>
      </c>
      <c r="E204" t="s">
        <v>23</v>
      </c>
      <c r="F204" t="s">
        <v>36</v>
      </c>
      <c r="G204">
        <v>2</v>
      </c>
      <c r="H204">
        <v>0</v>
      </c>
      <c r="I204" t="s">
        <v>150</v>
      </c>
      <c r="J204" t="s">
        <v>15</v>
      </c>
    </row>
    <row r="205" spans="1:10" x14ac:dyDescent="0.3">
      <c r="A205">
        <v>1204</v>
      </c>
      <c r="B205" t="s">
        <v>64</v>
      </c>
      <c r="C205">
        <v>36</v>
      </c>
      <c r="D205" t="s">
        <v>11</v>
      </c>
      <c r="E205" t="s">
        <v>44</v>
      </c>
      <c r="F205" t="s">
        <v>36</v>
      </c>
      <c r="G205">
        <v>2</v>
      </c>
      <c r="H205">
        <v>-1000</v>
      </c>
      <c r="I205" t="s">
        <v>175</v>
      </c>
      <c r="J205" t="s">
        <v>29</v>
      </c>
    </row>
    <row r="206" spans="1:10" x14ac:dyDescent="0.3">
      <c r="A206">
        <v>1205</v>
      </c>
      <c r="B206" t="s">
        <v>68</v>
      </c>
      <c r="C206">
        <v>22</v>
      </c>
      <c r="D206" t="s">
        <v>11</v>
      </c>
      <c r="E206" t="s">
        <v>44</v>
      </c>
      <c r="F206" t="s">
        <v>30</v>
      </c>
      <c r="G206">
        <v>0</v>
      </c>
      <c r="H206">
        <v>35110</v>
      </c>
      <c r="I206" t="s">
        <v>176</v>
      </c>
      <c r="J206" t="s">
        <v>43</v>
      </c>
    </row>
    <row r="207" spans="1:10" x14ac:dyDescent="0.3">
      <c r="A207">
        <v>1206</v>
      </c>
      <c r="B207" t="s">
        <v>21</v>
      </c>
      <c r="C207">
        <v>21</v>
      </c>
      <c r="D207" t="s">
        <v>40</v>
      </c>
      <c r="E207" t="s">
        <v>18</v>
      </c>
      <c r="F207" t="s">
        <v>30</v>
      </c>
      <c r="G207">
        <v>0</v>
      </c>
      <c r="H207">
        <v>11760</v>
      </c>
      <c r="I207" t="s">
        <v>177</v>
      </c>
      <c r="J207" t="s">
        <v>29</v>
      </c>
    </row>
    <row r="208" spans="1:10" x14ac:dyDescent="0.3">
      <c r="A208">
        <v>1207</v>
      </c>
      <c r="B208" t="s">
        <v>78</v>
      </c>
      <c r="C208">
        <v>29</v>
      </c>
      <c r="D208" t="s">
        <v>26</v>
      </c>
      <c r="E208" t="s">
        <v>23</v>
      </c>
      <c r="F208" t="s">
        <v>13</v>
      </c>
      <c r="G208">
        <v>1</v>
      </c>
      <c r="H208">
        <v>-1000</v>
      </c>
      <c r="I208" t="s">
        <v>126</v>
      </c>
      <c r="J208" t="s">
        <v>45</v>
      </c>
    </row>
    <row r="209" spans="1:10" x14ac:dyDescent="0.3">
      <c r="A209">
        <v>1208</v>
      </c>
      <c r="B209" t="s">
        <v>32</v>
      </c>
      <c r="C209">
        <v>34</v>
      </c>
      <c r="D209" t="s">
        <v>22</v>
      </c>
      <c r="E209" t="s">
        <v>51</v>
      </c>
      <c r="F209" t="s">
        <v>13</v>
      </c>
      <c r="G209">
        <v>0</v>
      </c>
      <c r="H209">
        <v>-1000</v>
      </c>
      <c r="I209" t="s">
        <v>157</v>
      </c>
      <c r="J209" t="s">
        <v>43</v>
      </c>
    </row>
    <row r="210" spans="1:10" x14ac:dyDescent="0.3">
      <c r="A210">
        <v>1209</v>
      </c>
      <c r="B210" t="s">
        <v>21</v>
      </c>
      <c r="C210">
        <v>48</v>
      </c>
      <c r="D210" t="s">
        <v>22</v>
      </c>
      <c r="E210" t="s">
        <v>12</v>
      </c>
      <c r="F210" t="s">
        <v>36</v>
      </c>
      <c r="G210">
        <v>5</v>
      </c>
      <c r="H210">
        <v>0</v>
      </c>
      <c r="I210" t="s">
        <v>178</v>
      </c>
      <c r="J210" t="s">
        <v>45</v>
      </c>
    </row>
    <row r="211" spans="1:10" x14ac:dyDescent="0.3">
      <c r="A211">
        <v>1210</v>
      </c>
      <c r="B211" t="s">
        <v>57</v>
      </c>
      <c r="C211">
        <v>47</v>
      </c>
      <c r="D211" t="s">
        <v>40</v>
      </c>
      <c r="E211" t="s">
        <v>51</v>
      </c>
      <c r="F211" t="s">
        <v>36</v>
      </c>
      <c r="G211">
        <v>0</v>
      </c>
      <c r="H211">
        <v>-1000</v>
      </c>
      <c r="I211" t="s">
        <v>166</v>
      </c>
      <c r="J211" t="s">
        <v>29</v>
      </c>
    </row>
    <row r="212" spans="1:10" x14ac:dyDescent="0.3">
      <c r="A212">
        <v>1211</v>
      </c>
      <c r="B212" t="s">
        <v>62</v>
      </c>
      <c r="D212" t="s">
        <v>22</v>
      </c>
      <c r="E212" t="s">
        <v>44</v>
      </c>
      <c r="F212" t="s">
        <v>36</v>
      </c>
      <c r="G212">
        <v>0</v>
      </c>
      <c r="H212">
        <v>0</v>
      </c>
      <c r="I212" t="s">
        <v>125</v>
      </c>
      <c r="J212" t="s">
        <v>45</v>
      </c>
    </row>
    <row r="213" spans="1:10" x14ac:dyDescent="0.3">
      <c r="A213">
        <v>1212</v>
      </c>
      <c r="B213" t="s">
        <v>16</v>
      </c>
      <c r="D213" t="s">
        <v>11</v>
      </c>
      <c r="E213" t="s">
        <v>41</v>
      </c>
      <c r="F213" t="s">
        <v>36</v>
      </c>
      <c r="G213">
        <v>2</v>
      </c>
      <c r="H213">
        <v>6262</v>
      </c>
      <c r="I213" t="s">
        <v>179</v>
      </c>
      <c r="J213" t="s">
        <v>45</v>
      </c>
    </row>
    <row r="214" spans="1:10" x14ac:dyDescent="0.3">
      <c r="A214">
        <v>1213</v>
      </c>
      <c r="B214" t="s">
        <v>25</v>
      </c>
      <c r="D214" t="s">
        <v>11</v>
      </c>
      <c r="E214" t="s">
        <v>44</v>
      </c>
      <c r="F214" t="s">
        <v>33</v>
      </c>
      <c r="G214">
        <v>4</v>
      </c>
      <c r="H214">
        <v>-1000</v>
      </c>
      <c r="I214" t="s">
        <v>145</v>
      </c>
      <c r="J214" t="s">
        <v>15</v>
      </c>
    </row>
    <row r="215" spans="1:10" x14ac:dyDescent="0.3">
      <c r="A215">
        <v>1214</v>
      </c>
      <c r="B215" t="s">
        <v>78</v>
      </c>
      <c r="C215">
        <v>35</v>
      </c>
      <c r="D215" t="s">
        <v>22</v>
      </c>
      <c r="E215" t="s">
        <v>51</v>
      </c>
      <c r="F215" t="s">
        <v>36</v>
      </c>
      <c r="G215">
        <v>1</v>
      </c>
      <c r="H215">
        <v>9120</v>
      </c>
      <c r="I215" t="s">
        <v>180</v>
      </c>
      <c r="J215" t="s">
        <v>43</v>
      </c>
    </row>
    <row r="216" spans="1:10" x14ac:dyDescent="0.3">
      <c r="A216">
        <v>1215</v>
      </c>
      <c r="B216" t="s">
        <v>64</v>
      </c>
      <c r="C216">
        <v>48</v>
      </c>
      <c r="D216" t="s">
        <v>26</v>
      </c>
      <c r="E216" t="s">
        <v>44</v>
      </c>
      <c r="F216" t="s">
        <v>33</v>
      </c>
      <c r="G216">
        <v>5</v>
      </c>
      <c r="H216">
        <v>35558</v>
      </c>
      <c r="I216" t="s">
        <v>152</v>
      </c>
      <c r="J216" t="s">
        <v>43</v>
      </c>
    </row>
    <row r="217" spans="1:10" x14ac:dyDescent="0.3">
      <c r="A217">
        <v>1216</v>
      </c>
      <c r="B217" t="s">
        <v>69</v>
      </c>
      <c r="C217">
        <v>24</v>
      </c>
      <c r="D217" t="s">
        <v>22</v>
      </c>
      <c r="E217" t="s">
        <v>23</v>
      </c>
      <c r="F217" t="s">
        <v>13</v>
      </c>
      <c r="G217">
        <v>1</v>
      </c>
      <c r="H217">
        <v>44304</v>
      </c>
      <c r="I217" t="s">
        <v>157</v>
      </c>
      <c r="J217" t="s">
        <v>43</v>
      </c>
    </row>
    <row r="218" spans="1:10" x14ac:dyDescent="0.3">
      <c r="A218">
        <v>1217</v>
      </c>
      <c r="B218" t="s">
        <v>54</v>
      </c>
      <c r="C218">
        <v>50</v>
      </c>
      <c r="D218" t="s">
        <v>11</v>
      </c>
      <c r="E218" t="s">
        <v>51</v>
      </c>
      <c r="F218" t="s">
        <v>36</v>
      </c>
      <c r="G218">
        <v>3</v>
      </c>
      <c r="H218">
        <v>0</v>
      </c>
      <c r="I218" t="s">
        <v>162</v>
      </c>
      <c r="J218" t="s">
        <v>29</v>
      </c>
    </row>
    <row r="219" spans="1:10" x14ac:dyDescent="0.3">
      <c r="A219">
        <v>1218</v>
      </c>
      <c r="B219" t="s">
        <v>69</v>
      </c>
      <c r="D219" t="s">
        <v>11</v>
      </c>
      <c r="E219" t="s">
        <v>55</v>
      </c>
      <c r="F219" t="s">
        <v>13</v>
      </c>
      <c r="G219">
        <v>0</v>
      </c>
      <c r="H219">
        <v>-1000</v>
      </c>
      <c r="I219" t="s">
        <v>126</v>
      </c>
      <c r="J219" t="s">
        <v>29</v>
      </c>
    </row>
    <row r="220" spans="1:10" x14ac:dyDescent="0.3">
      <c r="A220">
        <v>1219</v>
      </c>
      <c r="B220" t="s">
        <v>48</v>
      </c>
      <c r="D220" t="s">
        <v>40</v>
      </c>
      <c r="E220" t="s">
        <v>18</v>
      </c>
      <c r="F220" t="s">
        <v>13</v>
      </c>
      <c r="G220">
        <v>0</v>
      </c>
      <c r="H220">
        <v>-1000</v>
      </c>
      <c r="I220" t="s">
        <v>144</v>
      </c>
      <c r="J220" t="s">
        <v>20</v>
      </c>
    </row>
    <row r="221" spans="1:10" x14ac:dyDescent="0.3">
      <c r="A221">
        <v>1220</v>
      </c>
      <c r="B221" t="s">
        <v>10</v>
      </c>
      <c r="D221" t="s">
        <v>40</v>
      </c>
      <c r="E221" t="s">
        <v>44</v>
      </c>
      <c r="F221" t="s">
        <v>30</v>
      </c>
      <c r="G221">
        <v>0</v>
      </c>
      <c r="H221">
        <v>0</v>
      </c>
      <c r="I221" t="s">
        <v>181</v>
      </c>
      <c r="J221" t="s">
        <v>15</v>
      </c>
    </row>
    <row r="222" spans="1:10" x14ac:dyDescent="0.3">
      <c r="A222">
        <v>1221</v>
      </c>
      <c r="B222" t="s">
        <v>35</v>
      </c>
      <c r="C222">
        <v>22</v>
      </c>
      <c r="D222" t="s">
        <v>26</v>
      </c>
      <c r="E222" t="s">
        <v>55</v>
      </c>
      <c r="F222" t="s">
        <v>33</v>
      </c>
      <c r="G222">
        <v>0</v>
      </c>
      <c r="H222">
        <v>0</v>
      </c>
      <c r="I222" t="s">
        <v>159</v>
      </c>
      <c r="J222" t="s">
        <v>45</v>
      </c>
    </row>
    <row r="223" spans="1:10" x14ac:dyDescent="0.3">
      <c r="A223">
        <v>1222</v>
      </c>
      <c r="B223" t="s">
        <v>25</v>
      </c>
      <c r="D223" t="s">
        <v>22</v>
      </c>
      <c r="E223" t="s">
        <v>55</v>
      </c>
      <c r="F223" t="s">
        <v>36</v>
      </c>
      <c r="G223">
        <v>0</v>
      </c>
      <c r="H223">
        <v>49651</v>
      </c>
      <c r="I223" t="s">
        <v>107</v>
      </c>
      <c r="J223" t="s">
        <v>43</v>
      </c>
    </row>
    <row r="224" spans="1:10" x14ac:dyDescent="0.3">
      <c r="A224">
        <v>1223</v>
      </c>
      <c r="B224" t="s">
        <v>16</v>
      </c>
      <c r="C224">
        <v>19</v>
      </c>
      <c r="D224" t="s">
        <v>17</v>
      </c>
      <c r="E224" t="s">
        <v>44</v>
      </c>
      <c r="F224" t="s">
        <v>30</v>
      </c>
      <c r="G224">
        <v>1</v>
      </c>
      <c r="H224">
        <v>-1000</v>
      </c>
      <c r="I224" t="s">
        <v>168</v>
      </c>
      <c r="J224" t="s">
        <v>45</v>
      </c>
    </row>
    <row r="225" spans="1:10" x14ac:dyDescent="0.3">
      <c r="A225">
        <v>1224</v>
      </c>
      <c r="B225" t="s">
        <v>73</v>
      </c>
      <c r="D225" t="s">
        <v>40</v>
      </c>
      <c r="E225" t="s">
        <v>44</v>
      </c>
      <c r="F225" t="s">
        <v>33</v>
      </c>
      <c r="G225">
        <v>0</v>
      </c>
      <c r="H225">
        <v>27499</v>
      </c>
      <c r="I225" t="s">
        <v>144</v>
      </c>
      <c r="J225" t="s">
        <v>15</v>
      </c>
    </row>
    <row r="226" spans="1:10" x14ac:dyDescent="0.3">
      <c r="A226">
        <v>1225</v>
      </c>
      <c r="B226" t="s">
        <v>35</v>
      </c>
      <c r="D226" t="s">
        <v>17</v>
      </c>
      <c r="E226" t="s">
        <v>51</v>
      </c>
      <c r="F226" t="s">
        <v>33</v>
      </c>
      <c r="G226">
        <v>0</v>
      </c>
      <c r="H226">
        <v>-1000</v>
      </c>
      <c r="I226" t="s">
        <v>135</v>
      </c>
      <c r="J226" t="s">
        <v>15</v>
      </c>
    </row>
    <row r="227" spans="1:10" x14ac:dyDescent="0.3">
      <c r="A227">
        <v>1226</v>
      </c>
      <c r="B227" t="s">
        <v>32</v>
      </c>
      <c r="D227" t="s">
        <v>40</v>
      </c>
      <c r="E227" t="s">
        <v>12</v>
      </c>
      <c r="F227" t="s">
        <v>36</v>
      </c>
      <c r="G227">
        <v>5</v>
      </c>
      <c r="H227">
        <v>0</v>
      </c>
      <c r="I227" t="s">
        <v>112</v>
      </c>
      <c r="J227" t="s">
        <v>45</v>
      </c>
    </row>
    <row r="228" spans="1:10" x14ac:dyDescent="0.3">
      <c r="A228">
        <v>1227</v>
      </c>
      <c r="B228" t="s">
        <v>46</v>
      </c>
      <c r="C228">
        <v>42</v>
      </c>
      <c r="D228" t="s">
        <v>17</v>
      </c>
      <c r="E228" t="s">
        <v>23</v>
      </c>
      <c r="F228" t="s">
        <v>13</v>
      </c>
      <c r="G228">
        <v>5</v>
      </c>
      <c r="H228">
        <v>35550</v>
      </c>
      <c r="I228" t="s">
        <v>147</v>
      </c>
      <c r="J228" t="s">
        <v>15</v>
      </c>
    </row>
    <row r="229" spans="1:10" x14ac:dyDescent="0.3">
      <c r="A229">
        <v>1228</v>
      </c>
      <c r="B229" t="s">
        <v>78</v>
      </c>
      <c r="D229" t="s">
        <v>11</v>
      </c>
      <c r="E229" t="s">
        <v>44</v>
      </c>
      <c r="F229" t="s">
        <v>33</v>
      </c>
      <c r="G229">
        <v>0</v>
      </c>
      <c r="H229">
        <v>47230</v>
      </c>
      <c r="I229" t="s">
        <v>80</v>
      </c>
      <c r="J229" t="s">
        <v>20</v>
      </c>
    </row>
    <row r="230" spans="1:10" x14ac:dyDescent="0.3">
      <c r="A230">
        <v>1229</v>
      </c>
      <c r="B230" t="s">
        <v>54</v>
      </c>
      <c r="C230">
        <v>38</v>
      </c>
      <c r="D230" t="s">
        <v>11</v>
      </c>
      <c r="E230" t="s">
        <v>12</v>
      </c>
      <c r="F230" t="s">
        <v>13</v>
      </c>
      <c r="G230">
        <v>0</v>
      </c>
      <c r="H230">
        <v>0</v>
      </c>
      <c r="I230" t="s">
        <v>178</v>
      </c>
      <c r="J230" t="s">
        <v>20</v>
      </c>
    </row>
    <row r="231" spans="1:10" x14ac:dyDescent="0.3">
      <c r="A231">
        <v>1230</v>
      </c>
      <c r="B231" t="s">
        <v>78</v>
      </c>
      <c r="D231" t="s">
        <v>26</v>
      </c>
      <c r="E231" t="s">
        <v>23</v>
      </c>
      <c r="F231" t="s">
        <v>33</v>
      </c>
      <c r="G231">
        <v>0</v>
      </c>
      <c r="H231">
        <v>30631</v>
      </c>
      <c r="I231" t="s">
        <v>182</v>
      </c>
      <c r="J231" t="s">
        <v>20</v>
      </c>
    </row>
    <row r="232" spans="1:10" x14ac:dyDescent="0.3">
      <c r="A232">
        <v>1231</v>
      </c>
      <c r="B232" t="s">
        <v>46</v>
      </c>
      <c r="D232" t="s">
        <v>26</v>
      </c>
      <c r="E232" t="s">
        <v>41</v>
      </c>
      <c r="F232" t="s">
        <v>33</v>
      </c>
      <c r="G232">
        <v>0</v>
      </c>
      <c r="H232">
        <v>32714</v>
      </c>
      <c r="I232" t="s">
        <v>183</v>
      </c>
      <c r="J232" t="s">
        <v>20</v>
      </c>
    </row>
    <row r="233" spans="1:10" x14ac:dyDescent="0.3">
      <c r="A233">
        <v>1232</v>
      </c>
      <c r="B233" t="s">
        <v>25</v>
      </c>
      <c r="D233" t="s">
        <v>26</v>
      </c>
      <c r="E233" t="s">
        <v>51</v>
      </c>
      <c r="F233" t="s">
        <v>30</v>
      </c>
      <c r="G233">
        <v>4</v>
      </c>
      <c r="H233">
        <v>43142</v>
      </c>
      <c r="I233" t="s">
        <v>58</v>
      </c>
      <c r="J233" t="s">
        <v>43</v>
      </c>
    </row>
    <row r="234" spans="1:10" x14ac:dyDescent="0.3">
      <c r="A234">
        <v>1233</v>
      </c>
      <c r="B234" t="s">
        <v>54</v>
      </c>
      <c r="D234" t="s">
        <v>40</v>
      </c>
      <c r="E234" t="s">
        <v>27</v>
      </c>
      <c r="F234" t="s">
        <v>36</v>
      </c>
      <c r="G234">
        <v>5</v>
      </c>
      <c r="H234">
        <v>14266</v>
      </c>
      <c r="I234" t="s">
        <v>171</v>
      </c>
      <c r="J234" t="s">
        <v>15</v>
      </c>
    </row>
    <row r="235" spans="1:10" x14ac:dyDescent="0.3">
      <c r="A235">
        <v>1234</v>
      </c>
      <c r="B235" t="s">
        <v>73</v>
      </c>
      <c r="D235" t="s">
        <v>22</v>
      </c>
      <c r="E235" t="s">
        <v>27</v>
      </c>
      <c r="F235" t="s">
        <v>36</v>
      </c>
      <c r="G235">
        <v>0</v>
      </c>
      <c r="H235">
        <v>12132</v>
      </c>
      <c r="I235" t="s">
        <v>184</v>
      </c>
      <c r="J235" t="s">
        <v>15</v>
      </c>
    </row>
    <row r="236" spans="1:10" x14ac:dyDescent="0.3">
      <c r="A236">
        <v>1235</v>
      </c>
      <c r="B236" t="s">
        <v>64</v>
      </c>
      <c r="C236">
        <v>50</v>
      </c>
      <c r="D236" t="s">
        <v>26</v>
      </c>
      <c r="E236" t="s">
        <v>23</v>
      </c>
      <c r="F236" t="s">
        <v>33</v>
      </c>
      <c r="G236">
        <v>0</v>
      </c>
      <c r="H236">
        <v>0</v>
      </c>
      <c r="I236" t="s">
        <v>85</v>
      </c>
      <c r="J236" t="s">
        <v>29</v>
      </c>
    </row>
    <row r="237" spans="1:10" x14ac:dyDescent="0.3">
      <c r="A237">
        <v>1236</v>
      </c>
      <c r="B237" t="s">
        <v>73</v>
      </c>
      <c r="C237">
        <v>36</v>
      </c>
      <c r="D237" t="s">
        <v>11</v>
      </c>
      <c r="E237" t="s">
        <v>18</v>
      </c>
      <c r="F237" t="s">
        <v>36</v>
      </c>
      <c r="G237">
        <v>3</v>
      </c>
      <c r="H237">
        <v>0</v>
      </c>
      <c r="I237" t="s">
        <v>88</v>
      </c>
      <c r="J237" t="s">
        <v>29</v>
      </c>
    </row>
    <row r="238" spans="1:10" x14ac:dyDescent="0.3">
      <c r="A238">
        <v>1237</v>
      </c>
      <c r="B238" t="s">
        <v>25</v>
      </c>
      <c r="C238">
        <v>18</v>
      </c>
      <c r="D238" t="s">
        <v>40</v>
      </c>
      <c r="E238" t="s">
        <v>41</v>
      </c>
      <c r="F238" t="s">
        <v>30</v>
      </c>
      <c r="G238">
        <v>0</v>
      </c>
      <c r="H238">
        <v>-1000</v>
      </c>
      <c r="I238" t="s">
        <v>49</v>
      </c>
      <c r="J238" t="s">
        <v>15</v>
      </c>
    </row>
    <row r="239" spans="1:10" x14ac:dyDescent="0.3">
      <c r="A239">
        <v>1238</v>
      </c>
      <c r="B239" t="s">
        <v>68</v>
      </c>
      <c r="D239" t="s">
        <v>11</v>
      </c>
      <c r="E239" t="s">
        <v>55</v>
      </c>
      <c r="F239" t="s">
        <v>33</v>
      </c>
      <c r="G239">
        <v>5</v>
      </c>
      <c r="H239">
        <v>5105</v>
      </c>
      <c r="I239" t="s">
        <v>173</v>
      </c>
      <c r="J239" t="s">
        <v>20</v>
      </c>
    </row>
    <row r="240" spans="1:10" x14ac:dyDescent="0.3">
      <c r="A240">
        <v>1239</v>
      </c>
      <c r="B240" t="s">
        <v>16</v>
      </c>
      <c r="D240" t="s">
        <v>40</v>
      </c>
      <c r="E240" t="s">
        <v>55</v>
      </c>
      <c r="F240" t="s">
        <v>33</v>
      </c>
      <c r="G240">
        <v>1</v>
      </c>
      <c r="H240">
        <v>0</v>
      </c>
      <c r="I240" t="s">
        <v>34</v>
      </c>
      <c r="J240" t="s">
        <v>29</v>
      </c>
    </row>
    <row r="241" spans="1:10" x14ac:dyDescent="0.3">
      <c r="A241">
        <v>1240</v>
      </c>
      <c r="B241" t="s">
        <v>25</v>
      </c>
      <c r="D241" t="s">
        <v>11</v>
      </c>
      <c r="E241" t="s">
        <v>12</v>
      </c>
      <c r="F241" t="s">
        <v>33</v>
      </c>
      <c r="G241">
        <v>3</v>
      </c>
      <c r="H241">
        <v>23030</v>
      </c>
      <c r="I241" t="s">
        <v>31</v>
      </c>
      <c r="J241" t="s">
        <v>15</v>
      </c>
    </row>
    <row r="242" spans="1:10" x14ac:dyDescent="0.3">
      <c r="A242">
        <v>1241</v>
      </c>
      <c r="B242" t="s">
        <v>16</v>
      </c>
      <c r="C242">
        <v>31</v>
      </c>
      <c r="D242" t="s">
        <v>40</v>
      </c>
      <c r="E242" t="s">
        <v>27</v>
      </c>
      <c r="F242" t="s">
        <v>36</v>
      </c>
      <c r="G242">
        <v>0</v>
      </c>
      <c r="H242">
        <v>0</v>
      </c>
      <c r="I242" t="s">
        <v>92</v>
      </c>
      <c r="J242" t="s">
        <v>45</v>
      </c>
    </row>
    <row r="243" spans="1:10" x14ac:dyDescent="0.3">
      <c r="A243">
        <v>1242</v>
      </c>
      <c r="B243" t="s">
        <v>10</v>
      </c>
      <c r="D243" t="s">
        <v>40</v>
      </c>
      <c r="E243" t="s">
        <v>27</v>
      </c>
      <c r="F243" t="s">
        <v>13</v>
      </c>
      <c r="G243">
        <v>1</v>
      </c>
      <c r="H243">
        <v>0</v>
      </c>
      <c r="I243" t="s">
        <v>60</v>
      </c>
      <c r="J243" t="s">
        <v>20</v>
      </c>
    </row>
    <row r="244" spans="1:10" x14ac:dyDescent="0.3">
      <c r="A244">
        <v>1243</v>
      </c>
      <c r="B244" t="s">
        <v>68</v>
      </c>
      <c r="C244">
        <v>22</v>
      </c>
      <c r="D244" t="s">
        <v>17</v>
      </c>
      <c r="E244" t="s">
        <v>18</v>
      </c>
      <c r="F244" t="s">
        <v>30</v>
      </c>
      <c r="G244">
        <v>0</v>
      </c>
      <c r="H244">
        <v>0</v>
      </c>
      <c r="I244" t="s">
        <v>119</v>
      </c>
      <c r="J244" t="s">
        <v>43</v>
      </c>
    </row>
    <row r="245" spans="1:10" x14ac:dyDescent="0.3">
      <c r="A245">
        <v>1244</v>
      </c>
      <c r="B245" t="s">
        <v>68</v>
      </c>
      <c r="C245">
        <v>20</v>
      </c>
      <c r="D245" t="s">
        <v>26</v>
      </c>
      <c r="E245" t="s">
        <v>55</v>
      </c>
      <c r="F245" t="s">
        <v>36</v>
      </c>
      <c r="G245">
        <v>0</v>
      </c>
      <c r="H245">
        <v>23629</v>
      </c>
      <c r="I245" t="s">
        <v>138</v>
      </c>
      <c r="J245" t="s">
        <v>43</v>
      </c>
    </row>
    <row r="246" spans="1:10" x14ac:dyDescent="0.3">
      <c r="A246">
        <v>1245</v>
      </c>
      <c r="B246" t="s">
        <v>21</v>
      </c>
      <c r="C246">
        <v>37</v>
      </c>
      <c r="D246" t="s">
        <v>40</v>
      </c>
      <c r="E246" t="s">
        <v>51</v>
      </c>
      <c r="F246" t="s">
        <v>33</v>
      </c>
      <c r="G246">
        <v>0</v>
      </c>
      <c r="H246">
        <v>0</v>
      </c>
      <c r="I246" t="s">
        <v>130</v>
      </c>
      <c r="J246" t="s">
        <v>45</v>
      </c>
    </row>
    <row r="247" spans="1:10" x14ac:dyDescent="0.3">
      <c r="A247">
        <v>1246</v>
      </c>
      <c r="B247" t="s">
        <v>16</v>
      </c>
      <c r="D247" t="s">
        <v>26</v>
      </c>
      <c r="E247" t="s">
        <v>51</v>
      </c>
      <c r="F247" t="s">
        <v>13</v>
      </c>
      <c r="G247">
        <v>4</v>
      </c>
      <c r="H247">
        <v>0</v>
      </c>
      <c r="I247" t="s">
        <v>128</v>
      </c>
      <c r="J247" t="s">
        <v>45</v>
      </c>
    </row>
    <row r="248" spans="1:10" x14ac:dyDescent="0.3">
      <c r="A248">
        <v>1247</v>
      </c>
      <c r="B248" t="s">
        <v>16</v>
      </c>
      <c r="C248">
        <v>39</v>
      </c>
      <c r="D248" t="s">
        <v>26</v>
      </c>
      <c r="E248" t="s">
        <v>18</v>
      </c>
      <c r="F248" t="s">
        <v>36</v>
      </c>
      <c r="G248">
        <v>0</v>
      </c>
      <c r="H248">
        <v>0</v>
      </c>
      <c r="I248" t="s">
        <v>111</v>
      </c>
      <c r="J248" t="s">
        <v>20</v>
      </c>
    </row>
    <row r="249" spans="1:10" x14ac:dyDescent="0.3">
      <c r="A249">
        <v>1248</v>
      </c>
      <c r="B249" t="s">
        <v>69</v>
      </c>
      <c r="D249" t="s">
        <v>26</v>
      </c>
      <c r="E249" t="s">
        <v>18</v>
      </c>
      <c r="F249" t="s">
        <v>36</v>
      </c>
      <c r="G249">
        <v>0</v>
      </c>
      <c r="H249">
        <v>-1000</v>
      </c>
      <c r="I249" t="s">
        <v>61</v>
      </c>
      <c r="J249" t="s">
        <v>20</v>
      </c>
    </row>
    <row r="250" spans="1:10" x14ac:dyDescent="0.3">
      <c r="A250">
        <v>1249</v>
      </c>
      <c r="B250" t="s">
        <v>25</v>
      </c>
      <c r="D250" t="s">
        <v>22</v>
      </c>
      <c r="E250" t="s">
        <v>12</v>
      </c>
      <c r="F250" t="s">
        <v>36</v>
      </c>
      <c r="G250">
        <v>0</v>
      </c>
      <c r="H250">
        <v>0</v>
      </c>
      <c r="I250" t="s">
        <v>109</v>
      </c>
      <c r="J250" t="s">
        <v>20</v>
      </c>
    </row>
    <row r="251" spans="1:10" x14ac:dyDescent="0.3">
      <c r="A251">
        <v>1250</v>
      </c>
      <c r="B251" t="s">
        <v>38</v>
      </c>
      <c r="D251" t="s">
        <v>22</v>
      </c>
      <c r="E251" t="s">
        <v>12</v>
      </c>
      <c r="F251" t="s">
        <v>30</v>
      </c>
      <c r="G251">
        <v>0</v>
      </c>
      <c r="H251">
        <v>2753</v>
      </c>
      <c r="I251" t="s">
        <v>185</v>
      </c>
      <c r="J251" t="s">
        <v>45</v>
      </c>
    </row>
    <row r="252" spans="1:10" x14ac:dyDescent="0.3">
      <c r="A252">
        <v>1251</v>
      </c>
      <c r="B252" t="s">
        <v>62</v>
      </c>
      <c r="D252" t="s">
        <v>11</v>
      </c>
      <c r="E252" t="s">
        <v>23</v>
      </c>
      <c r="F252" t="s">
        <v>30</v>
      </c>
      <c r="G252">
        <v>0</v>
      </c>
      <c r="H252">
        <v>-1000</v>
      </c>
      <c r="I252" t="s">
        <v>186</v>
      </c>
      <c r="J252" t="s">
        <v>43</v>
      </c>
    </row>
    <row r="253" spans="1:10" x14ac:dyDescent="0.3">
      <c r="A253">
        <v>1252</v>
      </c>
      <c r="B253" t="s">
        <v>78</v>
      </c>
      <c r="D253" t="s">
        <v>26</v>
      </c>
      <c r="E253" t="s">
        <v>44</v>
      </c>
      <c r="F253" t="s">
        <v>13</v>
      </c>
      <c r="G253">
        <v>3</v>
      </c>
      <c r="H253">
        <v>37585</v>
      </c>
      <c r="I253" t="s">
        <v>187</v>
      </c>
      <c r="J253" t="s">
        <v>15</v>
      </c>
    </row>
    <row r="254" spans="1:10" x14ac:dyDescent="0.3">
      <c r="A254">
        <v>1253</v>
      </c>
      <c r="B254" t="s">
        <v>46</v>
      </c>
      <c r="D254" t="s">
        <v>17</v>
      </c>
      <c r="E254" t="s">
        <v>51</v>
      </c>
      <c r="F254" t="s">
        <v>33</v>
      </c>
      <c r="G254">
        <v>0</v>
      </c>
      <c r="H254">
        <v>44477</v>
      </c>
      <c r="I254" t="s">
        <v>184</v>
      </c>
      <c r="J254" t="s">
        <v>15</v>
      </c>
    </row>
    <row r="255" spans="1:10" x14ac:dyDescent="0.3">
      <c r="A255">
        <v>1254</v>
      </c>
      <c r="B255" t="s">
        <v>62</v>
      </c>
      <c r="C255">
        <v>23</v>
      </c>
      <c r="D255" t="s">
        <v>26</v>
      </c>
      <c r="E255" t="s">
        <v>27</v>
      </c>
      <c r="F255" t="s">
        <v>30</v>
      </c>
      <c r="G255">
        <v>5</v>
      </c>
      <c r="H255">
        <v>0</v>
      </c>
      <c r="I255" t="s">
        <v>180</v>
      </c>
      <c r="J255" t="s">
        <v>45</v>
      </c>
    </row>
    <row r="256" spans="1:10" x14ac:dyDescent="0.3">
      <c r="A256">
        <v>1255</v>
      </c>
      <c r="B256" t="s">
        <v>57</v>
      </c>
      <c r="D256" t="s">
        <v>22</v>
      </c>
      <c r="E256" t="s">
        <v>23</v>
      </c>
      <c r="F256" t="s">
        <v>13</v>
      </c>
      <c r="G256">
        <v>0</v>
      </c>
      <c r="H256">
        <v>1668</v>
      </c>
      <c r="I256" t="s">
        <v>125</v>
      </c>
      <c r="J256" t="s">
        <v>15</v>
      </c>
    </row>
    <row r="257" spans="1:10" x14ac:dyDescent="0.3">
      <c r="A257">
        <v>1256</v>
      </c>
      <c r="B257" t="s">
        <v>57</v>
      </c>
      <c r="C257">
        <v>19</v>
      </c>
      <c r="D257" t="s">
        <v>11</v>
      </c>
      <c r="E257" t="s">
        <v>23</v>
      </c>
      <c r="F257" t="s">
        <v>30</v>
      </c>
      <c r="G257">
        <v>0</v>
      </c>
      <c r="H257">
        <v>15617</v>
      </c>
      <c r="I257" t="s">
        <v>80</v>
      </c>
      <c r="J257" t="s">
        <v>45</v>
      </c>
    </row>
    <row r="258" spans="1:10" x14ac:dyDescent="0.3">
      <c r="A258">
        <v>1257</v>
      </c>
      <c r="B258" t="s">
        <v>59</v>
      </c>
      <c r="C258">
        <v>26</v>
      </c>
      <c r="D258" t="s">
        <v>11</v>
      </c>
      <c r="E258" t="s">
        <v>12</v>
      </c>
      <c r="F258" t="s">
        <v>30</v>
      </c>
      <c r="G258">
        <v>0</v>
      </c>
      <c r="H258">
        <v>0</v>
      </c>
      <c r="I258" t="s">
        <v>117</v>
      </c>
      <c r="J258" t="s">
        <v>43</v>
      </c>
    </row>
    <row r="259" spans="1:10" x14ac:dyDescent="0.3">
      <c r="A259">
        <v>1258</v>
      </c>
      <c r="B259" t="s">
        <v>64</v>
      </c>
      <c r="C259">
        <v>20</v>
      </c>
      <c r="D259" t="s">
        <v>17</v>
      </c>
      <c r="E259" t="s">
        <v>27</v>
      </c>
      <c r="F259" t="s">
        <v>33</v>
      </c>
      <c r="G259">
        <v>0</v>
      </c>
      <c r="H259">
        <v>0</v>
      </c>
      <c r="I259" t="s">
        <v>119</v>
      </c>
      <c r="J259" t="s">
        <v>20</v>
      </c>
    </row>
    <row r="260" spans="1:10" x14ac:dyDescent="0.3">
      <c r="A260">
        <v>1259</v>
      </c>
      <c r="B260" t="s">
        <v>59</v>
      </c>
      <c r="D260" t="s">
        <v>40</v>
      </c>
      <c r="E260" t="s">
        <v>23</v>
      </c>
      <c r="F260" t="s">
        <v>36</v>
      </c>
      <c r="G260">
        <v>0</v>
      </c>
      <c r="H260">
        <v>-1000</v>
      </c>
      <c r="I260" t="s">
        <v>147</v>
      </c>
      <c r="J260" t="s">
        <v>29</v>
      </c>
    </row>
    <row r="261" spans="1:10" x14ac:dyDescent="0.3">
      <c r="A261">
        <v>1260</v>
      </c>
      <c r="B261" t="s">
        <v>68</v>
      </c>
      <c r="D261" t="s">
        <v>11</v>
      </c>
      <c r="E261" t="s">
        <v>18</v>
      </c>
      <c r="F261" t="s">
        <v>30</v>
      </c>
      <c r="G261">
        <v>5</v>
      </c>
      <c r="H261">
        <v>41508</v>
      </c>
      <c r="I261" t="s">
        <v>110</v>
      </c>
      <c r="J261" t="s">
        <v>45</v>
      </c>
    </row>
    <row r="262" spans="1:10" x14ac:dyDescent="0.3">
      <c r="A262">
        <v>1261</v>
      </c>
      <c r="B262" t="s">
        <v>48</v>
      </c>
      <c r="D262" t="s">
        <v>11</v>
      </c>
      <c r="E262" t="s">
        <v>44</v>
      </c>
      <c r="F262" t="s">
        <v>13</v>
      </c>
      <c r="G262">
        <v>0</v>
      </c>
      <c r="H262">
        <v>-1000</v>
      </c>
      <c r="I262" t="s">
        <v>160</v>
      </c>
      <c r="J262" t="s">
        <v>15</v>
      </c>
    </row>
    <row r="263" spans="1:10" x14ac:dyDescent="0.3">
      <c r="A263">
        <v>1262</v>
      </c>
      <c r="B263" t="s">
        <v>68</v>
      </c>
      <c r="C263">
        <v>44</v>
      </c>
      <c r="D263" t="s">
        <v>40</v>
      </c>
      <c r="E263" t="s">
        <v>51</v>
      </c>
      <c r="F263" t="s">
        <v>30</v>
      </c>
      <c r="G263">
        <v>0</v>
      </c>
      <c r="H263">
        <v>48628</v>
      </c>
      <c r="I263" t="s">
        <v>89</v>
      </c>
      <c r="J263" t="s">
        <v>20</v>
      </c>
    </row>
    <row r="264" spans="1:10" x14ac:dyDescent="0.3">
      <c r="A264">
        <v>1263</v>
      </c>
      <c r="B264" t="s">
        <v>21</v>
      </c>
      <c r="C264">
        <v>30</v>
      </c>
      <c r="D264" t="s">
        <v>26</v>
      </c>
      <c r="E264" t="s">
        <v>12</v>
      </c>
      <c r="F264" t="s">
        <v>30</v>
      </c>
      <c r="G264">
        <v>0</v>
      </c>
      <c r="H264">
        <v>-1000</v>
      </c>
      <c r="I264" t="s">
        <v>161</v>
      </c>
      <c r="J264" t="s">
        <v>20</v>
      </c>
    </row>
    <row r="265" spans="1:10" x14ac:dyDescent="0.3">
      <c r="A265">
        <v>1264</v>
      </c>
      <c r="B265" t="s">
        <v>46</v>
      </c>
      <c r="D265" t="s">
        <v>26</v>
      </c>
      <c r="E265" t="s">
        <v>55</v>
      </c>
      <c r="F265" t="s">
        <v>36</v>
      </c>
      <c r="G265">
        <v>4</v>
      </c>
      <c r="H265">
        <v>-1000</v>
      </c>
      <c r="I265" t="s">
        <v>122</v>
      </c>
      <c r="J265" t="s">
        <v>15</v>
      </c>
    </row>
    <row r="266" spans="1:10" x14ac:dyDescent="0.3">
      <c r="A266">
        <v>1265</v>
      </c>
      <c r="B266" t="s">
        <v>10</v>
      </c>
      <c r="D266" t="s">
        <v>17</v>
      </c>
      <c r="E266" t="s">
        <v>41</v>
      </c>
      <c r="F266" t="s">
        <v>33</v>
      </c>
      <c r="G266">
        <v>0</v>
      </c>
      <c r="H266">
        <v>39355</v>
      </c>
      <c r="I266" t="s">
        <v>178</v>
      </c>
      <c r="J266" t="s">
        <v>45</v>
      </c>
    </row>
    <row r="267" spans="1:10" x14ac:dyDescent="0.3">
      <c r="A267">
        <v>1266</v>
      </c>
      <c r="B267" t="s">
        <v>46</v>
      </c>
      <c r="C267">
        <v>23</v>
      </c>
      <c r="D267" t="s">
        <v>17</v>
      </c>
      <c r="E267" t="s">
        <v>27</v>
      </c>
      <c r="F267" t="s">
        <v>30</v>
      </c>
      <c r="G267">
        <v>3</v>
      </c>
      <c r="H267">
        <v>0</v>
      </c>
      <c r="I267" t="s">
        <v>188</v>
      </c>
      <c r="J267" t="s">
        <v>20</v>
      </c>
    </row>
    <row r="268" spans="1:10" x14ac:dyDescent="0.3">
      <c r="A268">
        <v>1267</v>
      </c>
      <c r="B268" t="s">
        <v>64</v>
      </c>
      <c r="C268">
        <v>32</v>
      </c>
      <c r="D268" t="s">
        <v>26</v>
      </c>
      <c r="E268" t="s">
        <v>18</v>
      </c>
      <c r="F268" t="s">
        <v>33</v>
      </c>
      <c r="G268">
        <v>0</v>
      </c>
      <c r="H268">
        <v>2600</v>
      </c>
      <c r="I268" t="s">
        <v>67</v>
      </c>
      <c r="J268" t="s">
        <v>45</v>
      </c>
    </row>
    <row r="269" spans="1:10" x14ac:dyDescent="0.3">
      <c r="A269">
        <v>1268</v>
      </c>
      <c r="B269" t="s">
        <v>21</v>
      </c>
      <c r="C269">
        <v>20</v>
      </c>
      <c r="D269" t="s">
        <v>26</v>
      </c>
      <c r="E269" t="s">
        <v>23</v>
      </c>
      <c r="F269" t="s">
        <v>30</v>
      </c>
      <c r="G269">
        <v>1</v>
      </c>
      <c r="H269">
        <v>0</v>
      </c>
      <c r="I269" t="s">
        <v>91</v>
      </c>
      <c r="J269" t="s">
        <v>43</v>
      </c>
    </row>
    <row r="270" spans="1:10" x14ac:dyDescent="0.3">
      <c r="A270">
        <v>1269</v>
      </c>
      <c r="B270" t="s">
        <v>21</v>
      </c>
      <c r="C270">
        <v>26</v>
      </c>
      <c r="D270" t="s">
        <v>22</v>
      </c>
      <c r="E270" t="s">
        <v>23</v>
      </c>
      <c r="F270" t="s">
        <v>30</v>
      </c>
      <c r="G270">
        <v>1</v>
      </c>
      <c r="H270">
        <v>13179</v>
      </c>
      <c r="I270" t="s">
        <v>146</v>
      </c>
      <c r="J270" t="s">
        <v>43</v>
      </c>
    </row>
    <row r="271" spans="1:10" x14ac:dyDescent="0.3">
      <c r="A271">
        <v>1270</v>
      </c>
      <c r="B271" t="s">
        <v>68</v>
      </c>
      <c r="C271">
        <v>49</v>
      </c>
      <c r="D271" t="s">
        <v>17</v>
      </c>
      <c r="E271" t="s">
        <v>18</v>
      </c>
      <c r="F271" t="s">
        <v>33</v>
      </c>
      <c r="G271">
        <v>0</v>
      </c>
      <c r="H271">
        <v>-1000</v>
      </c>
      <c r="I271" t="s">
        <v>124</v>
      </c>
      <c r="J271" t="s">
        <v>29</v>
      </c>
    </row>
    <row r="272" spans="1:10" x14ac:dyDescent="0.3">
      <c r="A272">
        <v>1271</v>
      </c>
      <c r="B272" t="s">
        <v>69</v>
      </c>
      <c r="C272">
        <v>24</v>
      </c>
      <c r="D272" t="s">
        <v>17</v>
      </c>
      <c r="E272" t="s">
        <v>44</v>
      </c>
      <c r="F272" t="s">
        <v>36</v>
      </c>
      <c r="G272">
        <v>3</v>
      </c>
      <c r="H272">
        <v>30059</v>
      </c>
      <c r="I272" t="s">
        <v>156</v>
      </c>
      <c r="J272" t="s">
        <v>43</v>
      </c>
    </row>
    <row r="273" spans="1:10" x14ac:dyDescent="0.3">
      <c r="A273">
        <v>1272</v>
      </c>
      <c r="B273" t="s">
        <v>25</v>
      </c>
      <c r="C273">
        <v>45</v>
      </c>
      <c r="D273" t="s">
        <v>26</v>
      </c>
      <c r="E273" t="s">
        <v>41</v>
      </c>
      <c r="F273" t="s">
        <v>13</v>
      </c>
      <c r="G273">
        <v>4</v>
      </c>
      <c r="H273">
        <v>8706</v>
      </c>
      <c r="I273" t="s">
        <v>109</v>
      </c>
      <c r="J273" t="s">
        <v>43</v>
      </c>
    </row>
    <row r="274" spans="1:10" x14ac:dyDescent="0.3">
      <c r="A274">
        <v>1273</v>
      </c>
      <c r="B274" t="s">
        <v>25</v>
      </c>
      <c r="D274" t="s">
        <v>40</v>
      </c>
      <c r="E274" t="s">
        <v>55</v>
      </c>
      <c r="F274" t="s">
        <v>36</v>
      </c>
      <c r="G274">
        <v>0</v>
      </c>
      <c r="H274">
        <v>0</v>
      </c>
      <c r="I274" t="s">
        <v>71</v>
      </c>
      <c r="J274" t="s">
        <v>20</v>
      </c>
    </row>
    <row r="275" spans="1:10" x14ac:dyDescent="0.3">
      <c r="A275">
        <v>1274</v>
      </c>
      <c r="B275" t="s">
        <v>35</v>
      </c>
      <c r="C275">
        <v>40</v>
      </c>
      <c r="D275" t="s">
        <v>17</v>
      </c>
      <c r="E275" t="s">
        <v>18</v>
      </c>
      <c r="F275" t="s">
        <v>36</v>
      </c>
      <c r="G275">
        <v>0</v>
      </c>
      <c r="H275">
        <v>0</v>
      </c>
      <c r="I275" t="s">
        <v>183</v>
      </c>
      <c r="J275" t="s">
        <v>43</v>
      </c>
    </row>
    <row r="276" spans="1:10" x14ac:dyDescent="0.3">
      <c r="A276">
        <v>1275</v>
      </c>
      <c r="B276" t="s">
        <v>68</v>
      </c>
      <c r="D276" t="s">
        <v>40</v>
      </c>
      <c r="E276" t="s">
        <v>55</v>
      </c>
      <c r="F276" t="s">
        <v>13</v>
      </c>
      <c r="G276">
        <v>0</v>
      </c>
      <c r="H276">
        <v>27437</v>
      </c>
      <c r="I276" t="s">
        <v>52</v>
      </c>
      <c r="J276" t="s">
        <v>29</v>
      </c>
    </row>
    <row r="277" spans="1:10" x14ac:dyDescent="0.3">
      <c r="A277">
        <v>1276</v>
      </c>
      <c r="B277" t="s">
        <v>64</v>
      </c>
      <c r="C277">
        <v>26</v>
      </c>
      <c r="D277" t="s">
        <v>40</v>
      </c>
      <c r="E277" t="s">
        <v>44</v>
      </c>
      <c r="F277" t="s">
        <v>33</v>
      </c>
      <c r="G277">
        <v>0</v>
      </c>
      <c r="H277">
        <v>-1000</v>
      </c>
      <c r="I277" t="s">
        <v>122</v>
      </c>
      <c r="J277" t="s">
        <v>45</v>
      </c>
    </row>
    <row r="278" spans="1:10" x14ac:dyDescent="0.3">
      <c r="A278">
        <v>1277</v>
      </c>
      <c r="B278" t="s">
        <v>62</v>
      </c>
      <c r="C278">
        <v>40</v>
      </c>
      <c r="D278" t="s">
        <v>26</v>
      </c>
      <c r="E278" t="s">
        <v>44</v>
      </c>
      <c r="F278" t="s">
        <v>13</v>
      </c>
      <c r="G278">
        <v>0</v>
      </c>
      <c r="H278">
        <v>0</v>
      </c>
      <c r="I278" t="s">
        <v>189</v>
      </c>
      <c r="J278" t="s">
        <v>45</v>
      </c>
    </row>
    <row r="279" spans="1:10" x14ac:dyDescent="0.3">
      <c r="A279">
        <v>1278</v>
      </c>
      <c r="B279" t="s">
        <v>54</v>
      </c>
      <c r="D279" t="s">
        <v>26</v>
      </c>
      <c r="E279" t="s">
        <v>12</v>
      </c>
      <c r="F279" t="s">
        <v>36</v>
      </c>
      <c r="G279">
        <v>3</v>
      </c>
      <c r="H279">
        <v>-1000</v>
      </c>
      <c r="I279" t="s">
        <v>121</v>
      </c>
      <c r="J279" t="s">
        <v>45</v>
      </c>
    </row>
    <row r="280" spans="1:10" x14ac:dyDescent="0.3">
      <c r="A280">
        <v>1279</v>
      </c>
      <c r="B280" t="s">
        <v>78</v>
      </c>
      <c r="C280">
        <v>25</v>
      </c>
      <c r="D280" t="s">
        <v>40</v>
      </c>
      <c r="E280" t="s">
        <v>44</v>
      </c>
      <c r="F280" t="s">
        <v>36</v>
      </c>
      <c r="G280">
        <v>0</v>
      </c>
      <c r="H280">
        <v>-1000</v>
      </c>
      <c r="I280" t="s">
        <v>139</v>
      </c>
      <c r="J280" t="s">
        <v>29</v>
      </c>
    </row>
    <row r="281" spans="1:10" x14ac:dyDescent="0.3">
      <c r="A281">
        <v>1280</v>
      </c>
      <c r="B281" t="s">
        <v>57</v>
      </c>
      <c r="C281">
        <v>19</v>
      </c>
      <c r="D281" t="s">
        <v>26</v>
      </c>
      <c r="E281" t="s">
        <v>23</v>
      </c>
      <c r="F281" t="s">
        <v>33</v>
      </c>
      <c r="G281">
        <v>0</v>
      </c>
      <c r="H281">
        <v>0</v>
      </c>
      <c r="I281" t="s">
        <v>47</v>
      </c>
      <c r="J281" t="s">
        <v>29</v>
      </c>
    </row>
    <row r="282" spans="1:10" x14ac:dyDescent="0.3">
      <c r="A282">
        <v>1281</v>
      </c>
      <c r="B282" t="s">
        <v>25</v>
      </c>
      <c r="D282" t="s">
        <v>11</v>
      </c>
      <c r="E282" t="s">
        <v>18</v>
      </c>
      <c r="F282" t="s">
        <v>30</v>
      </c>
      <c r="G282">
        <v>1</v>
      </c>
      <c r="H282">
        <v>23993</v>
      </c>
      <c r="I282" t="s">
        <v>104</v>
      </c>
      <c r="J282" t="s">
        <v>29</v>
      </c>
    </row>
    <row r="283" spans="1:10" x14ac:dyDescent="0.3">
      <c r="A283">
        <v>1282</v>
      </c>
      <c r="B283" t="s">
        <v>25</v>
      </c>
      <c r="D283" t="s">
        <v>40</v>
      </c>
      <c r="E283" t="s">
        <v>18</v>
      </c>
      <c r="F283" t="s">
        <v>30</v>
      </c>
      <c r="G283">
        <v>1</v>
      </c>
      <c r="H283">
        <v>-1000</v>
      </c>
      <c r="I283" t="s">
        <v>159</v>
      </c>
      <c r="J283" t="s">
        <v>15</v>
      </c>
    </row>
    <row r="284" spans="1:10" x14ac:dyDescent="0.3">
      <c r="A284">
        <v>1283</v>
      </c>
      <c r="B284" t="s">
        <v>21</v>
      </c>
      <c r="D284" t="s">
        <v>26</v>
      </c>
      <c r="E284" t="s">
        <v>18</v>
      </c>
      <c r="F284" t="s">
        <v>36</v>
      </c>
      <c r="G284">
        <v>0</v>
      </c>
      <c r="H284">
        <v>0</v>
      </c>
      <c r="I284" t="s">
        <v>145</v>
      </c>
      <c r="J284" t="s">
        <v>15</v>
      </c>
    </row>
    <row r="285" spans="1:10" x14ac:dyDescent="0.3">
      <c r="A285">
        <v>1284</v>
      </c>
      <c r="B285" t="s">
        <v>59</v>
      </c>
      <c r="D285" t="s">
        <v>26</v>
      </c>
      <c r="E285" t="s">
        <v>27</v>
      </c>
      <c r="F285" t="s">
        <v>13</v>
      </c>
      <c r="G285">
        <v>0</v>
      </c>
      <c r="H285">
        <v>47845</v>
      </c>
      <c r="I285" t="s">
        <v>190</v>
      </c>
      <c r="J285" t="s">
        <v>15</v>
      </c>
    </row>
    <row r="286" spans="1:10" x14ac:dyDescent="0.3">
      <c r="A286">
        <v>1285</v>
      </c>
      <c r="B286" t="s">
        <v>62</v>
      </c>
      <c r="D286" t="s">
        <v>40</v>
      </c>
      <c r="E286" t="s">
        <v>55</v>
      </c>
      <c r="F286" t="s">
        <v>30</v>
      </c>
      <c r="G286">
        <v>0</v>
      </c>
      <c r="H286">
        <v>0</v>
      </c>
      <c r="I286" t="s">
        <v>175</v>
      </c>
      <c r="J286" t="s">
        <v>45</v>
      </c>
    </row>
    <row r="287" spans="1:10" x14ac:dyDescent="0.3">
      <c r="A287">
        <v>1286</v>
      </c>
      <c r="B287" t="s">
        <v>68</v>
      </c>
      <c r="D287" t="s">
        <v>11</v>
      </c>
      <c r="E287" t="s">
        <v>27</v>
      </c>
      <c r="F287" t="s">
        <v>30</v>
      </c>
      <c r="G287">
        <v>1</v>
      </c>
      <c r="H287">
        <v>-1000</v>
      </c>
      <c r="I287" t="s">
        <v>191</v>
      </c>
      <c r="J287" t="s">
        <v>20</v>
      </c>
    </row>
    <row r="288" spans="1:10" x14ac:dyDescent="0.3">
      <c r="A288">
        <v>1287</v>
      </c>
      <c r="B288" t="s">
        <v>21</v>
      </c>
      <c r="D288" t="s">
        <v>40</v>
      </c>
      <c r="E288" t="s">
        <v>41</v>
      </c>
      <c r="F288" t="s">
        <v>33</v>
      </c>
      <c r="G288">
        <v>0</v>
      </c>
      <c r="H288">
        <v>-1000</v>
      </c>
      <c r="I288" t="s">
        <v>60</v>
      </c>
      <c r="J288" t="s">
        <v>43</v>
      </c>
    </row>
    <row r="289" spans="1:10" x14ac:dyDescent="0.3">
      <c r="A289">
        <v>1288</v>
      </c>
      <c r="B289" t="s">
        <v>54</v>
      </c>
      <c r="D289" t="s">
        <v>17</v>
      </c>
      <c r="E289" t="s">
        <v>27</v>
      </c>
      <c r="F289" t="s">
        <v>36</v>
      </c>
      <c r="G289">
        <v>0</v>
      </c>
      <c r="H289">
        <v>-1000</v>
      </c>
      <c r="I289" t="s">
        <v>154</v>
      </c>
      <c r="J289" t="s">
        <v>20</v>
      </c>
    </row>
    <row r="290" spans="1:10" x14ac:dyDescent="0.3">
      <c r="A290">
        <v>1289</v>
      </c>
      <c r="B290" t="s">
        <v>10</v>
      </c>
      <c r="C290">
        <v>41</v>
      </c>
      <c r="D290" t="s">
        <v>26</v>
      </c>
      <c r="E290" t="s">
        <v>23</v>
      </c>
      <c r="F290" t="s">
        <v>30</v>
      </c>
      <c r="G290">
        <v>0</v>
      </c>
      <c r="H290">
        <v>-1000</v>
      </c>
      <c r="I290" t="s">
        <v>192</v>
      </c>
      <c r="J290" t="s">
        <v>20</v>
      </c>
    </row>
    <row r="291" spans="1:10" x14ac:dyDescent="0.3">
      <c r="A291">
        <v>1290</v>
      </c>
      <c r="B291" t="s">
        <v>59</v>
      </c>
      <c r="C291">
        <v>40</v>
      </c>
      <c r="D291" t="s">
        <v>26</v>
      </c>
      <c r="E291" t="s">
        <v>55</v>
      </c>
      <c r="F291" t="s">
        <v>30</v>
      </c>
      <c r="G291">
        <v>4</v>
      </c>
      <c r="H291">
        <v>-1000</v>
      </c>
      <c r="I291" t="s">
        <v>50</v>
      </c>
      <c r="J291" t="s">
        <v>15</v>
      </c>
    </row>
    <row r="292" spans="1:10" x14ac:dyDescent="0.3">
      <c r="A292">
        <v>1291</v>
      </c>
      <c r="B292" t="s">
        <v>46</v>
      </c>
      <c r="D292" t="s">
        <v>17</v>
      </c>
      <c r="E292" t="s">
        <v>18</v>
      </c>
      <c r="F292" t="s">
        <v>13</v>
      </c>
      <c r="G292">
        <v>2</v>
      </c>
      <c r="H292">
        <v>27313</v>
      </c>
      <c r="I292" t="s">
        <v>107</v>
      </c>
      <c r="J292" t="s">
        <v>45</v>
      </c>
    </row>
    <row r="293" spans="1:10" x14ac:dyDescent="0.3">
      <c r="A293">
        <v>1292</v>
      </c>
      <c r="B293" t="s">
        <v>73</v>
      </c>
      <c r="D293" t="s">
        <v>11</v>
      </c>
      <c r="E293" t="s">
        <v>44</v>
      </c>
      <c r="F293" t="s">
        <v>30</v>
      </c>
      <c r="G293">
        <v>2</v>
      </c>
      <c r="H293">
        <v>0</v>
      </c>
      <c r="I293" t="s">
        <v>157</v>
      </c>
      <c r="J293" t="s">
        <v>20</v>
      </c>
    </row>
    <row r="294" spans="1:10" x14ac:dyDescent="0.3">
      <c r="A294">
        <v>1293</v>
      </c>
      <c r="B294" t="s">
        <v>21</v>
      </c>
      <c r="C294">
        <v>37</v>
      </c>
      <c r="D294" t="s">
        <v>17</v>
      </c>
      <c r="E294" t="s">
        <v>12</v>
      </c>
      <c r="F294" t="s">
        <v>30</v>
      </c>
      <c r="G294">
        <v>5</v>
      </c>
      <c r="H294">
        <v>0</v>
      </c>
      <c r="I294" t="s">
        <v>70</v>
      </c>
      <c r="J294" t="s">
        <v>45</v>
      </c>
    </row>
    <row r="295" spans="1:10" x14ac:dyDescent="0.3">
      <c r="A295">
        <v>1294</v>
      </c>
      <c r="B295" t="s">
        <v>38</v>
      </c>
      <c r="C295">
        <v>34</v>
      </c>
      <c r="D295" t="s">
        <v>40</v>
      </c>
      <c r="E295" t="s">
        <v>55</v>
      </c>
      <c r="F295" t="s">
        <v>36</v>
      </c>
      <c r="G295">
        <v>4</v>
      </c>
      <c r="H295">
        <v>46799</v>
      </c>
      <c r="I295" t="s">
        <v>193</v>
      </c>
      <c r="J295" t="s">
        <v>20</v>
      </c>
    </row>
    <row r="296" spans="1:10" x14ac:dyDescent="0.3">
      <c r="A296">
        <v>1295</v>
      </c>
      <c r="B296" t="s">
        <v>48</v>
      </c>
      <c r="D296" t="s">
        <v>11</v>
      </c>
      <c r="E296" t="s">
        <v>27</v>
      </c>
      <c r="F296" t="s">
        <v>36</v>
      </c>
      <c r="G296">
        <v>1</v>
      </c>
      <c r="H296">
        <v>0</v>
      </c>
      <c r="I296" t="s">
        <v>194</v>
      </c>
      <c r="J296" t="s">
        <v>20</v>
      </c>
    </row>
    <row r="297" spans="1:10" x14ac:dyDescent="0.3">
      <c r="A297">
        <v>1296</v>
      </c>
      <c r="B297" t="s">
        <v>25</v>
      </c>
      <c r="D297" t="s">
        <v>40</v>
      </c>
      <c r="E297" t="s">
        <v>12</v>
      </c>
      <c r="F297" t="s">
        <v>13</v>
      </c>
      <c r="G297">
        <v>3</v>
      </c>
      <c r="H297">
        <v>12583</v>
      </c>
      <c r="I297" t="s">
        <v>182</v>
      </c>
      <c r="J297" t="s">
        <v>45</v>
      </c>
    </row>
    <row r="298" spans="1:10" x14ac:dyDescent="0.3">
      <c r="A298">
        <v>1297</v>
      </c>
      <c r="B298" t="s">
        <v>68</v>
      </c>
      <c r="C298">
        <v>49</v>
      </c>
      <c r="D298" t="s">
        <v>22</v>
      </c>
      <c r="E298" t="s">
        <v>12</v>
      </c>
      <c r="F298" t="s">
        <v>30</v>
      </c>
      <c r="G298">
        <v>0</v>
      </c>
      <c r="H298">
        <v>0</v>
      </c>
      <c r="I298" t="s">
        <v>113</v>
      </c>
      <c r="J298" t="s">
        <v>45</v>
      </c>
    </row>
    <row r="299" spans="1:10" x14ac:dyDescent="0.3">
      <c r="A299">
        <v>1298</v>
      </c>
      <c r="B299" t="s">
        <v>64</v>
      </c>
      <c r="D299" t="s">
        <v>22</v>
      </c>
      <c r="E299" t="s">
        <v>27</v>
      </c>
      <c r="F299" t="s">
        <v>13</v>
      </c>
      <c r="G299">
        <v>5</v>
      </c>
      <c r="H299">
        <v>36826</v>
      </c>
      <c r="I299" t="s">
        <v>139</v>
      </c>
      <c r="J299" t="s">
        <v>43</v>
      </c>
    </row>
    <row r="300" spans="1:10" x14ac:dyDescent="0.3">
      <c r="A300">
        <v>1299</v>
      </c>
      <c r="B300" t="s">
        <v>64</v>
      </c>
      <c r="D300" t="s">
        <v>40</v>
      </c>
      <c r="E300" t="s">
        <v>27</v>
      </c>
      <c r="F300" t="s">
        <v>30</v>
      </c>
      <c r="G300">
        <v>2</v>
      </c>
      <c r="H300">
        <v>12932</v>
      </c>
      <c r="I300" t="s">
        <v>195</v>
      </c>
      <c r="J300" t="s">
        <v>15</v>
      </c>
    </row>
    <row r="301" spans="1:10" x14ac:dyDescent="0.3">
      <c r="A301">
        <v>1300</v>
      </c>
      <c r="B301" t="s">
        <v>46</v>
      </c>
      <c r="D301" t="s">
        <v>40</v>
      </c>
      <c r="E301" t="s">
        <v>51</v>
      </c>
      <c r="F301" t="s">
        <v>33</v>
      </c>
      <c r="G301">
        <v>1</v>
      </c>
      <c r="H301">
        <v>25097</v>
      </c>
      <c r="I301" t="s">
        <v>170</v>
      </c>
      <c r="J301" t="s">
        <v>15</v>
      </c>
    </row>
    <row r="302" spans="1:10" x14ac:dyDescent="0.3">
      <c r="A302">
        <v>1301</v>
      </c>
      <c r="B302" t="s">
        <v>69</v>
      </c>
      <c r="D302" t="s">
        <v>22</v>
      </c>
      <c r="E302" t="s">
        <v>12</v>
      </c>
      <c r="F302" t="s">
        <v>33</v>
      </c>
      <c r="G302">
        <v>1</v>
      </c>
      <c r="H302">
        <v>0</v>
      </c>
      <c r="I302" t="s">
        <v>133</v>
      </c>
      <c r="J302" t="s">
        <v>15</v>
      </c>
    </row>
    <row r="303" spans="1:10" x14ac:dyDescent="0.3">
      <c r="A303">
        <v>1302</v>
      </c>
      <c r="B303" t="s">
        <v>10</v>
      </c>
      <c r="D303" t="s">
        <v>11</v>
      </c>
      <c r="E303" t="s">
        <v>23</v>
      </c>
      <c r="F303" t="s">
        <v>30</v>
      </c>
      <c r="G303">
        <v>1</v>
      </c>
      <c r="H303">
        <v>40480</v>
      </c>
      <c r="I303" t="s">
        <v>143</v>
      </c>
      <c r="J303" t="s">
        <v>20</v>
      </c>
    </row>
    <row r="304" spans="1:10" x14ac:dyDescent="0.3">
      <c r="A304">
        <v>1303</v>
      </c>
      <c r="B304" t="s">
        <v>46</v>
      </c>
      <c r="C304">
        <v>40</v>
      </c>
      <c r="D304" t="s">
        <v>11</v>
      </c>
      <c r="E304" t="s">
        <v>55</v>
      </c>
      <c r="F304" t="s">
        <v>36</v>
      </c>
      <c r="G304">
        <v>2</v>
      </c>
      <c r="H304">
        <v>-1000</v>
      </c>
      <c r="I304" t="s">
        <v>74</v>
      </c>
      <c r="J304" t="s">
        <v>45</v>
      </c>
    </row>
    <row r="305" spans="1:10" x14ac:dyDescent="0.3">
      <c r="A305">
        <v>1304</v>
      </c>
      <c r="B305" t="s">
        <v>57</v>
      </c>
      <c r="C305">
        <v>23</v>
      </c>
      <c r="D305" t="s">
        <v>17</v>
      </c>
      <c r="E305" t="s">
        <v>51</v>
      </c>
      <c r="F305" t="s">
        <v>36</v>
      </c>
      <c r="G305">
        <v>3</v>
      </c>
      <c r="H305">
        <v>0</v>
      </c>
      <c r="I305" t="s">
        <v>87</v>
      </c>
      <c r="J305" t="s">
        <v>29</v>
      </c>
    </row>
    <row r="306" spans="1:10" x14ac:dyDescent="0.3">
      <c r="A306">
        <v>1305</v>
      </c>
      <c r="B306" t="s">
        <v>21</v>
      </c>
      <c r="D306" t="s">
        <v>17</v>
      </c>
      <c r="E306" t="s">
        <v>41</v>
      </c>
      <c r="F306" t="s">
        <v>33</v>
      </c>
      <c r="G306">
        <v>0</v>
      </c>
      <c r="H306">
        <v>25140</v>
      </c>
      <c r="I306" t="s">
        <v>196</v>
      </c>
      <c r="J306" t="s">
        <v>43</v>
      </c>
    </row>
    <row r="307" spans="1:10" x14ac:dyDescent="0.3">
      <c r="A307">
        <v>1306</v>
      </c>
      <c r="B307" t="s">
        <v>35</v>
      </c>
      <c r="C307">
        <v>19</v>
      </c>
      <c r="D307" t="s">
        <v>11</v>
      </c>
      <c r="E307" t="s">
        <v>27</v>
      </c>
      <c r="F307" t="s">
        <v>13</v>
      </c>
      <c r="G307">
        <v>0</v>
      </c>
      <c r="H307">
        <v>-1000</v>
      </c>
      <c r="I307" t="s">
        <v>66</v>
      </c>
      <c r="J307" t="s">
        <v>43</v>
      </c>
    </row>
    <row r="308" spans="1:10" x14ac:dyDescent="0.3">
      <c r="A308">
        <v>1307</v>
      </c>
      <c r="B308" t="s">
        <v>69</v>
      </c>
      <c r="D308" t="s">
        <v>40</v>
      </c>
      <c r="E308" t="s">
        <v>55</v>
      </c>
      <c r="F308" t="s">
        <v>30</v>
      </c>
      <c r="G308">
        <v>0</v>
      </c>
      <c r="H308">
        <v>20051</v>
      </c>
      <c r="I308" t="s">
        <v>144</v>
      </c>
      <c r="J308" t="s">
        <v>20</v>
      </c>
    </row>
    <row r="309" spans="1:10" x14ac:dyDescent="0.3">
      <c r="A309">
        <v>1308</v>
      </c>
      <c r="B309" t="s">
        <v>69</v>
      </c>
      <c r="D309" t="s">
        <v>22</v>
      </c>
      <c r="E309" t="s">
        <v>23</v>
      </c>
      <c r="F309" t="s">
        <v>36</v>
      </c>
      <c r="G309">
        <v>0</v>
      </c>
      <c r="H309">
        <v>22517</v>
      </c>
      <c r="I309" t="s">
        <v>166</v>
      </c>
      <c r="J309" t="s">
        <v>29</v>
      </c>
    </row>
    <row r="310" spans="1:10" x14ac:dyDescent="0.3">
      <c r="A310">
        <v>1309</v>
      </c>
      <c r="B310" t="s">
        <v>64</v>
      </c>
      <c r="C310">
        <v>36</v>
      </c>
      <c r="D310" t="s">
        <v>11</v>
      </c>
      <c r="E310" t="s">
        <v>41</v>
      </c>
      <c r="F310" t="s">
        <v>33</v>
      </c>
      <c r="G310">
        <v>2</v>
      </c>
      <c r="H310">
        <v>-1000</v>
      </c>
      <c r="I310" t="s">
        <v>52</v>
      </c>
      <c r="J310" t="s">
        <v>43</v>
      </c>
    </row>
    <row r="311" spans="1:10" x14ac:dyDescent="0.3">
      <c r="A311">
        <v>1310</v>
      </c>
      <c r="B311" t="s">
        <v>64</v>
      </c>
      <c r="D311" t="s">
        <v>22</v>
      </c>
      <c r="E311" t="s">
        <v>27</v>
      </c>
      <c r="F311" t="s">
        <v>30</v>
      </c>
      <c r="G311">
        <v>2</v>
      </c>
      <c r="H311">
        <v>7277</v>
      </c>
      <c r="I311" t="s">
        <v>114</v>
      </c>
      <c r="J311" t="s">
        <v>15</v>
      </c>
    </row>
    <row r="312" spans="1:10" x14ac:dyDescent="0.3">
      <c r="A312">
        <v>1311</v>
      </c>
      <c r="B312" t="s">
        <v>32</v>
      </c>
      <c r="C312">
        <v>28</v>
      </c>
      <c r="D312" t="s">
        <v>11</v>
      </c>
      <c r="E312" t="s">
        <v>12</v>
      </c>
      <c r="F312" t="s">
        <v>36</v>
      </c>
      <c r="G312">
        <v>0</v>
      </c>
      <c r="H312">
        <v>-1000</v>
      </c>
      <c r="I312" t="s">
        <v>107</v>
      </c>
      <c r="J312" t="s">
        <v>45</v>
      </c>
    </row>
    <row r="313" spans="1:10" x14ac:dyDescent="0.3">
      <c r="A313">
        <v>1312</v>
      </c>
      <c r="B313" t="s">
        <v>64</v>
      </c>
      <c r="D313" t="s">
        <v>22</v>
      </c>
      <c r="E313" t="s">
        <v>12</v>
      </c>
      <c r="F313" t="s">
        <v>30</v>
      </c>
      <c r="G313">
        <v>0</v>
      </c>
      <c r="H313">
        <v>-1000</v>
      </c>
      <c r="I313" t="s">
        <v>87</v>
      </c>
      <c r="J313" t="s">
        <v>20</v>
      </c>
    </row>
    <row r="314" spans="1:10" x14ac:dyDescent="0.3">
      <c r="A314">
        <v>1313</v>
      </c>
      <c r="B314" t="s">
        <v>25</v>
      </c>
      <c r="C314">
        <v>48</v>
      </c>
      <c r="D314" t="s">
        <v>17</v>
      </c>
      <c r="E314" t="s">
        <v>41</v>
      </c>
      <c r="F314" t="s">
        <v>30</v>
      </c>
      <c r="G314">
        <v>0</v>
      </c>
      <c r="H314">
        <v>0</v>
      </c>
      <c r="I314" t="s">
        <v>197</v>
      </c>
      <c r="J314" t="s">
        <v>43</v>
      </c>
    </row>
    <row r="315" spans="1:10" x14ac:dyDescent="0.3">
      <c r="A315">
        <v>1314</v>
      </c>
      <c r="B315" t="s">
        <v>16</v>
      </c>
      <c r="D315" t="s">
        <v>11</v>
      </c>
      <c r="E315" t="s">
        <v>18</v>
      </c>
      <c r="F315" t="s">
        <v>30</v>
      </c>
      <c r="G315">
        <v>0</v>
      </c>
      <c r="H315">
        <v>36607</v>
      </c>
      <c r="I315" t="s">
        <v>106</v>
      </c>
      <c r="J315" t="s">
        <v>45</v>
      </c>
    </row>
    <row r="316" spans="1:10" x14ac:dyDescent="0.3">
      <c r="A316">
        <v>1315</v>
      </c>
      <c r="B316" t="s">
        <v>32</v>
      </c>
      <c r="C316">
        <v>39</v>
      </c>
      <c r="D316" t="s">
        <v>40</v>
      </c>
      <c r="E316" t="s">
        <v>23</v>
      </c>
      <c r="F316" t="s">
        <v>13</v>
      </c>
      <c r="G316">
        <v>5</v>
      </c>
      <c r="H316">
        <v>-1000</v>
      </c>
      <c r="I316" t="s">
        <v>198</v>
      </c>
      <c r="J316" t="s">
        <v>15</v>
      </c>
    </row>
    <row r="317" spans="1:10" x14ac:dyDescent="0.3">
      <c r="A317">
        <v>1316</v>
      </c>
      <c r="B317" t="s">
        <v>69</v>
      </c>
      <c r="C317">
        <v>32</v>
      </c>
      <c r="D317" t="s">
        <v>40</v>
      </c>
      <c r="E317" t="s">
        <v>44</v>
      </c>
      <c r="F317" t="s">
        <v>33</v>
      </c>
      <c r="G317">
        <v>0</v>
      </c>
      <c r="H317">
        <v>0</v>
      </c>
      <c r="I317" t="s">
        <v>146</v>
      </c>
      <c r="J317" t="s">
        <v>45</v>
      </c>
    </row>
    <row r="318" spans="1:10" x14ac:dyDescent="0.3">
      <c r="A318">
        <v>1317</v>
      </c>
      <c r="B318" t="s">
        <v>68</v>
      </c>
      <c r="C318">
        <v>47</v>
      </c>
      <c r="D318" t="s">
        <v>17</v>
      </c>
      <c r="E318" t="s">
        <v>23</v>
      </c>
      <c r="F318" t="s">
        <v>33</v>
      </c>
      <c r="G318">
        <v>0</v>
      </c>
      <c r="H318">
        <v>0</v>
      </c>
      <c r="I318" t="s">
        <v>172</v>
      </c>
      <c r="J318" t="s">
        <v>43</v>
      </c>
    </row>
    <row r="319" spans="1:10" x14ac:dyDescent="0.3">
      <c r="A319">
        <v>1318</v>
      </c>
      <c r="B319" t="s">
        <v>21</v>
      </c>
      <c r="D319" t="s">
        <v>40</v>
      </c>
      <c r="E319" t="s">
        <v>44</v>
      </c>
      <c r="F319" t="s">
        <v>33</v>
      </c>
      <c r="G319">
        <v>0</v>
      </c>
      <c r="H319">
        <v>0</v>
      </c>
      <c r="I319" t="s">
        <v>199</v>
      </c>
      <c r="J319" t="s">
        <v>29</v>
      </c>
    </row>
    <row r="320" spans="1:10" x14ac:dyDescent="0.3">
      <c r="A320">
        <v>1319</v>
      </c>
      <c r="B320" t="s">
        <v>59</v>
      </c>
      <c r="C320">
        <v>24</v>
      </c>
      <c r="D320" t="s">
        <v>22</v>
      </c>
      <c r="E320" t="s">
        <v>27</v>
      </c>
      <c r="F320" t="s">
        <v>30</v>
      </c>
      <c r="G320">
        <v>3</v>
      </c>
      <c r="H320">
        <v>-1000</v>
      </c>
      <c r="I320" t="s">
        <v>94</v>
      </c>
      <c r="J320" t="s">
        <v>29</v>
      </c>
    </row>
    <row r="321" spans="1:10" x14ac:dyDescent="0.3">
      <c r="A321">
        <v>1320</v>
      </c>
      <c r="B321" t="s">
        <v>48</v>
      </c>
      <c r="D321" t="s">
        <v>17</v>
      </c>
      <c r="E321" t="s">
        <v>27</v>
      </c>
      <c r="F321" t="s">
        <v>13</v>
      </c>
      <c r="G321">
        <v>0</v>
      </c>
      <c r="H321">
        <v>-1000</v>
      </c>
      <c r="I321" t="s">
        <v>200</v>
      </c>
      <c r="J321" t="s">
        <v>15</v>
      </c>
    </row>
    <row r="322" spans="1:10" x14ac:dyDescent="0.3">
      <c r="A322">
        <v>1321</v>
      </c>
      <c r="B322" t="s">
        <v>32</v>
      </c>
      <c r="D322" t="s">
        <v>26</v>
      </c>
      <c r="E322" t="s">
        <v>18</v>
      </c>
      <c r="F322" t="s">
        <v>13</v>
      </c>
      <c r="G322">
        <v>5</v>
      </c>
      <c r="H322">
        <v>0</v>
      </c>
      <c r="I322" t="s">
        <v>116</v>
      </c>
      <c r="J322" t="s">
        <v>20</v>
      </c>
    </row>
    <row r="323" spans="1:10" x14ac:dyDescent="0.3">
      <c r="A323">
        <v>1322</v>
      </c>
      <c r="B323" t="s">
        <v>69</v>
      </c>
      <c r="D323" t="s">
        <v>40</v>
      </c>
      <c r="E323" t="s">
        <v>51</v>
      </c>
      <c r="F323" t="s">
        <v>33</v>
      </c>
      <c r="G323">
        <v>0</v>
      </c>
      <c r="H323">
        <v>-1000</v>
      </c>
      <c r="I323" t="s">
        <v>188</v>
      </c>
      <c r="J323" t="s">
        <v>20</v>
      </c>
    </row>
    <row r="324" spans="1:10" x14ac:dyDescent="0.3">
      <c r="A324">
        <v>1323</v>
      </c>
      <c r="B324" t="s">
        <v>21</v>
      </c>
      <c r="C324">
        <v>46</v>
      </c>
      <c r="D324" t="s">
        <v>40</v>
      </c>
      <c r="E324" t="s">
        <v>51</v>
      </c>
      <c r="F324" t="s">
        <v>30</v>
      </c>
      <c r="G324">
        <v>0</v>
      </c>
      <c r="H324">
        <v>0</v>
      </c>
      <c r="I324" t="s">
        <v>191</v>
      </c>
      <c r="J324" t="s">
        <v>29</v>
      </c>
    </row>
    <row r="325" spans="1:10" x14ac:dyDescent="0.3">
      <c r="A325">
        <v>1324</v>
      </c>
      <c r="B325" t="s">
        <v>38</v>
      </c>
      <c r="C325">
        <v>31</v>
      </c>
      <c r="D325" t="s">
        <v>22</v>
      </c>
      <c r="E325" t="s">
        <v>23</v>
      </c>
      <c r="F325" t="s">
        <v>36</v>
      </c>
      <c r="G325">
        <v>0</v>
      </c>
      <c r="H325">
        <v>3733</v>
      </c>
      <c r="I325" t="s">
        <v>86</v>
      </c>
      <c r="J325" t="s">
        <v>45</v>
      </c>
    </row>
    <row r="326" spans="1:10" x14ac:dyDescent="0.3">
      <c r="A326">
        <v>1325</v>
      </c>
      <c r="B326" t="s">
        <v>21</v>
      </c>
      <c r="D326" t="s">
        <v>22</v>
      </c>
      <c r="E326" t="s">
        <v>41</v>
      </c>
      <c r="F326" t="s">
        <v>30</v>
      </c>
      <c r="G326">
        <v>0</v>
      </c>
      <c r="H326">
        <v>2992</v>
      </c>
      <c r="I326" t="s">
        <v>101</v>
      </c>
      <c r="J326" t="s">
        <v>15</v>
      </c>
    </row>
    <row r="327" spans="1:10" x14ac:dyDescent="0.3">
      <c r="A327">
        <v>1326</v>
      </c>
      <c r="B327" t="s">
        <v>54</v>
      </c>
      <c r="D327" t="s">
        <v>11</v>
      </c>
      <c r="E327" t="s">
        <v>18</v>
      </c>
      <c r="F327" t="s">
        <v>13</v>
      </c>
      <c r="G327">
        <v>0</v>
      </c>
      <c r="H327">
        <v>14847</v>
      </c>
      <c r="I327" t="s">
        <v>171</v>
      </c>
      <c r="J327" t="s">
        <v>45</v>
      </c>
    </row>
    <row r="328" spans="1:10" x14ac:dyDescent="0.3">
      <c r="A328">
        <v>1327</v>
      </c>
      <c r="B328" t="s">
        <v>73</v>
      </c>
      <c r="D328" t="s">
        <v>40</v>
      </c>
      <c r="E328" t="s">
        <v>55</v>
      </c>
      <c r="F328" t="s">
        <v>30</v>
      </c>
      <c r="G328">
        <v>0</v>
      </c>
      <c r="H328">
        <v>0</v>
      </c>
      <c r="I328" t="s">
        <v>146</v>
      </c>
      <c r="J328" t="s">
        <v>43</v>
      </c>
    </row>
    <row r="329" spans="1:10" x14ac:dyDescent="0.3">
      <c r="A329">
        <v>1328</v>
      </c>
      <c r="B329" t="s">
        <v>68</v>
      </c>
      <c r="C329">
        <v>46</v>
      </c>
      <c r="D329" t="s">
        <v>26</v>
      </c>
      <c r="E329" t="s">
        <v>51</v>
      </c>
      <c r="F329" t="s">
        <v>33</v>
      </c>
      <c r="G329">
        <v>3</v>
      </c>
      <c r="H329">
        <v>-1000</v>
      </c>
      <c r="I329" t="s">
        <v>102</v>
      </c>
      <c r="J329" t="s">
        <v>45</v>
      </c>
    </row>
    <row r="330" spans="1:10" x14ac:dyDescent="0.3">
      <c r="A330">
        <v>1329</v>
      </c>
      <c r="B330" t="s">
        <v>78</v>
      </c>
      <c r="C330">
        <v>26</v>
      </c>
      <c r="D330" t="s">
        <v>40</v>
      </c>
      <c r="E330" t="s">
        <v>23</v>
      </c>
      <c r="F330" t="s">
        <v>33</v>
      </c>
      <c r="G330">
        <v>5</v>
      </c>
      <c r="H330">
        <v>0</v>
      </c>
      <c r="I330" t="s">
        <v>186</v>
      </c>
      <c r="J330" t="s">
        <v>29</v>
      </c>
    </row>
    <row r="331" spans="1:10" x14ac:dyDescent="0.3">
      <c r="A331">
        <v>1330</v>
      </c>
      <c r="B331" t="s">
        <v>62</v>
      </c>
      <c r="D331" t="s">
        <v>17</v>
      </c>
      <c r="E331" t="s">
        <v>44</v>
      </c>
      <c r="F331" t="s">
        <v>36</v>
      </c>
      <c r="G331">
        <v>1</v>
      </c>
      <c r="H331">
        <v>-1000</v>
      </c>
      <c r="I331" t="s">
        <v>149</v>
      </c>
      <c r="J331" t="s">
        <v>29</v>
      </c>
    </row>
    <row r="332" spans="1:10" x14ac:dyDescent="0.3">
      <c r="A332">
        <v>1331</v>
      </c>
      <c r="B332" t="s">
        <v>32</v>
      </c>
      <c r="C332">
        <v>44</v>
      </c>
      <c r="D332" t="s">
        <v>26</v>
      </c>
      <c r="E332" t="s">
        <v>55</v>
      </c>
      <c r="F332" t="s">
        <v>33</v>
      </c>
      <c r="G332">
        <v>4</v>
      </c>
      <c r="H332">
        <v>0</v>
      </c>
      <c r="I332" t="s">
        <v>34</v>
      </c>
      <c r="J332" t="s">
        <v>20</v>
      </c>
    </row>
    <row r="333" spans="1:10" x14ac:dyDescent="0.3">
      <c r="A333">
        <v>1332</v>
      </c>
      <c r="B333" t="s">
        <v>69</v>
      </c>
      <c r="D333" t="s">
        <v>40</v>
      </c>
      <c r="E333" t="s">
        <v>51</v>
      </c>
      <c r="F333" t="s">
        <v>13</v>
      </c>
      <c r="G333">
        <v>5</v>
      </c>
      <c r="H333">
        <v>-1000</v>
      </c>
      <c r="I333" t="s">
        <v>168</v>
      </c>
      <c r="J333" t="s">
        <v>43</v>
      </c>
    </row>
    <row r="334" spans="1:10" x14ac:dyDescent="0.3">
      <c r="A334">
        <v>1333</v>
      </c>
      <c r="B334" t="s">
        <v>32</v>
      </c>
      <c r="C334">
        <v>48</v>
      </c>
      <c r="D334" t="s">
        <v>22</v>
      </c>
      <c r="E334" t="s">
        <v>41</v>
      </c>
      <c r="F334" t="s">
        <v>30</v>
      </c>
      <c r="G334">
        <v>3</v>
      </c>
      <c r="H334">
        <v>0</v>
      </c>
      <c r="I334" t="s">
        <v>151</v>
      </c>
      <c r="J334" t="s">
        <v>29</v>
      </c>
    </row>
    <row r="335" spans="1:10" x14ac:dyDescent="0.3">
      <c r="A335">
        <v>1334</v>
      </c>
      <c r="B335" t="s">
        <v>32</v>
      </c>
      <c r="D335" t="s">
        <v>22</v>
      </c>
      <c r="E335" t="s">
        <v>51</v>
      </c>
      <c r="F335" t="s">
        <v>33</v>
      </c>
      <c r="G335">
        <v>5</v>
      </c>
      <c r="H335">
        <v>27538</v>
      </c>
      <c r="I335" t="s">
        <v>168</v>
      </c>
      <c r="J335" t="s">
        <v>43</v>
      </c>
    </row>
    <row r="336" spans="1:10" x14ac:dyDescent="0.3">
      <c r="A336">
        <v>1335</v>
      </c>
      <c r="B336" t="s">
        <v>32</v>
      </c>
      <c r="C336">
        <v>23</v>
      </c>
      <c r="D336" t="s">
        <v>11</v>
      </c>
      <c r="E336" t="s">
        <v>12</v>
      </c>
      <c r="F336" t="s">
        <v>30</v>
      </c>
      <c r="G336">
        <v>0</v>
      </c>
      <c r="H336">
        <v>13923</v>
      </c>
      <c r="I336" t="s">
        <v>194</v>
      </c>
      <c r="J336" t="s">
        <v>45</v>
      </c>
    </row>
    <row r="337" spans="1:10" x14ac:dyDescent="0.3">
      <c r="A337">
        <v>1336</v>
      </c>
      <c r="B337" t="s">
        <v>21</v>
      </c>
      <c r="D337" t="s">
        <v>22</v>
      </c>
      <c r="E337" t="s">
        <v>41</v>
      </c>
      <c r="F337" t="s">
        <v>13</v>
      </c>
      <c r="G337">
        <v>2</v>
      </c>
      <c r="H337">
        <v>-1000</v>
      </c>
      <c r="I337" t="s">
        <v>189</v>
      </c>
      <c r="J337" t="s">
        <v>15</v>
      </c>
    </row>
    <row r="338" spans="1:10" x14ac:dyDescent="0.3">
      <c r="A338">
        <v>1337</v>
      </c>
      <c r="B338" t="s">
        <v>46</v>
      </c>
      <c r="C338">
        <v>39</v>
      </c>
      <c r="D338" t="s">
        <v>40</v>
      </c>
      <c r="E338" t="s">
        <v>23</v>
      </c>
      <c r="F338" t="s">
        <v>36</v>
      </c>
      <c r="G338">
        <v>3</v>
      </c>
      <c r="H338">
        <v>-1000</v>
      </c>
      <c r="I338" t="s">
        <v>128</v>
      </c>
      <c r="J338" t="s">
        <v>15</v>
      </c>
    </row>
    <row r="339" spans="1:10" x14ac:dyDescent="0.3">
      <c r="A339">
        <v>1338</v>
      </c>
      <c r="B339" t="s">
        <v>57</v>
      </c>
      <c r="D339" t="s">
        <v>11</v>
      </c>
      <c r="E339" t="s">
        <v>12</v>
      </c>
      <c r="F339" t="s">
        <v>30</v>
      </c>
      <c r="G339">
        <v>0</v>
      </c>
      <c r="H339">
        <v>975</v>
      </c>
      <c r="I339" t="s">
        <v>123</v>
      </c>
      <c r="J339" t="s">
        <v>20</v>
      </c>
    </row>
    <row r="340" spans="1:10" x14ac:dyDescent="0.3">
      <c r="A340">
        <v>1339</v>
      </c>
      <c r="B340" t="s">
        <v>78</v>
      </c>
      <c r="D340" t="s">
        <v>22</v>
      </c>
      <c r="E340" t="s">
        <v>27</v>
      </c>
      <c r="F340" t="s">
        <v>33</v>
      </c>
      <c r="G340">
        <v>0</v>
      </c>
      <c r="H340">
        <v>4087</v>
      </c>
      <c r="I340" t="s">
        <v>127</v>
      </c>
      <c r="J340" t="s">
        <v>15</v>
      </c>
    </row>
    <row r="341" spans="1:10" x14ac:dyDescent="0.3">
      <c r="A341">
        <v>1340</v>
      </c>
      <c r="B341" t="s">
        <v>38</v>
      </c>
      <c r="C341">
        <v>32</v>
      </c>
      <c r="D341" t="s">
        <v>40</v>
      </c>
      <c r="E341" t="s">
        <v>27</v>
      </c>
      <c r="F341" t="s">
        <v>13</v>
      </c>
      <c r="G341">
        <v>0</v>
      </c>
      <c r="H341">
        <v>0</v>
      </c>
      <c r="I341" t="s">
        <v>151</v>
      </c>
      <c r="J341" t="s">
        <v>43</v>
      </c>
    </row>
    <row r="342" spans="1:10" x14ac:dyDescent="0.3">
      <c r="A342">
        <v>1341</v>
      </c>
      <c r="B342" t="s">
        <v>21</v>
      </c>
      <c r="C342">
        <v>24</v>
      </c>
      <c r="D342" t="s">
        <v>17</v>
      </c>
      <c r="E342" t="s">
        <v>23</v>
      </c>
      <c r="F342" t="s">
        <v>33</v>
      </c>
      <c r="G342">
        <v>1</v>
      </c>
      <c r="H342">
        <v>0</v>
      </c>
      <c r="I342" t="s">
        <v>61</v>
      </c>
      <c r="J342" t="s">
        <v>20</v>
      </c>
    </row>
    <row r="343" spans="1:10" x14ac:dyDescent="0.3">
      <c r="A343">
        <v>1342</v>
      </c>
      <c r="B343" t="s">
        <v>57</v>
      </c>
      <c r="C343">
        <v>48</v>
      </c>
      <c r="D343" t="s">
        <v>40</v>
      </c>
      <c r="E343" t="s">
        <v>23</v>
      </c>
      <c r="F343" t="s">
        <v>13</v>
      </c>
      <c r="G343">
        <v>0</v>
      </c>
      <c r="H343">
        <v>0</v>
      </c>
      <c r="I343" t="s">
        <v>201</v>
      </c>
      <c r="J343" t="s">
        <v>43</v>
      </c>
    </row>
    <row r="344" spans="1:10" x14ac:dyDescent="0.3">
      <c r="A344">
        <v>1343</v>
      </c>
      <c r="B344" t="s">
        <v>78</v>
      </c>
      <c r="D344" t="s">
        <v>17</v>
      </c>
      <c r="E344" t="s">
        <v>55</v>
      </c>
      <c r="F344" t="s">
        <v>13</v>
      </c>
      <c r="G344">
        <v>0</v>
      </c>
      <c r="H344">
        <v>-1000</v>
      </c>
      <c r="I344" t="s">
        <v>202</v>
      </c>
      <c r="J344" t="s">
        <v>43</v>
      </c>
    </row>
    <row r="345" spans="1:10" x14ac:dyDescent="0.3">
      <c r="A345">
        <v>1344</v>
      </c>
      <c r="B345" t="s">
        <v>35</v>
      </c>
      <c r="C345">
        <v>35</v>
      </c>
      <c r="D345" t="s">
        <v>11</v>
      </c>
      <c r="E345" t="s">
        <v>44</v>
      </c>
      <c r="F345" t="s">
        <v>36</v>
      </c>
      <c r="G345">
        <v>0</v>
      </c>
      <c r="H345">
        <v>0</v>
      </c>
      <c r="I345" t="s">
        <v>203</v>
      </c>
      <c r="J345" t="s">
        <v>15</v>
      </c>
    </row>
    <row r="346" spans="1:10" x14ac:dyDescent="0.3">
      <c r="A346">
        <v>1345</v>
      </c>
      <c r="B346" t="s">
        <v>38</v>
      </c>
      <c r="C346">
        <v>25</v>
      </c>
      <c r="D346" t="s">
        <v>11</v>
      </c>
      <c r="E346" t="s">
        <v>18</v>
      </c>
      <c r="F346" t="s">
        <v>13</v>
      </c>
      <c r="G346">
        <v>0</v>
      </c>
      <c r="H346">
        <v>-1000</v>
      </c>
      <c r="I346" t="s">
        <v>204</v>
      </c>
      <c r="J346" t="s">
        <v>29</v>
      </c>
    </row>
    <row r="347" spans="1:10" x14ac:dyDescent="0.3">
      <c r="A347">
        <v>1346</v>
      </c>
      <c r="B347" t="s">
        <v>46</v>
      </c>
      <c r="C347">
        <v>38</v>
      </c>
      <c r="D347" t="s">
        <v>40</v>
      </c>
      <c r="E347" t="s">
        <v>51</v>
      </c>
      <c r="F347" t="s">
        <v>13</v>
      </c>
      <c r="G347">
        <v>0</v>
      </c>
      <c r="H347">
        <v>-1000</v>
      </c>
      <c r="I347" t="s">
        <v>205</v>
      </c>
      <c r="J347" t="s">
        <v>43</v>
      </c>
    </row>
    <row r="348" spans="1:10" x14ac:dyDescent="0.3">
      <c r="A348">
        <v>1347</v>
      </c>
      <c r="B348" t="s">
        <v>16</v>
      </c>
      <c r="C348">
        <v>37</v>
      </c>
      <c r="D348" t="s">
        <v>17</v>
      </c>
      <c r="E348" t="s">
        <v>51</v>
      </c>
      <c r="F348" t="s">
        <v>36</v>
      </c>
      <c r="G348">
        <v>0</v>
      </c>
      <c r="H348">
        <v>44756</v>
      </c>
      <c r="I348" t="s">
        <v>112</v>
      </c>
      <c r="J348" t="s">
        <v>15</v>
      </c>
    </row>
    <row r="349" spans="1:10" x14ac:dyDescent="0.3">
      <c r="A349">
        <v>1348</v>
      </c>
      <c r="B349" t="s">
        <v>64</v>
      </c>
      <c r="D349" t="s">
        <v>26</v>
      </c>
      <c r="E349" t="s">
        <v>12</v>
      </c>
      <c r="F349" t="s">
        <v>13</v>
      </c>
      <c r="G349">
        <v>2</v>
      </c>
      <c r="H349">
        <v>-1000</v>
      </c>
      <c r="I349" t="s">
        <v>206</v>
      </c>
      <c r="J349" t="s">
        <v>20</v>
      </c>
    </row>
    <row r="350" spans="1:10" x14ac:dyDescent="0.3">
      <c r="A350">
        <v>1349</v>
      </c>
      <c r="B350" t="s">
        <v>21</v>
      </c>
      <c r="D350" t="s">
        <v>26</v>
      </c>
      <c r="E350" t="s">
        <v>23</v>
      </c>
      <c r="F350" t="s">
        <v>30</v>
      </c>
      <c r="G350">
        <v>4</v>
      </c>
      <c r="H350">
        <v>0</v>
      </c>
      <c r="I350" t="s">
        <v>196</v>
      </c>
      <c r="J350" t="s">
        <v>20</v>
      </c>
    </row>
    <row r="351" spans="1:10" x14ac:dyDescent="0.3">
      <c r="A351">
        <v>1350</v>
      </c>
      <c r="B351" t="s">
        <v>10</v>
      </c>
      <c r="C351">
        <v>38</v>
      </c>
      <c r="D351" t="s">
        <v>11</v>
      </c>
      <c r="E351" t="s">
        <v>41</v>
      </c>
      <c r="F351" t="s">
        <v>13</v>
      </c>
      <c r="G351">
        <v>5</v>
      </c>
      <c r="H351">
        <v>35110</v>
      </c>
      <c r="I351" t="s">
        <v>207</v>
      </c>
      <c r="J351" t="s">
        <v>45</v>
      </c>
    </row>
    <row r="352" spans="1:10" x14ac:dyDescent="0.3">
      <c r="A352">
        <v>1351</v>
      </c>
      <c r="B352" t="s">
        <v>62</v>
      </c>
      <c r="D352" t="s">
        <v>22</v>
      </c>
      <c r="E352" t="s">
        <v>12</v>
      </c>
      <c r="F352" t="s">
        <v>13</v>
      </c>
      <c r="G352">
        <v>0</v>
      </c>
      <c r="H352">
        <v>-1000</v>
      </c>
      <c r="I352" t="s">
        <v>24</v>
      </c>
      <c r="J352" t="s">
        <v>20</v>
      </c>
    </row>
    <row r="353" spans="1:10" x14ac:dyDescent="0.3">
      <c r="A353">
        <v>1352</v>
      </c>
      <c r="B353" t="s">
        <v>32</v>
      </c>
      <c r="D353" t="s">
        <v>11</v>
      </c>
      <c r="E353" t="s">
        <v>55</v>
      </c>
      <c r="F353" t="s">
        <v>30</v>
      </c>
      <c r="G353">
        <v>2</v>
      </c>
      <c r="H353">
        <v>40808</v>
      </c>
      <c r="I353" t="s">
        <v>146</v>
      </c>
      <c r="J353" t="s">
        <v>20</v>
      </c>
    </row>
    <row r="354" spans="1:10" x14ac:dyDescent="0.3">
      <c r="A354">
        <v>1353</v>
      </c>
      <c r="B354" t="s">
        <v>73</v>
      </c>
      <c r="D354" t="s">
        <v>17</v>
      </c>
      <c r="E354" t="s">
        <v>55</v>
      </c>
      <c r="F354" t="s">
        <v>33</v>
      </c>
      <c r="G354">
        <v>4</v>
      </c>
      <c r="H354">
        <v>0</v>
      </c>
      <c r="I354" t="s">
        <v>208</v>
      </c>
      <c r="J354" t="s">
        <v>20</v>
      </c>
    </row>
    <row r="355" spans="1:10" x14ac:dyDescent="0.3">
      <c r="A355">
        <v>1354</v>
      </c>
      <c r="B355" t="s">
        <v>57</v>
      </c>
      <c r="C355">
        <v>25</v>
      </c>
      <c r="D355" t="s">
        <v>11</v>
      </c>
      <c r="E355" t="s">
        <v>51</v>
      </c>
      <c r="F355" t="s">
        <v>33</v>
      </c>
      <c r="G355">
        <v>1</v>
      </c>
      <c r="H355">
        <v>0</v>
      </c>
      <c r="I355" t="s">
        <v>140</v>
      </c>
      <c r="J355" t="s">
        <v>15</v>
      </c>
    </row>
    <row r="356" spans="1:10" x14ac:dyDescent="0.3">
      <c r="A356">
        <v>1355</v>
      </c>
      <c r="B356" t="s">
        <v>73</v>
      </c>
      <c r="C356">
        <v>46</v>
      </c>
      <c r="D356" t="s">
        <v>22</v>
      </c>
      <c r="E356" t="s">
        <v>44</v>
      </c>
      <c r="F356" t="s">
        <v>13</v>
      </c>
      <c r="G356">
        <v>1</v>
      </c>
      <c r="H356">
        <v>0</v>
      </c>
      <c r="I356" t="s">
        <v>24</v>
      </c>
      <c r="J356" t="s">
        <v>15</v>
      </c>
    </row>
    <row r="357" spans="1:10" x14ac:dyDescent="0.3">
      <c r="A357">
        <v>1356</v>
      </c>
      <c r="B357" t="s">
        <v>68</v>
      </c>
      <c r="C357">
        <v>44</v>
      </c>
      <c r="D357" t="s">
        <v>40</v>
      </c>
      <c r="E357" t="s">
        <v>23</v>
      </c>
      <c r="F357" t="s">
        <v>30</v>
      </c>
      <c r="G357">
        <v>5</v>
      </c>
      <c r="H357">
        <v>18769</v>
      </c>
      <c r="I357" t="s">
        <v>150</v>
      </c>
      <c r="J357" t="s">
        <v>45</v>
      </c>
    </row>
    <row r="358" spans="1:10" x14ac:dyDescent="0.3">
      <c r="A358">
        <v>1357</v>
      </c>
      <c r="B358" t="s">
        <v>35</v>
      </c>
      <c r="C358">
        <v>20</v>
      </c>
      <c r="D358" t="s">
        <v>11</v>
      </c>
      <c r="E358" t="s">
        <v>44</v>
      </c>
      <c r="F358" t="s">
        <v>36</v>
      </c>
      <c r="G358">
        <v>0</v>
      </c>
      <c r="H358">
        <v>25211</v>
      </c>
      <c r="I358" t="s">
        <v>158</v>
      </c>
      <c r="J358" t="s">
        <v>43</v>
      </c>
    </row>
    <row r="359" spans="1:10" x14ac:dyDescent="0.3">
      <c r="A359">
        <v>1358</v>
      </c>
      <c r="B359" t="s">
        <v>46</v>
      </c>
      <c r="D359" t="s">
        <v>22</v>
      </c>
      <c r="E359" t="s">
        <v>44</v>
      </c>
      <c r="F359" t="s">
        <v>13</v>
      </c>
      <c r="G359">
        <v>0</v>
      </c>
      <c r="H359">
        <v>0</v>
      </c>
      <c r="I359" t="s">
        <v>118</v>
      </c>
      <c r="J359" t="s">
        <v>29</v>
      </c>
    </row>
    <row r="360" spans="1:10" x14ac:dyDescent="0.3">
      <c r="A360">
        <v>1359</v>
      </c>
      <c r="B360" t="s">
        <v>48</v>
      </c>
      <c r="D360" t="s">
        <v>26</v>
      </c>
      <c r="E360" t="s">
        <v>12</v>
      </c>
      <c r="F360" t="s">
        <v>36</v>
      </c>
      <c r="G360">
        <v>0</v>
      </c>
      <c r="H360">
        <v>6751</v>
      </c>
      <c r="I360" t="s">
        <v>209</v>
      </c>
      <c r="J360" t="s">
        <v>45</v>
      </c>
    </row>
    <row r="361" spans="1:10" x14ac:dyDescent="0.3">
      <c r="A361">
        <v>1360</v>
      </c>
      <c r="B361" t="s">
        <v>46</v>
      </c>
      <c r="D361" t="s">
        <v>40</v>
      </c>
      <c r="E361" t="s">
        <v>41</v>
      </c>
      <c r="F361" t="s">
        <v>36</v>
      </c>
      <c r="G361">
        <v>0</v>
      </c>
      <c r="H361">
        <v>0</v>
      </c>
      <c r="I361" t="s">
        <v>103</v>
      </c>
      <c r="J361" t="s">
        <v>15</v>
      </c>
    </row>
    <row r="362" spans="1:10" x14ac:dyDescent="0.3">
      <c r="A362">
        <v>1361</v>
      </c>
      <c r="B362" t="s">
        <v>25</v>
      </c>
      <c r="C362">
        <v>43</v>
      </c>
      <c r="D362" t="s">
        <v>17</v>
      </c>
      <c r="E362" t="s">
        <v>44</v>
      </c>
      <c r="F362" t="s">
        <v>30</v>
      </c>
      <c r="G362">
        <v>0</v>
      </c>
      <c r="H362">
        <v>-1000</v>
      </c>
      <c r="I362" t="s">
        <v>77</v>
      </c>
      <c r="J362" t="s">
        <v>20</v>
      </c>
    </row>
    <row r="363" spans="1:10" x14ac:dyDescent="0.3">
      <c r="A363">
        <v>1362</v>
      </c>
      <c r="B363" t="s">
        <v>64</v>
      </c>
      <c r="C363">
        <v>48</v>
      </c>
      <c r="D363" t="s">
        <v>22</v>
      </c>
      <c r="E363" t="s">
        <v>27</v>
      </c>
      <c r="F363" t="s">
        <v>33</v>
      </c>
      <c r="G363">
        <v>0</v>
      </c>
      <c r="H363">
        <v>0</v>
      </c>
      <c r="I363" t="s">
        <v>93</v>
      </c>
      <c r="J363" t="s">
        <v>20</v>
      </c>
    </row>
    <row r="364" spans="1:10" x14ac:dyDescent="0.3">
      <c r="A364">
        <v>1363</v>
      </c>
      <c r="B364" t="s">
        <v>64</v>
      </c>
      <c r="C364">
        <v>28</v>
      </c>
      <c r="D364" t="s">
        <v>17</v>
      </c>
      <c r="E364" t="s">
        <v>12</v>
      </c>
      <c r="F364" t="s">
        <v>30</v>
      </c>
      <c r="G364">
        <v>5</v>
      </c>
      <c r="H364">
        <v>24852</v>
      </c>
      <c r="I364" t="s">
        <v>31</v>
      </c>
      <c r="J364" t="s">
        <v>20</v>
      </c>
    </row>
    <row r="365" spans="1:10" x14ac:dyDescent="0.3">
      <c r="A365">
        <v>1364</v>
      </c>
      <c r="B365" t="s">
        <v>16</v>
      </c>
      <c r="C365">
        <v>35</v>
      </c>
      <c r="D365" t="s">
        <v>17</v>
      </c>
      <c r="E365" t="s">
        <v>18</v>
      </c>
      <c r="F365" t="s">
        <v>33</v>
      </c>
      <c r="G365">
        <v>0</v>
      </c>
      <c r="H365">
        <v>26909</v>
      </c>
      <c r="I365" t="s">
        <v>210</v>
      </c>
      <c r="J365" t="s">
        <v>15</v>
      </c>
    </row>
    <row r="366" spans="1:10" x14ac:dyDescent="0.3">
      <c r="A366">
        <v>1365</v>
      </c>
      <c r="B366" t="s">
        <v>21</v>
      </c>
      <c r="D366" t="s">
        <v>22</v>
      </c>
      <c r="E366" t="s">
        <v>55</v>
      </c>
      <c r="F366" t="s">
        <v>36</v>
      </c>
      <c r="G366">
        <v>3</v>
      </c>
      <c r="H366">
        <v>-1000</v>
      </c>
      <c r="I366" t="s">
        <v>211</v>
      </c>
      <c r="J366" t="s">
        <v>29</v>
      </c>
    </row>
    <row r="367" spans="1:10" x14ac:dyDescent="0.3">
      <c r="A367">
        <v>1366</v>
      </c>
      <c r="B367" t="s">
        <v>16</v>
      </c>
      <c r="C367">
        <v>21</v>
      </c>
      <c r="D367" t="s">
        <v>22</v>
      </c>
      <c r="E367" t="s">
        <v>12</v>
      </c>
      <c r="F367" t="s">
        <v>30</v>
      </c>
      <c r="G367">
        <v>1</v>
      </c>
      <c r="H367">
        <v>-1000</v>
      </c>
      <c r="I367" t="s">
        <v>120</v>
      </c>
      <c r="J367" t="s">
        <v>15</v>
      </c>
    </row>
    <row r="368" spans="1:10" x14ac:dyDescent="0.3">
      <c r="A368">
        <v>1367</v>
      </c>
      <c r="B368" t="s">
        <v>68</v>
      </c>
      <c r="D368" t="s">
        <v>11</v>
      </c>
      <c r="E368" t="s">
        <v>27</v>
      </c>
      <c r="F368" t="s">
        <v>33</v>
      </c>
      <c r="G368">
        <v>3</v>
      </c>
      <c r="H368">
        <v>-1000</v>
      </c>
      <c r="I368" t="s">
        <v>89</v>
      </c>
      <c r="J368" t="s">
        <v>43</v>
      </c>
    </row>
    <row r="369" spans="1:10" x14ac:dyDescent="0.3">
      <c r="A369">
        <v>1368</v>
      </c>
      <c r="B369" t="s">
        <v>38</v>
      </c>
      <c r="D369" t="s">
        <v>26</v>
      </c>
      <c r="E369" t="s">
        <v>18</v>
      </c>
      <c r="F369" t="s">
        <v>33</v>
      </c>
      <c r="G369">
        <v>0</v>
      </c>
      <c r="H369">
        <v>-1000</v>
      </c>
      <c r="I369" t="s">
        <v>202</v>
      </c>
      <c r="J369" t="s">
        <v>43</v>
      </c>
    </row>
    <row r="370" spans="1:10" x14ac:dyDescent="0.3">
      <c r="A370">
        <v>1369</v>
      </c>
      <c r="B370" t="s">
        <v>21</v>
      </c>
      <c r="C370">
        <v>31</v>
      </c>
      <c r="D370" t="s">
        <v>11</v>
      </c>
      <c r="E370" t="s">
        <v>18</v>
      </c>
      <c r="F370" t="s">
        <v>13</v>
      </c>
      <c r="G370">
        <v>0</v>
      </c>
      <c r="H370">
        <v>3988</v>
      </c>
      <c r="I370" t="s">
        <v>122</v>
      </c>
      <c r="J370" t="s">
        <v>20</v>
      </c>
    </row>
    <row r="371" spans="1:10" x14ac:dyDescent="0.3">
      <c r="A371">
        <v>1370</v>
      </c>
      <c r="B371" t="s">
        <v>54</v>
      </c>
      <c r="D371" t="s">
        <v>17</v>
      </c>
      <c r="E371" t="s">
        <v>41</v>
      </c>
      <c r="F371" t="s">
        <v>33</v>
      </c>
      <c r="G371">
        <v>2</v>
      </c>
      <c r="H371">
        <v>5981</v>
      </c>
      <c r="I371" t="s">
        <v>80</v>
      </c>
      <c r="J371" t="s">
        <v>15</v>
      </c>
    </row>
    <row r="372" spans="1:10" x14ac:dyDescent="0.3">
      <c r="A372">
        <v>1371</v>
      </c>
      <c r="B372" t="s">
        <v>21</v>
      </c>
      <c r="D372" t="s">
        <v>40</v>
      </c>
      <c r="E372" t="s">
        <v>41</v>
      </c>
      <c r="F372" t="s">
        <v>13</v>
      </c>
      <c r="G372">
        <v>3</v>
      </c>
      <c r="H372">
        <v>45824</v>
      </c>
      <c r="I372" t="s">
        <v>86</v>
      </c>
      <c r="J372" t="s">
        <v>45</v>
      </c>
    </row>
    <row r="373" spans="1:10" x14ac:dyDescent="0.3">
      <c r="A373">
        <v>1372</v>
      </c>
      <c r="B373" t="s">
        <v>32</v>
      </c>
      <c r="D373" t="s">
        <v>26</v>
      </c>
      <c r="E373" t="s">
        <v>12</v>
      </c>
      <c r="F373" t="s">
        <v>30</v>
      </c>
      <c r="G373">
        <v>2</v>
      </c>
      <c r="H373">
        <v>0</v>
      </c>
      <c r="I373" t="s">
        <v>66</v>
      </c>
      <c r="J373" t="s">
        <v>29</v>
      </c>
    </row>
    <row r="374" spans="1:10" x14ac:dyDescent="0.3">
      <c r="A374">
        <v>1373</v>
      </c>
      <c r="B374" t="s">
        <v>21</v>
      </c>
      <c r="C374">
        <v>34</v>
      </c>
      <c r="D374" t="s">
        <v>22</v>
      </c>
      <c r="E374" t="s">
        <v>41</v>
      </c>
      <c r="F374" t="s">
        <v>13</v>
      </c>
      <c r="G374">
        <v>1</v>
      </c>
      <c r="H374">
        <v>-1000</v>
      </c>
      <c r="I374" t="s">
        <v>104</v>
      </c>
      <c r="J374" t="s">
        <v>20</v>
      </c>
    </row>
    <row r="375" spans="1:10" x14ac:dyDescent="0.3">
      <c r="A375">
        <v>1374</v>
      </c>
      <c r="B375" t="s">
        <v>32</v>
      </c>
      <c r="C375">
        <v>43</v>
      </c>
      <c r="D375" t="s">
        <v>26</v>
      </c>
      <c r="E375" t="s">
        <v>23</v>
      </c>
      <c r="F375" t="s">
        <v>13</v>
      </c>
      <c r="G375">
        <v>0</v>
      </c>
      <c r="H375">
        <v>14495</v>
      </c>
      <c r="I375" t="s">
        <v>212</v>
      </c>
      <c r="J375" t="s">
        <v>45</v>
      </c>
    </row>
    <row r="376" spans="1:10" x14ac:dyDescent="0.3">
      <c r="A376">
        <v>1375</v>
      </c>
      <c r="B376" t="s">
        <v>21</v>
      </c>
      <c r="C376">
        <v>33</v>
      </c>
      <c r="D376" t="s">
        <v>26</v>
      </c>
      <c r="E376" t="s">
        <v>18</v>
      </c>
      <c r="F376" t="s">
        <v>13</v>
      </c>
      <c r="G376">
        <v>0</v>
      </c>
      <c r="H376">
        <v>0</v>
      </c>
      <c r="I376" t="s">
        <v>200</v>
      </c>
      <c r="J376" t="s">
        <v>20</v>
      </c>
    </row>
    <row r="377" spans="1:10" x14ac:dyDescent="0.3">
      <c r="A377">
        <v>1376</v>
      </c>
      <c r="B377" t="s">
        <v>68</v>
      </c>
      <c r="D377" t="s">
        <v>40</v>
      </c>
      <c r="E377" t="s">
        <v>12</v>
      </c>
      <c r="F377" t="s">
        <v>13</v>
      </c>
      <c r="G377">
        <v>1</v>
      </c>
      <c r="H377">
        <v>0</v>
      </c>
      <c r="I377" t="s">
        <v>211</v>
      </c>
      <c r="J377" t="s">
        <v>43</v>
      </c>
    </row>
    <row r="378" spans="1:10" x14ac:dyDescent="0.3">
      <c r="A378">
        <v>1377</v>
      </c>
      <c r="B378" t="s">
        <v>57</v>
      </c>
      <c r="D378" t="s">
        <v>40</v>
      </c>
      <c r="E378" t="s">
        <v>44</v>
      </c>
      <c r="F378" t="s">
        <v>13</v>
      </c>
      <c r="G378">
        <v>1</v>
      </c>
      <c r="H378">
        <v>0</v>
      </c>
      <c r="I378" t="s">
        <v>97</v>
      </c>
      <c r="J378" t="s">
        <v>29</v>
      </c>
    </row>
    <row r="379" spans="1:10" x14ac:dyDescent="0.3">
      <c r="A379">
        <v>1378</v>
      </c>
      <c r="B379" t="s">
        <v>62</v>
      </c>
      <c r="C379">
        <v>38</v>
      </c>
      <c r="D379" t="s">
        <v>26</v>
      </c>
      <c r="E379" t="s">
        <v>12</v>
      </c>
      <c r="F379" t="s">
        <v>36</v>
      </c>
      <c r="G379">
        <v>0</v>
      </c>
      <c r="H379">
        <v>39171</v>
      </c>
      <c r="I379" t="s">
        <v>200</v>
      </c>
      <c r="J379" t="s">
        <v>20</v>
      </c>
    </row>
    <row r="380" spans="1:10" x14ac:dyDescent="0.3">
      <c r="A380">
        <v>1379</v>
      </c>
      <c r="B380" t="s">
        <v>64</v>
      </c>
      <c r="C380">
        <v>30</v>
      </c>
      <c r="D380" t="s">
        <v>17</v>
      </c>
      <c r="E380" t="s">
        <v>12</v>
      </c>
      <c r="F380" t="s">
        <v>13</v>
      </c>
      <c r="G380">
        <v>1</v>
      </c>
      <c r="H380">
        <v>36265</v>
      </c>
      <c r="I380" t="s">
        <v>79</v>
      </c>
      <c r="J380" t="s">
        <v>29</v>
      </c>
    </row>
    <row r="381" spans="1:10" x14ac:dyDescent="0.3">
      <c r="A381">
        <v>1380</v>
      </c>
      <c r="B381" t="s">
        <v>38</v>
      </c>
      <c r="C381">
        <v>44</v>
      </c>
      <c r="D381" t="s">
        <v>40</v>
      </c>
      <c r="E381" t="s">
        <v>18</v>
      </c>
      <c r="F381" t="s">
        <v>30</v>
      </c>
      <c r="G381">
        <v>0</v>
      </c>
      <c r="H381">
        <v>0</v>
      </c>
      <c r="I381" t="s">
        <v>50</v>
      </c>
      <c r="J381" t="s">
        <v>29</v>
      </c>
    </row>
    <row r="382" spans="1:10" x14ac:dyDescent="0.3">
      <c r="A382">
        <v>1381</v>
      </c>
      <c r="B382" t="s">
        <v>78</v>
      </c>
      <c r="D382" t="s">
        <v>11</v>
      </c>
      <c r="E382" t="s">
        <v>44</v>
      </c>
      <c r="F382" t="s">
        <v>36</v>
      </c>
      <c r="G382">
        <v>1</v>
      </c>
      <c r="H382">
        <v>0</v>
      </c>
      <c r="I382" t="s">
        <v>186</v>
      </c>
      <c r="J382" t="s">
        <v>29</v>
      </c>
    </row>
    <row r="383" spans="1:10" x14ac:dyDescent="0.3">
      <c r="A383">
        <v>1382</v>
      </c>
      <c r="B383" t="s">
        <v>38</v>
      </c>
      <c r="C383">
        <v>29</v>
      </c>
      <c r="D383" t="s">
        <v>40</v>
      </c>
      <c r="E383" t="s">
        <v>18</v>
      </c>
      <c r="F383" t="s">
        <v>36</v>
      </c>
      <c r="G383">
        <v>0</v>
      </c>
      <c r="H383">
        <v>18967</v>
      </c>
      <c r="I383" t="s">
        <v>101</v>
      </c>
      <c r="J383" t="s">
        <v>45</v>
      </c>
    </row>
    <row r="384" spans="1:10" x14ac:dyDescent="0.3">
      <c r="A384">
        <v>1383</v>
      </c>
      <c r="B384" t="s">
        <v>10</v>
      </c>
      <c r="D384" t="s">
        <v>22</v>
      </c>
      <c r="E384" t="s">
        <v>27</v>
      </c>
      <c r="F384" t="s">
        <v>33</v>
      </c>
      <c r="G384">
        <v>0</v>
      </c>
      <c r="H384">
        <v>0</v>
      </c>
      <c r="I384" t="s">
        <v>150</v>
      </c>
      <c r="J384" t="s">
        <v>43</v>
      </c>
    </row>
    <row r="385" spans="1:10" x14ac:dyDescent="0.3">
      <c r="A385">
        <v>1384</v>
      </c>
      <c r="B385" t="s">
        <v>54</v>
      </c>
      <c r="D385" t="s">
        <v>26</v>
      </c>
      <c r="E385" t="s">
        <v>41</v>
      </c>
      <c r="F385" t="s">
        <v>30</v>
      </c>
      <c r="G385">
        <v>2</v>
      </c>
      <c r="H385">
        <v>-1000</v>
      </c>
      <c r="I385" t="s">
        <v>186</v>
      </c>
      <c r="J385" t="s">
        <v>29</v>
      </c>
    </row>
    <row r="386" spans="1:10" x14ac:dyDescent="0.3">
      <c r="A386">
        <v>1385</v>
      </c>
      <c r="B386" t="s">
        <v>35</v>
      </c>
      <c r="D386" t="s">
        <v>40</v>
      </c>
      <c r="E386" t="s">
        <v>23</v>
      </c>
      <c r="F386" t="s">
        <v>36</v>
      </c>
      <c r="G386">
        <v>0</v>
      </c>
      <c r="H386">
        <v>0</v>
      </c>
      <c r="I386" t="s">
        <v>161</v>
      </c>
      <c r="J386" t="s">
        <v>29</v>
      </c>
    </row>
    <row r="387" spans="1:10" x14ac:dyDescent="0.3">
      <c r="A387">
        <v>1386</v>
      </c>
      <c r="B387" t="s">
        <v>46</v>
      </c>
      <c r="C387">
        <v>49</v>
      </c>
      <c r="D387" t="s">
        <v>40</v>
      </c>
      <c r="E387" t="s">
        <v>18</v>
      </c>
      <c r="F387" t="s">
        <v>13</v>
      </c>
      <c r="G387">
        <v>0</v>
      </c>
      <c r="H387">
        <v>0</v>
      </c>
      <c r="I387" t="s">
        <v>119</v>
      </c>
      <c r="J387" t="s">
        <v>29</v>
      </c>
    </row>
    <row r="388" spans="1:10" x14ac:dyDescent="0.3">
      <c r="A388">
        <v>1387</v>
      </c>
      <c r="B388" t="s">
        <v>16</v>
      </c>
      <c r="C388">
        <v>21</v>
      </c>
      <c r="D388" t="s">
        <v>40</v>
      </c>
      <c r="E388" t="s">
        <v>12</v>
      </c>
      <c r="F388" t="s">
        <v>36</v>
      </c>
      <c r="G388">
        <v>0</v>
      </c>
      <c r="H388">
        <v>31040</v>
      </c>
      <c r="I388" t="s">
        <v>213</v>
      </c>
      <c r="J388" t="s">
        <v>15</v>
      </c>
    </row>
    <row r="389" spans="1:10" x14ac:dyDescent="0.3">
      <c r="A389">
        <v>1388</v>
      </c>
      <c r="B389" t="s">
        <v>68</v>
      </c>
      <c r="C389">
        <v>50</v>
      </c>
      <c r="D389" t="s">
        <v>11</v>
      </c>
      <c r="E389" t="s">
        <v>51</v>
      </c>
      <c r="F389" t="s">
        <v>30</v>
      </c>
      <c r="G389">
        <v>3</v>
      </c>
      <c r="H389">
        <v>18842</v>
      </c>
      <c r="I389" t="s">
        <v>145</v>
      </c>
      <c r="J389" t="s">
        <v>20</v>
      </c>
    </row>
    <row r="390" spans="1:10" x14ac:dyDescent="0.3">
      <c r="A390">
        <v>1389</v>
      </c>
      <c r="B390" t="s">
        <v>10</v>
      </c>
      <c r="C390">
        <v>26</v>
      </c>
      <c r="D390" t="s">
        <v>40</v>
      </c>
      <c r="E390" t="s">
        <v>41</v>
      </c>
      <c r="F390" t="s">
        <v>30</v>
      </c>
      <c r="G390">
        <v>0</v>
      </c>
      <c r="H390">
        <v>8786</v>
      </c>
      <c r="I390" t="s">
        <v>214</v>
      </c>
      <c r="J390" t="s">
        <v>20</v>
      </c>
    </row>
    <row r="391" spans="1:10" x14ac:dyDescent="0.3">
      <c r="A391">
        <v>1390</v>
      </c>
      <c r="B391" t="s">
        <v>62</v>
      </c>
      <c r="D391" t="s">
        <v>17</v>
      </c>
      <c r="E391" t="s">
        <v>23</v>
      </c>
      <c r="F391" t="s">
        <v>33</v>
      </c>
      <c r="G391">
        <v>5</v>
      </c>
      <c r="H391">
        <v>-1000</v>
      </c>
      <c r="I391" t="s">
        <v>198</v>
      </c>
      <c r="J391" t="s">
        <v>20</v>
      </c>
    </row>
    <row r="392" spans="1:10" x14ac:dyDescent="0.3">
      <c r="A392">
        <v>1391</v>
      </c>
      <c r="B392" t="s">
        <v>38</v>
      </c>
      <c r="C392">
        <v>40</v>
      </c>
      <c r="D392" t="s">
        <v>11</v>
      </c>
      <c r="E392" t="s">
        <v>55</v>
      </c>
      <c r="F392" t="s">
        <v>33</v>
      </c>
      <c r="G392">
        <v>3</v>
      </c>
      <c r="H392">
        <v>0</v>
      </c>
      <c r="I392" t="s">
        <v>70</v>
      </c>
      <c r="J392" t="s">
        <v>29</v>
      </c>
    </row>
    <row r="393" spans="1:10" x14ac:dyDescent="0.3">
      <c r="A393">
        <v>1392</v>
      </c>
      <c r="B393" t="s">
        <v>46</v>
      </c>
      <c r="C393">
        <v>21</v>
      </c>
      <c r="D393" t="s">
        <v>11</v>
      </c>
      <c r="E393" t="s">
        <v>41</v>
      </c>
      <c r="F393" t="s">
        <v>33</v>
      </c>
      <c r="G393">
        <v>0</v>
      </c>
      <c r="H393">
        <v>-1000</v>
      </c>
      <c r="I393" t="s">
        <v>53</v>
      </c>
      <c r="J393" t="s">
        <v>20</v>
      </c>
    </row>
    <row r="394" spans="1:10" x14ac:dyDescent="0.3">
      <c r="A394">
        <v>1393</v>
      </c>
      <c r="B394" t="s">
        <v>69</v>
      </c>
      <c r="C394">
        <v>33</v>
      </c>
      <c r="D394" t="s">
        <v>17</v>
      </c>
      <c r="E394" t="s">
        <v>51</v>
      </c>
      <c r="F394" t="s">
        <v>36</v>
      </c>
      <c r="G394">
        <v>0</v>
      </c>
      <c r="H394">
        <v>-1000</v>
      </c>
      <c r="I394" t="s">
        <v>200</v>
      </c>
      <c r="J394" t="s">
        <v>43</v>
      </c>
    </row>
    <row r="395" spans="1:10" x14ac:dyDescent="0.3">
      <c r="A395">
        <v>1394</v>
      </c>
      <c r="B395" t="s">
        <v>59</v>
      </c>
      <c r="D395" t="s">
        <v>26</v>
      </c>
      <c r="E395" t="s">
        <v>55</v>
      </c>
      <c r="F395" t="s">
        <v>36</v>
      </c>
      <c r="G395">
        <v>5</v>
      </c>
      <c r="H395">
        <v>19729</v>
      </c>
      <c r="I395" t="s">
        <v>109</v>
      </c>
      <c r="J395" t="s">
        <v>20</v>
      </c>
    </row>
    <row r="396" spans="1:10" x14ac:dyDescent="0.3">
      <c r="A396">
        <v>1395</v>
      </c>
      <c r="B396" t="s">
        <v>16</v>
      </c>
      <c r="C396">
        <v>44</v>
      </c>
      <c r="D396" t="s">
        <v>17</v>
      </c>
      <c r="E396" t="s">
        <v>41</v>
      </c>
      <c r="F396" t="s">
        <v>36</v>
      </c>
      <c r="G396">
        <v>3</v>
      </c>
      <c r="H396">
        <v>32669</v>
      </c>
      <c r="I396" t="s">
        <v>210</v>
      </c>
      <c r="J396" t="s">
        <v>45</v>
      </c>
    </row>
    <row r="397" spans="1:10" x14ac:dyDescent="0.3">
      <c r="A397">
        <v>1396</v>
      </c>
      <c r="B397" t="s">
        <v>62</v>
      </c>
      <c r="C397">
        <v>49</v>
      </c>
      <c r="D397" t="s">
        <v>17</v>
      </c>
      <c r="E397" t="s">
        <v>18</v>
      </c>
      <c r="F397" t="s">
        <v>30</v>
      </c>
      <c r="G397">
        <v>2</v>
      </c>
      <c r="H397">
        <v>0</v>
      </c>
      <c r="I397" t="s">
        <v>176</v>
      </c>
      <c r="J397" t="s">
        <v>29</v>
      </c>
    </row>
    <row r="398" spans="1:10" x14ac:dyDescent="0.3">
      <c r="A398">
        <v>1397</v>
      </c>
      <c r="B398" t="s">
        <v>48</v>
      </c>
      <c r="C398">
        <v>40</v>
      </c>
      <c r="D398" t="s">
        <v>40</v>
      </c>
      <c r="E398" t="s">
        <v>44</v>
      </c>
      <c r="F398" t="s">
        <v>30</v>
      </c>
      <c r="G398">
        <v>0</v>
      </c>
      <c r="H398">
        <v>0</v>
      </c>
      <c r="I398" t="s">
        <v>174</v>
      </c>
      <c r="J398" t="s">
        <v>20</v>
      </c>
    </row>
    <row r="399" spans="1:10" x14ac:dyDescent="0.3">
      <c r="A399">
        <v>1398</v>
      </c>
      <c r="B399" t="s">
        <v>16</v>
      </c>
      <c r="C399">
        <v>44</v>
      </c>
      <c r="D399" t="s">
        <v>11</v>
      </c>
      <c r="E399" t="s">
        <v>27</v>
      </c>
      <c r="F399" t="s">
        <v>30</v>
      </c>
      <c r="G399">
        <v>0</v>
      </c>
      <c r="H399">
        <v>0</v>
      </c>
      <c r="I399" t="s">
        <v>56</v>
      </c>
      <c r="J399" t="s">
        <v>45</v>
      </c>
    </row>
    <row r="400" spans="1:10" x14ac:dyDescent="0.3">
      <c r="A400">
        <v>1399</v>
      </c>
      <c r="B400" t="s">
        <v>38</v>
      </c>
      <c r="D400" t="s">
        <v>40</v>
      </c>
      <c r="E400" t="s">
        <v>23</v>
      </c>
      <c r="F400" t="s">
        <v>30</v>
      </c>
      <c r="G400">
        <v>0</v>
      </c>
      <c r="H400">
        <v>37217</v>
      </c>
      <c r="I400" t="s">
        <v>127</v>
      </c>
      <c r="J400" t="s">
        <v>45</v>
      </c>
    </row>
    <row r="401" spans="1:10" x14ac:dyDescent="0.3">
      <c r="A401">
        <v>1400</v>
      </c>
      <c r="B401" t="s">
        <v>32</v>
      </c>
      <c r="C401">
        <v>36</v>
      </c>
      <c r="D401" t="s">
        <v>26</v>
      </c>
      <c r="E401" t="s">
        <v>44</v>
      </c>
      <c r="F401" t="s">
        <v>36</v>
      </c>
      <c r="G401">
        <v>0</v>
      </c>
      <c r="H401">
        <v>48438</v>
      </c>
      <c r="I401" t="s">
        <v>91</v>
      </c>
      <c r="J401" t="s">
        <v>20</v>
      </c>
    </row>
    <row r="402" spans="1:10" x14ac:dyDescent="0.3">
      <c r="A402">
        <v>1401</v>
      </c>
      <c r="B402" t="s">
        <v>10</v>
      </c>
      <c r="D402" t="s">
        <v>40</v>
      </c>
      <c r="E402" t="s">
        <v>23</v>
      </c>
      <c r="F402" t="s">
        <v>13</v>
      </c>
      <c r="G402">
        <v>4</v>
      </c>
      <c r="H402">
        <v>0</v>
      </c>
      <c r="I402" t="s">
        <v>71</v>
      </c>
      <c r="J402" t="s">
        <v>29</v>
      </c>
    </row>
    <row r="403" spans="1:10" x14ac:dyDescent="0.3">
      <c r="A403">
        <v>1402</v>
      </c>
      <c r="B403" t="s">
        <v>68</v>
      </c>
      <c r="D403" t="s">
        <v>22</v>
      </c>
      <c r="E403" t="s">
        <v>44</v>
      </c>
      <c r="F403" t="s">
        <v>33</v>
      </c>
      <c r="G403">
        <v>0</v>
      </c>
      <c r="H403">
        <v>20701</v>
      </c>
      <c r="I403" t="s">
        <v>156</v>
      </c>
      <c r="J403" t="s">
        <v>20</v>
      </c>
    </row>
    <row r="404" spans="1:10" x14ac:dyDescent="0.3">
      <c r="A404">
        <v>1403</v>
      </c>
      <c r="B404" t="s">
        <v>32</v>
      </c>
      <c r="C404">
        <v>25</v>
      </c>
      <c r="D404" t="s">
        <v>17</v>
      </c>
      <c r="E404" t="s">
        <v>27</v>
      </c>
      <c r="F404" t="s">
        <v>33</v>
      </c>
      <c r="G404">
        <v>0</v>
      </c>
      <c r="H404">
        <v>-1000</v>
      </c>
      <c r="I404" t="s">
        <v>138</v>
      </c>
      <c r="J404" t="s">
        <v>20</v>
      </c>
    </row>
    <row r="405" spans="1:10" x14ac:dyDescent="0.3">
      <c r="A405">
        <v>1404</v>
      </c>
      <c r="B405" t="s">
        <v>48</v>
      </c>
      <c r="C405">
        <v>35</v>
      </c>
      <c r="D405" t="s">
        <v>40</v>
      </c>
      <c r="E405" t="s">
        <v>27</v>
      </c>
      <c r="F405" t="s">
        <v>13</v>
      </c>
      <c r="G405">
        <v>0</v>
      </c>
      <c r="H405">
        <v>3451</v>
      </c>
      <c r="I405" t="s">
        <v>98</v>
      </c>
      <c r="J405" t="s">
        <v>43</v>
      </c>
    </row>
    <row r="406" spans="1:10" x14ac:dyDescent="0.3">
      <c r="A406">
        <v>1405</v>
      </c>
      <c r="B406" t="s">
        <v>21</v>
      </c>
      <c r="D406" t="s">
        <v>17</v>
      </c>
      <c r="E406" t="s">
        <v>18</v>
      </c>
      <c r="F406" t="s">
        <v>13</v>
      </c>
      <c r="G406">
        <v>4</v>
      </c>
      <c r="H406">
        <v>-1000</v>
      </c>
      <c r="I406" t="s">
        <v>28</v>
      </c>
      <c r="J406" t="s">
        <v>29</v>
      </c>
    </row>
    <row r="407" spans="1:10" x14ac:dyDescent="0.3">
      <c r="A407">
        <v>1406</v>
      </c>
      <c r="B407" t="s">
        <v>32</v>
      </c>
      <c r="D407" t="s">
        <v>11</v>
      </c>
      <c r="E407" t="s">
        <v>27</v>
      </c>
      <c r="F407" t="s">
        <v>33</v>
      </c>
      <c r="G407">
        <v>0</v>
      </c>
      <c r="H407">
        <v>42399</v>
      </c>
      <c r="I407" t="s">
        <v>210</v>
      </c>
      <c r="J407" t="s">
        <v>45</v>
      </c>
    </row>
    <row r="408" spans="1:10" x14ac:dyDescent="0.3">
      <c r="A408">
        <v>1407</v>
      </c>
      <c r="B408" t="s">
        <v>21</v>
      </c>
      <c r="C408">
        <v>36</v>
      </c>
      <c r="D408" t="s">
        <v>40</v>
      </c>
      <c r="E408" t="s">
        <v>23</v>
      </c>
      <c r="F408" t="s">
        <v>30</v>
      </c>
      <c r="G408">
        <v>0</v>
      </c>
      <c r="H408">
        <v>0</v>
      </c>
      <c r="I408" t="s">
        <v>107</v>
      </c>
      <c r="J408" t="s">
        <v>29</v>
      </c>
    </row>
    <row r="409" spans="1:10" x14ac:dyDescent="0.3">
      <c r="A409">
        <v>1408</v>
      </c>
      <c r="B409" t="s">
        <v>46</v>
      </c>
      <c r="D409" t="s">
        <v>26</v>
      </c>
      <c r="E409" t="s">
        <v>12</v>
      </c>
      <c r="F409" t="s">
        <v>30</v>
      </c>
      <c r="G409">
        <v>2</v>
      </c>
      <c r="H409">
        <v>0</v>
      </c>
      <c r="I409" t="s">
        <v>176</v>
      </c>
      <c r="J409" t="s">
        <v>43</v>
      </c>
    </row>
    <row r="410" spans="1:10" x14ac:dyDescent="0.3">
      <c r="A410">
        <v>1409</v>
      </c>
      <c r="B410" t="s">
        <v>38</v>
      </c>
      <c r="C410">
        <v>44</v>
      </c>
      <c r="D410" t="s">
        <v>17</v>
      </c>
      <c r="E410" t="s">
        <v>44</v>
      </c>
      <c r="F410" t="s">
        <v>13</v>
      </c>
      <c r="G410">
        <v>0</v>
      </c>
      <c r="H410">
        <v>-1000</v>
      </c>
      <c r="I410" t="s">
        <v>88</v>
      </c>
      <c r="J410" t="s">
        <v>45</v>
      </c>
    </row>
    <row r="411" spans="1:10" x14ac:dyDescent="0.3">
      <c r="A411">
        <v>1410</v>
      </c>
      <c r="B411" t="s">
        <v>68</v>
      </c>
      <c r="C411">
        <v>48</v>
      </c>
      <c r="D411" t="s">
        <v>22</v>
      </c>
      <c r="E411" t="s">
        <v>23</v>
      </c>
      <c r="F411" t="s">
        <v>33</v>
      </c>
      <c r="G411">
        <v>4</v>
      </c>
      <c r="H411">
        <v>0</v>
      </c>
      <c r="I411" t="s">
        <v>146</v>
      </c>
      <c r="J411" t="s">
        <v>15</v>
      </c>
    </row>
    <row r="412" spans="1:10" x14ac:dyDescent="0.3">
      <c r="A412">
        <v>1411</v>
      </c>
      <c r="B412" t="s">
        <v>62</v>
      </c>
      <c r="C412">
        <v>43</v>
      </c>
      <c r="D412" t="s">
        <v>11</v>
      </c>
      <c r="E412" t="s">
        <v>51</v>
      </c>
      <c r="F412" t="s">
        <v>13</v>
      </c>
      <c r="G412">
        <v>2</v>
      </c>
      <c r="H412">
        <v>43389</v>
      </c>
      <c r="I412" t="s">
        <v>96</v>
      </c>
      <c r="J412" t="s">
        <v>29</v>
      </c>
    </row>
    <row r="413" spans="1:10" x14ac:dyDescent="0.3">
      <c r="A413">
        <v>1412</v>
      </c>
      <c r="B413" t="s">
        <v>54</v>
      </c>
      <c r="D413" t="s">
        <v>17</v>
      </c>
      <c r="E413" t="s">
        <v>18</v>
      </c>
      <c r="F413" t="s">
        <v>33</v>
      </c>
      <c r="G413">
        <v>1</v>
      </c>
      <c r="H413">
        <v>0</v>
      </c>
      <c r="I413" t="s">
        <v>205</v>
      </c>
      <c r="J413" t="s">
        <v>45</v>
      </c>
    </row>
    <row r="414" spans="1:10" x14ac:dyDescent="0.3">
      <c r="A414">
        <v>1413</v>
      </c>
      <c r="B414" t="s">
        <v>35</v>
      </c>
      <c r="C414">
        <v>43</v>
      </c>
      <c r="D414" t="s">
        <v>26</v>
      </c>
      <c r="E414" t="s">
        <v>51</v>
      </c>
      <c r="F414" t="s">
        <v>36</v>
      </c>
      <c r="G414">
        <v>0</v>
      </c>
      <c r="H414">
        <v>-1000</v>
      </c>
      <c r="I414" t="s">
        <v>215</v>
      </c>
      <c r="J414" t="s">
        <v>29</v>
      </c>
    </row>
    <row r="415" spans="1:10" x14ac:dyDescent="0.3">
      <c r="A415">
        <v>1414</v>
      </c>
      <c r="B415" t="s">
        <v>73</v>
      </c>
      <c r="D415" t="s">
        <v>17</v>
      </c>
      <c r="E415" t="s">
        <v>51</v>
      </c>
      <c r="F415" t="s">
        <v>33</v>
      </c>
      <c r="G415">
        <v>3</v>
      </c>
      <c r="H415">
        <v>35711</v>
      </c>
      <c r="I415" t="s">
        <v>138</v>
      </c>
      <c r="J415" t="s">
        <v>43</v>
      </c>
    </row>
    <row r="416" spans="1:10" x14ac:dyDescent="0.3">
      <c r="A416">
        <v>1415</v>
      </c>
      <c r="B416" t="s">
        <v>57</v>
      </c>
      <c r="D416" t="s">
        <v>26</v>
      </c>
      <c r="E416" t="s">
        <v>51</v>
      </c>
      <c r="F416" t="s">
        <v>33</v>
      </c>
      <c r="G416">
        <v>0</v>
      </c>
      <c r="H416">
        <v>-1000</v>
      </c>
      <c r="I416" t="s">
        <v>14</v>
      </c>
      <c r="J416" t="s">
        <v>43</v>
      </c>
    </row>
    <row r="417" spans="1:10" x14ac:dyDescent="0.3">
      <c r="A417">
        <v>1416</v>
      </c>
      <c r="B417" t="s">
        <v>57</v>
      </c>
      <c r="D417" t="s">
        <v>17</v>
      </c>
      <c r="E417" t="s">
        <v>18</v>
      </c>
      <c r="F417" t="s">
        <v>33</v>
      </c>
      <c r="G417">
        <v>5</v>
      </c>
      <c r="H417">
        <v>-1000</v>
      </c>
      <c r="I417" t="s">
        <v>187</v>
      </c>
      <c r="J417" t="s">
        <v>20</v>
      </c>
    </row>
    <row r="418" spans="1:10" x14ac:dyDescent="0.3">
      <c r="A418">
        <v>1417</v>
      </c>
      <c r="B418" t="s">
        <v>48</v>
      </c>
      <c r="C418">
        <v>38</v>
      </c>
      <c r="D418" t="s">
        <v>11</v>
      </c>
      <c r="E418" t="s">
        <v>23</v>
      </c>
      <c r="F418" t="s">
        <v>33</v>
      </c>
      <c r="G418">
        <v>0</v>
      </c>
      <c r="H418">
        <v>19513</v>
      </c>
      <c r="I418" t="s">
        <v>92</v>
      </c>
      <c r="J418" t="s">
        <v>20</v>
      </c>
    </row>
    <row r="419" spans="1:10" x14ac:dyDescent="0.3">
      <c r="A419">
        <v>1418</v>
      </c>
      <c r="B419" t="s">
        <v>57</v>
      </c>
      <c r="C419">
        <v>18</v>
      </c>
      <c r="D419" t="s">
        <v>40</v>
      </c>
      <c r="E419" t="s">
        <v>51</v>
      </c>
      <c r="F419" t="s">
        <v>33</v>
      </c>
      <c r="G419">
        <v>2</v>
      </c>
      <c r="H419">
        <v>-1000</v>
      </c>
      <c r="I419" t="s">
        <v>216</v>
      </c>
      <c r="J419" t="s">
        <v>29</v>
      </c>
    </row>
    <row r="420" spans="1:10" x14ac:dyDescent="0.3">
      <c r="A420">
        <v>1419</v>
      </c>
      <c r="B420" t="s">
        <v>64</v>
      </c>
      <c r="D420" t="s">
        <v>40</v>
      </c>
      <c r="E420" t="s">
        <v>51</v>
      </c>
      <c r="F420" t="s">
        <v>33</v>
      </c>
      <c r="G420">
        <v>0</v>
      </c>
      <c r="H420">
        <v>-1000</v>
      </c>
      <c r="I420" t="s">
        <v>154</v>
      </c>
      <c r="J420" t="s">
        <v>45</v>
      </c>
    </row>
    <row r="421" spans="1:10" x14ac:dyDescent="0.3">
      <c r="A421">
        <v>1420</v>
      </c>
      <c r="B421" t="s">
        <v>59</v>
      </c>
      <c r="C421">
        <v>39</v>
      </c>
      <c r="D421" t="s">
        <v>40</v>
      </c>
      <c r="E421" t="s">
        <v>18</v>
      </c>
      <c r="F421" t="s">
        <v>13</v>
      </c>
      <c r="G421">
        <v>0</v>
      </c>
      <c r="H421">
        <v>0</v>
      </c>
      <c r="I421" t="s">
        <v>184</v>
      </c>
      <c r="J421" t="s">
        <v>29</v>
      </c>
    </row>
    <row r="422" spans="1:10" x14ac:dyDescent="0.3">
      <c r="A422">
        <v>1421</v>
      </c>
      <c r="B422" t="s">
        <v>35</v>
      </c>
      <c r="C422">
        <v>48</v>
      </c>
      <c r="D422" t="s">
        <v>17</v>
      </c>
      <c r="E422" t="s">
        <v>27</v>
      </c>
      <c r="F422" t="s">
        <v>33</v>
      </c>
      <c r="G422">
        <v>3</v>
      </c>
      <c r="H422">
        <v>0</v>
      </c>
      <c r="I422" t="s">
        <v>209</v>
      </c>
      <c r="J422" t="s">
        <v>20</v>
      </c>
    </row>
    <row r="423" spans="1:10" x14ac:dyDescent="0.3">
      <c r="A423">
        <v>1422</v>
      </c>
      <c r="B423" t="s">
        <v>46</v>
      </c>
      <c r="C423">
        <v>24</v>
      </c>
      <c r="D423" t="s">
        <v>22</v>
      </c>
      <c r="E423" t="s">
        <v>12</v>
      </c>
      <c r="F423" t="s">
        <v>33</v>
      </c>
      <c r="G423">
        <v>0</v>
      </c>
      <c r="H423">
        <v>49330</v>
      </c>
      <c r="I423" t="s">
        <v>56</v>
      </c>
      <c r="J423" t="s">
        <v>15</v>
      </c>
    </row>
    <row r="424" spans="1:10" x14ac:dyDescent="0.3">
      <c r="A424">
        <v>1423</v>
      </c>
      <c r="B424" t="s">
        <v>10</v>
      </c>
      <c r="C424">
        <v>39</v>
      </c>
      <c r="D424" t="s">
        <v>40</v>
      </c>
      <c r="E424" t="s">
        <v>51</v>
      </c>
      <c r="F424" t="s">
        <v>33</v>
      </c>
      <c r="G424">
        <v>0</v>
      </c>
      <c r="H424">
        <v>-1000</v>
      </c>
      <c r="I424" t="s">
        <v>133</v>
      </c>
      <c r="J424" t="s">
        <v>45</v>
      </c>
    </row>
    <row r="425" spans="1:10" x14ac:dyDescent="0.3">
      <c r="A425">
        <v>1424</v>
      </c>
      <c r="B425" t="s">
        <v>54</v>
      </c>
      <c r="D425" t="s">
        <v>11</v>
      </c>
      <c r="E425" t="s">
        <v>12</v>
      </c>
      <c r="F425" t="s">
        <v>36</v>
      </c>
      <c r="G425">
        <v>5</v>
      </c>
      <c r="H425">
        <v>-1000</v>
      </c>
      <c r="I425" t="s">
        <v>171</v>
      </c>
      <c r="J425" t="s">
        <v>29</v>
      </c>
    </row>
    <row r="426" spans="1:10" x14ac:dyDescent="0.3">
      <c r="A426">
        <v>1425</v>
      </c>
      <c r="B426" t="s">
        <v>32</v>
      </c>
      <c r="C426">
        <v>48</v>
      </c>
      <c r="D426" t="s">
        <v>26</v>
      </c>
      <c r="E426" t="s">
        <v>51</v>
      </c>
      <c r="F426" t="s">
        <v>33</v>
      </c>
      <c r="G426">
        <v>5</v>
      </c>
      <c r="H426">
        <v>-1000</v>
      </c>
      <c r="I426" t="s">
        <v>217</v>
      </c>
      <c r="J426" t="s">
        <v>20</v>
      </c>
    </row>
    <row r="427" spans="1:10" x14ac:dyDescent="0.3">
      <c r="A427">
        <v>1426</v>
      </c>
      <c r="B427" t="s">
        <v>46</v>
      </c>
      <c r="C427">
        <v>21</v>
      </c>
      <c r="D427" t="s">
        <v>17</v>
      </c>
      <c r="E427" t="s">
        <v>44</v>
      </c>
      <c r="F427" t="s">
        <v>36</v>
      </c>
      <c r="G427">
        <v>0</v>
      </c>
      <c r="H427">
        <v>-1000</v>
      </c>
      <c r="I427" t="s">
        <v>213</v>
      </c>
      <c r="J427" t="s">
        <v>29</v>
      </c>
    </row>
    <row r="428" spans="1:10" x14ac:dyDescent="0.3">
      <c r="A428">
        <v>1427</v>
      </c>
      <c r="B428" t="s">
        <v>64</v>
      </c>
      <c r="C428">
        <v>50</v>
      </c>
      <c r="D428" t="s">
        <v>11</v>
      </c>
      <c r="E428" t="s">
        <v>55</v>
      </c>
      <c r="F428" t="s">
        <v>30</v>
      </c>
      <c r="G428">
        <v>5</v>
      </c>
      <c r="H428">
        <v>0</v>
      </c>
      <c r="I428" t="s">
        <v>169</v>
      </c>
      <c r="J428" t="s">
        <v>15</v>
      </c>
    </row>
    <row r="429" spans="1:10" x14ac:dyDescent="0.3">
      <c r="A429">
        <v>1428</v>
      </c>
      <c r="B429" t="s">
        <v>35</v>
      </c>
      <c r="C429">
        <v>36</v>
      </c>
      <c r="D429" t="s">
        <v>17</v>
      </c>
      <c r="E429" t="s">
        <v>18</v>
      </c>
      <c r="F429" t="s">
        <v>33</v>
      </c>
      <c r="G429">
        <v>0</v>
      </c>
      <c r="H429">
        <v>0</v>
      </c>
      <c r="I429" t="s">
        <v>151</v>
      </c>
      <c r="J429" t="s">
        <v>29</v>
      </c>
    </row>
    <row r="430" spans="1:10" x14ac:dyDescent="0.3">
      <c r="A430">
        <v>1429</v>
      </c>
      <c r="B430" t="s">
        <v>25</v>
      </c>
      <c r="C430">
        <v>25</v>
      </c>
      <c r="D430" t="s">
        <v>26</v>
      </c>
      <c r="E430" t="s">
        <v>55</v>
      </c>
      <c r="F430" t="s">
        <v>13</v>
      </c>
      <c r="G430">
        <v>2</v>
      </c>
      <c r="H430">
        <v>0</v>
      </c>
      <c r="I430" t="s">
        <v>163</v>
      </c>
      <c r="J430" t="s">
        <v>29</v>
      </c>
    </row>
    <row r="431" spans="1:10" x14ac:dyDescent="0.3">
      <c r="A431">
        <v>1430</v>
      </c>
      <c r="B431" t="s">
        <v>35</v>
      </c>
      <c r="C431">
        <v>50</v>
      </c>
      <c r="D431" t="s">
        <v>26</v>
      </c>
      <c r="E431" t="s">
        <v>55</v>
      </c>
      <c r="F431" t="s">
        <v>30</v>
      </c>
      <c r="G431">
        <v>0</v>
      </c>
      <c r="H431">
        <v>0</v>
      </c>
      <c r="I431" t="s">
        <v>218</v>
      </c>
      <c r="J431" t="s">
        <v>43</v>
      </c>
    </row>
    <row r="432" spans="1:10" x14ac:dyDescent="0.3">
      <c r="A432">
        <v>1431</v>
      </c>
      <c r="B432" t="s">
        <v>62</v>
      </c>
      <c r="C432">
        <v>28</v>
      </c>
      <c r="D432" t="s">
        <v>40</v>
      </c>
      <c r="E432" t="s">
        <v>44</v>
      </c>
      <c r="F432" t="s">
        <v>33</v>
      </c>
      <c r="G432">
        <v>4</v>
      </c>
      <c r="H432">
        <v>-1000</v>
      </c>
      <c r="I432" t="s">
        <v>28</v>
      </c>
      <c r="J432" t="s">
        <v>43</v>
      </c>
    </row>
    <row r="433" spans="1:10" x14ac:dyDescent="0.3">
      <c r="A433">
        <v>1432</v>
      </c>
      <c r="B433" t="s">
        <v>64</v>
      </c>
      <c r="D433" t="s">
        <v>26</v>
      </c>
      <c r="E433" t="s">
        <v>12</v>
      </c>
      <c r="F433" t="s">
        <v>33</v>
      </c>
      <c r="G433">
        <v>4</v>
      </c>
      <c r="H433">
        <v>48197</v>
      </c>
      <c r="I433" t="s">
        <v>95</v>
      </c>
      <c r="J433" t="s">
        <v>45</v>
      </c>
    </row>
    <row r="434" spans="1:10" x14ac:dyDescent="0.3">
      <c r="A434">
        <v>1433</v>
      </c>
      <c r="B434" t="s">
        <v>16</v>
      </c>
      <c r="D434" t="s">
        <v>17</v>
      </c>
      <c r="E434" t="s">
        <v>55</v>
      </c>
      <c r="F434" t="s">
        <v>33</v>
      </c>
      <c r="G434">
        <v>5</v>
      </c>
      <c r="H434">
        <v>-1000</v>
      </c>
      <c r="I434" t="s">
        <v>212</v>
      </c>
      <c r="J434" t="s">
        <v>15</v>
      </c>
    </row>
    <row r="435" spans="1:10" x14ac:dyDescent="0.3">
      <c r="A435">
        <v>1434</v>
      </c>
      <c r="B435" t="s">
        <v>35</v>
      </c>
      <c r="C435">
        <v>20</v>
      </c>
      <c r="D435" t="s">
        <v>26</v>
      </c>
      <c r="E435" t="s">
        <v>23</v>
      </c>
      <c r="F435" t="s">
        <v>33</v>
      </c>
      <c r="G435">
        <v>0</v>
      </c>
      <c r="H435">
        <v>0</v>
      </c>
      <c r="I435" t="s">
        <v>101</v>
      </c>
      <c r="J435" t="s">
        <v>43</v>
      </c>
    </row>
    <row r="436" spans="1:10" x14ac:dyDescent="0.3">
      <c r="A436">
        <v>1435</v>
      </c>
      <c r="B436" t="s">
        <v>69</v>
      </c>
      <c r="D436" t="s">
        <v>22</v>
      </c>
      <c r="E436" t="s">
        <v>23</v>
      </c>
      <c r="F436" t="s">
        <v>13</v>
      </c>
      <c r="G436">
        <v>5</v>
      </c>
      <c r="H436">
        <v>-1000</v>
      </c>
      <c r="I436" t="s">
        <v>214</v>
      </c>
      <c r="J436" t="s">
        <v>43</v>
      </c>
    </row>
    <row r="437" spans="1:10" x14ac:dyDescent="0.3">
      <c r="A437">
        <v>1436</v>
      </c>
      <c r="B437" t="s">
        <v>69</v>
      </c>
      <c r="C437">
        <v>23</v>
      </c>
      <c r="D437" t="s">
        <v>40</v>
      </c>
      <c r="E437" t="s">
        <v>12</v>
      </c>
      <c r="F437" t="s">
        <v>33</v>
      </c>
      <c r="G437">
        <v>5</v>
      </c>
      <c r="H437">
        <v>1250</v>
      </c>
      <c r="I437" t="s">
        <v>127</v>
      </c>
      <c r="J437" t="s">
        <v>29</v>
      </c>
    </row>
    <row r="438" spans="1:10" x14ac:dyDescent="0.3">
      <c r="A438">
        <v>1437</v>
      </c>
      <c r="B438" t="s">
        <v>46</v>
      </c>
      <c r="D438" t="s">
        <v>40</v>
      </c>
      <c r="E438" t="s">
        <v>41</v>
      </c>
      <c r="F438" t="s">
        <v>13</v>
      </c>
      <c r="G438">
        <v>3</v>
      </c>
      <c r="H438">
        <v>19011</v>
      </c>
      <c r="I438" t="s">
        <v>50</v>
      </c>
      <c r="J438" t="s">
        <v>45</v>
      </c>
    </row>
    <row r="439" spans="1:10" x14ac:dyDescent="0.3">
      <c r="A439">
        <v>1438</v>
      </c>
      <c r="B439" t="s">
        <v>10</v>
      </c>
      <c r="D439" t="s">
        <v>17</v>
      </c>
      <c r="E439" t="s">
        <v>23</v>
      </c>
      <c r="F439" t="s">
        <v>33</v>
      </c>
      <c r="G439">
        <v>0</v>
      </c>
      <c r="H439">
        <v>10141</v>
      </c>
      <c r="I439" t="s">
        <v>133</v>
      </c>
      <c r="J439" t="s">
        <v>45</v>
      </c>
    </row>
    <row r="440" spans="1:10" x14ac:dyDescent="0.3">
      <c r="A440">
        <v>1439</v>
      </c>
      <c r="B440" t="s">
        <v>46</v>
      </c>
      <c r="C440">
        <v>29</v>
      </c>
      <c r="D440" t="s">
        <v>17</v>
      </c>
      <c r="E440" t="s">
        <v>27</v>
      </c>
      <c r="F440" t="s">
        <v>30</v>
      </c>
      <c r="G440">
        <v>0</v>
      </c>
      <c r="H440">
        <v>0</v>
      </c>
      <c r="I440" t="s">
        <v>142</v>
      </c>
      <c r="J440" t="s">
        <v>43</v>
      </c>
    </row>
    <row r="441" spans="1:10" x14ac:dyDescent="0.3">
      <c r="A441">
        <v>1440</v>
      </c>
      <c r="B441" t="s">
        <v>73</v>
      </c>
      <c r="C441">
        <v>36</v>
      </c>
      <c r="D441" t="s">
        <v>17</v>
      </c>
      <c r="E441" t="s">
        <v>18</v>
      </c>
      <c r="F441" t="s">
        <v>13</v>
      </c>
      <c r="G441">
        <v>2</v>
      </c>
      <c r="H441">
        <v>9001</v>
      </c>
      <c r="I441" t="s">
        <v>197</v>
      </c>
      <c r="J441" t="s">
        <v>29</v>
      </c>
    </row>
    <row r="442" spans="1:10" x14ac:dyDescent="0.3">
      <c r="A442">
        <v>1441</v>
      </c>
      <c r="B442" t="s">
        <v>69</v>
      </c>
      <c r="D442" t="s">
        <v>40</v>
      </c>
      <c r="E442" t="s">
        <v>12</v>
      </c>
      <c r="F442" t="s">
        <v>33</v>
      </c>
      <c r="G442">
        <v>0</v>
      </c>
      <c r="H442">
        <v>45069</v>
      </c>
      <c r="I442" t="s">
        <v>166</v>
      </c>
      <c r="J442" t="s">
        <v>45</v>
      </c>
    </row>
    <row r="443" spans="1:10" x14ac:dyDescent="0.3">
      <c r="A443">
        <v>1442</v>
      </c>
      <c r="B443" t="s">
        <v>78</v>
      </c>
      <c r="C443">
        <v>48</v>
      </c>
      <c r="D443" t="s">
        <v>40</v>
      </c>
      <c r="E443" t="s">
        <v>23</v>
      </c>
      <c r="F443" t="s">
        <v>33</v>
      </c>
      <c r="G443">
        <v>2</v>
      </c>
      <c r="H443">
        <v>0</v>
      </c>
      <c r="I443" t="s">
        <v>164</v>
      </c>
      <c r="J443" t="s">
        <v>20</v>
      </c>
    </row>
    <row r="444" spans="1:10" x14ac:dyDescent="0.3">
      <c r="A444">
        <v>1443</v>
      </c>
      <c r="B444" t="s">
        <v>21</v>
      </c>
      <c r="D444" t="s">
        <v>17</v>
      </c>
      <c r="E444" t="s">
        <v>12</v>
      </c>
      <c r="F444" t="s">
        <v>33</v>
      </c>
      <c r="G444">
        <v>0</v>
      </c>
      <c r="H444">
        <v>28766</v>
      </c>
      <c r="I444" t="s">
        <v>193</v>
      </c>
      <c r="J444" t="s">
        <v>20</v>
      </c>
    </row>
    <row r="445" spans="1:10" x14ac:dyDescent="0.3">
      <c r="A445">
        <v>1444</v>
      </c>
      <c r="B445" t="s">
        <v>46</v>
      </c>
      <c r="D445" t="s">
        <v>40</v>
      </c>
      <c r="E445" t="s">
        <v>23</v>
      </c>
      <c r="F445" t="s">
        <v>36</v>
      </c>
      <c r="G445">
        <v>1</v>
      </c>
      <c r="H445">
        <v>-1000</v>
      </c>
      <c r="I445" t="s">
        <v>119</v>
      </c>
      <c r="J445" t="s">
        <v>20</v>
      </c>
    </row>
    <row r="446" spans="1:10" x14ac:dyDescent="0.3">
      <c r="A446">
        <v>1445</v>
      </c>
      <c r="B446" t="s">
        <v>62</v>
      </c>
      <c r="C446">
        <v>30</v>
      </c>
      <c r="D446" t="s">
        <v>26</v>
      </c>
      <c r="E446" t="s">
        <v>51</v>
      </c>
      <c r="F446" t="s">
        <v>30</v>
      </c>
      <c r="G446">
        <v>4</v>
      </c>
      <c r="H446">
        <v>0</v>
      </c>
      <c r="I446" t="s">
        <v>183</v>
      </c>
      <c r="J446" t="s">
        <v>29</v>
      </c>
    </row>
    <row r="447" spans="1:10" x14ac:dyDescent="0.3">
      <c r="A447">
        <v>1446</v>
      </c>
      <c r="B447" t="s">
        <v>32</v>
      </c>
      <c r="C447">
        <v>46</v>
      </c>
      <c r="D447" t="s">
        <v>11</v>
      </c>
      <c r="E447" t="s">
        <v>41</v>
      </c>
      <c r="F447" t="s">
        <v>36</v>
      </c>
      <c r="G447">
        <v>2</v>
      </c>
      <c r="H447">
        <v>0</v>
      </c>
      <c r="I447" t="s">
        <v>219</v>
      </c>
      <c r="J447" t="s">
        <v>15</v>
      </c>
    </row>
    <row r="448" spans="1:10" x14ac:dyDescent="0.3">
      <c r="A448">
        <v>1447</v>
      </c>
      <c r="B448" t="s">
        <v>21</v>
      </c>
      <c r="C448">
        <v>35</v>
      </c>
      <c r="D448" t="s">
        <v>40</v>
      </c>
      <c r="E448" t="s">
        <v>41</v>
      </c>
      <c r="F448" t="s">
        <v>33</v>
      </c>
      <c r="G448">
        <v>5</v>
      </c>
      <c r="H448">
        <v>-1000</v>
      </c>
      <c r="I448" t="s">
        <v>188</v>
      </c>
      <c r="J448" t="s">
        <v>43</v>
      </c>
    </row>
    <row r="449" spans="1:10" x14ac:dyDescent="0.3">
      <c r="A449">
        <v>1448</v>
      </c>
      <c r="B449" t="s">
        <v>21</v>
      </c>
      <c r="D449" t="s">
        <v>22</v>
      </c>
      <c r="E449" t="s">
        <v>55</v>
      </c>
      <c r="F449" t="s">
        <v>13</v>
      </c>
      <c r="G449">
        <v>2</v>
      </c>
      <c r="H449">
        <v>0</v>
      </c>
      <c r="I449" t="s">
        <v>139</v>
      </c>
      <c r="J449" t="s">
        <v>29</v>
      </c>
    </row>
    <row r="450" spans="1:10" x14ac:dyDescent="0.3">
      <c r="A450">
        <v>1449</v>
      </c>
      <c r="B450" t="s">
        <v>68</v>
      </c>
      <c r="D450" t="s">
        <v>22</v>
      </c>
      <c r="E450" t="s">
        <v>18</v>
      </c>
      <c r="F450" t="s">
        <v>33</v>
      </c>
      <c r="G450">
        <v>2</v>
      </c>
      <c r="H450">
        <v>0</v>
      </c>
      <c r="I450" t="s">
        <v>161</v>
      </c>
      <c r="J450" t="s">
        <v>20</v>
      </c>
    </row>
    <row r="451" spans="1:10" x14ac:dyDescent="0.3">
      <c r="A451">
        <v>1450</v>
      </c>
      <c r="B451" t="s">
        <v>78</v>
      </c>
      <c r="C451">
        <v>47</v>
      </c>
      <c r="D451" t="s">
        <v>17</v>
      </c>
      <c r="E451" t="s">
        <v>27</v>
      </c>
      <c r="F451" t="s">
        <v>33</v>
      </c>
      <c r="G451">
        <v>0</v>
      </c>
      <c r="H451">
        <v>32514</v>
      </c>
      <c r="I451" t="s">
        <v>131</v>
      </c>
      <c r="J451" t="s">
        <v>29</v>
      </c>
    </row>
    <row r="452" spans="1:10" x14ac:dyDescent="0.3">
      <c r="A452">
        <v>1451</v>
      </c>
      <c r="B452" t="s">
        <v>46</v>
      </c>
      <c r="D452" t="s">
        <v>26</v>
      </c>
      <c r="E452" t="s">
        <v>41</v>
      </c>
      <c r="F452" t="s">
        <v>13</v>
      </c>
      <c r="G452">
        <v>3</v>
      </c>
      <c r="H452">
        <v>-1000</v>
      </c>
      <c r="I452" t="s">
        <v>153</v>
      </c>
      <c r="J452" t="s">
        <v>43</v>
      </c>
    </row>
    <row r="453" spans="1:10" x14ac:dyDescent="0.3">
      <c r="A453">
        <v>1452</v>
      </c>
      <c r="B453" t="s">
        <v>16</v>
      </c>
      <c r="D453" t="s">
        <v>26</v>
      </c>
      <c r="E453" t="s">
        <v>12</v>
      </c>
      <c r="F453" t="s">
        <v>33</v>
      </c>
      <c r="G453">
        <v>0</v>
      </c>
      <c r="H453">
        <v>-1000</v>
      </c>
      <c r="I453" t="s">
        <v>220</v>
      </c>
      <c r="J453" t="s">
        <v>15</v>
      </c>
    </row>
    <row r="454" spans="1:10" x14ac:dyDescent="0.3">
      <c r="A454">
        <v>1453</v>
      </c>
      <c r="B454" t="s">
        <v>78</v>
      </c>
      <c r="D454" t="s">
        <v>26</v>
      </c>
      <c r="E454" t="s">
        <v>41</v>
      </c>
      <c r="F454" t="s">
        <v>30</v>
      </c>
      <c r="G454">
        <v>1</v>
      </c>
      <c r="H454">
        <v>0</v>
      </c>
      <c r="I454" t="s">
        <v>219</v>
      </c>
      <c r="J454" t="s">
        <v>43</v>
      </c>
    </row>
    <row r="455" spans="1:10" x14ac:dyDescent="0.3">
      <c r="A455">
        <v>1454</v>
      </c>
      <c r="B455" t="s">
        <v>54</v>
      </c>
      <c r="C455">
        <v>21</v>
      </c>
      <c r="D455" t="s">
        <v>26</v>
      </c>
      <c r="E455" t="s">
        <v>23</v>
      </c>
      <c r="F455" t="s">
        <v>13</v>
      </c>
      <c r="G455">
        <v>5</v>
      </c>
      <c r="H455">
        <v>43431</v>
      </c>
      <c r="I455" t="s">
        <v>70</v>
      </c>
      <c r="J455" t="s">
        <v>29</v>
      </c>
    </row>
    <row r="456" spans="1:10" x14ac:dyDescent="0.3">
      <c r="A456">
        <v>1455</v>
      </c>
      <c r="B456" t="s">
        <v>57</v>
      </c>
      <c r="D456" t="s">
        <v>11</v>
      </c>
      <c r="E456" t="s">
        <v>41</v>
      </c>
      <c r="F456" t="s">
        <v>36</v>
      </c>
      <c r="G456">
        <v>3</v>
      </c>
      <c r="H456">
        <v>16090</v>
      </c>
      <c r="I456" t="s">
        <v>187</v>
      </c>
      <c r="J456" t="s">
        <v>29</v>
      </c>
    </row>
    <row r="457" spans="1:10" x14ac:dyDescent="0.3">
      <c r="A457">
        <v>1456</v>
      </c>
      <c r="B457" t="s">
        <v>68</v>
      </c>
      <c r="D457" t="s">
        <v>22</v>
      </c>
      <c r="E457" t="s">
        <v>12</v>
      </c>
      <c r="F457" t="s">
        <v>33</v>
      </c>
      <c r="G457">
        <v>0</v>
      </c>
      <c r="H457">
        <v>15208</v>
      </c>
      <c r="I457" t="s">
        <v>137</v>
      </c>
      <c r="J457" t="s">
        <v>20</v>
      </c>
    </row>
    <row r="458" spans="1:10" x14ac:dyDescent="0.3">
      <c r="A458">
        <v>1457</v>
      </c>
      <c r="B458" t="s">
        <v>57</v>
      </c>
      <c r="D458" t="s">
        <v>22</v>
      </c>
      <c r="E458" t="s">
        <v>23</v>
      </c>
      <c r="F458" t="s">
        <v>30</v>
      </c>
      <c r="G458">
        <v>0</v>
      </c>
      <c r="H458">
        <v>-1000</v>
      </c>
      <c r="I458" t="s">
        <v>216</v>
      </c>
      <c r="J458" t="s">
        <v>45</v>
      </c>
    </row>
    <row r="459" spans="1:10" x14ac:dyDescent="0.3">
      <c r="A459">
        <v>1458</v>
      </c>
      <c r="B459" t="s">
        <v>21</v>
      </c>
      <c r="D459" t="s">
        <v>26</v>
      </c>
      <c r="E459" t="s">
        <v>18</v>
      </c>
      <c r="F459" t="s">
        <v>30</v>
      </c>
      <c r="G459">
        <v>4</v>
      </c>
      <c r="H459">
        <v>16811</v>
      </c>
      <c r="I459" t="s">
        <v>105</v>
      </c>
      <c r="J459" t="s">
        <v>29</v>
      </c>
    </row>
    <row r="460" spans="1:10" x14ac:dyDescent="0.3">
      <c r="A460">
        <v>1459</v>
      </c>
      <c r="B460" t="s">
        <v>69</v>
      </c>
      <c r="C460">
        <v>24</v>
      </c>
      <c r="D460" t="s">
        <v>11</v>
      </c>
      <c r="E460" t="s">
        <v>18</v>
      </c>
      <c r="F460" t="s">
        <v>30</v>
      </c>
      <c r="G460">
        <v>0</v>
      </c>
      <c r="H460">
        <v>40431</v>
      </c>
      <c r="I460" t="s">
        <v>49</v>
      </c>
      <c r="J460" t="s">
        <v>20</v>
      </c>
    </row>
    <row r="461" spans="1:10" x14ac:dyDescent="0.3">
      <c r="A461">
        <v>1460</v>
      </c>
      <c r="B461" t="s">
        <v>69</v>
      </c>
      <c r="D461" t="s">
        <v>26</v>
      </c>
      <c r="E461" t="s">
        <v>51</v>
      </c>
      <c r="F461" t="s">
        <v>13</v>
      </c>
      <c r="G461">
        <v>3</v>
      </c>
      <c r="H461">
        <v>0</v>
      </c>
      <c r="I461" t="s">
        <v>169</v>
      </c>
      <c r="J461" t="s">
        <v>45</v>
      </c>
    </row>
    <row r="462" spans="1:10" x14ac:dyDescent="0.3">
      <c r="A462">
        <v>1461</v>
      </c>
      <c r="B462" t="s">
        <v>59</v>
      </c>
      <c r="D462" t="s">
        <v>11</v>
      </c>
      <c r="E462" t="s">
        <v>23</v>
      </c>
      <c r="F462" t="s">
        <v>36</v>
      </c>
      <c r="G462">
        <v>0</v>
      </c>
      <c r="H462">
        <v>0</v>
      </c>
      <c r="I462" t="s">
        <v>184</v>
      </c>
      <c r="J462" t="s">
        <v>43</v>
      </c>
    </row>
    <row r="463" spans="1:10" x14ac:dyDescent="0.3">
      <c r="A463">
        <v>1462</v>
      </c>
      <c r="B463" t="s">
        <v>46</v>
      </c>
      <c r="D463" t="s">
        <v>26</v>
      </c>
      <c r="E463" t="s">
        <v>41</v>
      </c>
      <c r="F463" t="s">
        <v>36</v>
      </c>
      <c r="G463">
        <v>5</v>
      </c>
      <c r="H463">
        <v>-1000</v>
      </c>
      <c r="I463" t="s">
        <v>102</v>
      </c>
      <c r="J463" t="s">
        <v>43</v>
      </c>
    </row>
    <row r="464" spans="1:10" x14ac:dyDescent="0.3">
      <c r="A464">
        <v>1463</v>
      </c>
      <c r="B464" t="s">
        <v>57</v>
      </c>
      <c r="C464">
        <v>30</v>
      </c>
      <c r="D464" t="s">
        <v>40</v>
      </c>
      <c r="E464" t="s">
        <v>55</v>
      </c>
      <c r="F464" t="s">
        <v>30</v>
      </c>
      <c r="G464">
        <v>4</v>
      </c>
      <c r="H464">
        <v>0</v>
      </c>
      <c r="I464" t="s">
        <v>136</v>
      </c>
      <c r="J464" t="s">
        <v>20</v>
      </c>
    </row>
    <row r="465" spans="1:10" x14ac:dyDescent="0.3">
      <c r="A465">
        <v>1464</v>
      </c>
      <c r="B465" t="s">
        <v>73</v>
      </c>
      <c r="D465" t="s">
        <v>22</v>
      </c>
      <c r="E465" t="s">
        <v>12</v>
      </c>
      <c r="F465" t="s">
        <v>13</v>
      </c>
      <c r="G465">
        <v>0</v>
      </c>
      <c r="H465">
        <v>13055</v>
      </c>
      <c r="I465" t="s">
        <v>79</v>
      </c>
      <c r="J465" t="s">
        <v>45</v>
      </c>
    </row>
    <row r="466" spans="1:10" x14ac:dyDescent="0.3">
      <c r="A466">
        <v>1465</v>
      </c>
      <c r="B466" t="s">
        <v>46</v>
      </c>
      <c r="C466">
        <v>33</v>
      </c>
      <c r="D466" t="s">
        <v>40</v>
      </c>
      <c r="E466" t="s">
        <v>51</v>
      </c>
      <c r="F466" t="s">
        <v>30</v>
      </c>
      <c r="G466">
        <v>0</v>
      </c>
      <c r="H466">
        <v>-1000</v>
      </c>
      <c r="I466" t="s">
        <v>100</v>
      </c>
      <c r="J466" t="s">
        <v>20</v>
      </c>
    </row>
    <row r="467" spans="1:10" x14ac:dyDescent="0.3">
      <c r="A467">
        <v>1466</v>
      </c>
      <c r="B467" t="s">
        <v>38</v>
      </c>
      <c r="D467" t="s">
        <v>17</v>
      </c>
      <c r="E467" t="s">
        <v>27</v>
      </c>
      <c r="F467" t="s">
        <v>33</v>
      </c>
      <c r="G467">
        <v>0</v>
      </c>
      <c r="H467">
        <v>-1000</v>
      </c>
      <c r="I467" t="s">
        <v>136</v>
      </c>
      <c r="J467" t="s">
        <v>29</v>
      </c>
    </row>
    <row r="468" spans="1:10" x14ac:dyDescent="0.3">
      <c r="A468">
        <v>1467</v>
      </c>
      <c r="B468" t="s">
        <v>48</v>
      </c>
      <c r="D468" t="s">
        <v>17</v>
      </c>
      <c r="E468" t="s">
        <v>27</v>
      </c>
      <c r="F468" t="s">
        <v>33</v>
      </c>
      <c r="G468">
        <v>3</v>
      </c>
      <c r="H468">
        <v>992</v>
      </c>
      <c r="I468" t="s">
        <v>47</v>
      </c>
      <c r="J468" t="s">
        <v>20</v>
      </c>
    </row>
    <row r="469" spans="1:10" x14ac:dyDescent="0.3">
      <c r="A469">
        <v>1468</v>
      </c>
      <c r="B469" t="s">
        <v>25</v>
      </c>
      <c r="C469">
        <v>29</v>
      </c>
      <c r="D469" t="s">
        <v>22</v>
      </c>
      <c r="E469" t="s">
        <v>44</v>
      </c>
      <c r="F469" t="s">
        <v>30</v>
      </c>
      <c r="G469">
        <v>5</v>
      </c>
      <c r="H469">
        <v>0</v>
      </c>
      <c r="I469" t="s">
        <v>60</v>
      </c>
      <c r="J469" t="s">
        <v>43</v>
      </c>
    </row>
    <row r="470" spans="1:10" x14ac:dyDescent="0.3">
      <c r="A470">
        <v>1469</v>
      </c>
      <c r="B470" t="s">
        <v>10</v>
      </c>
      <c r="C470">
        <v>42</v>
      </c>
      <c r="D470" t="s">
        <v>11</v>
      </c>
      <c r="E470" t="s">
        <v>23</v>
      </c>
      <c r="F470" t="s">
        <v>30</v>
      </c>
      <c r="G470">
        <v>4</v>
      </c>
      <c r="H470">
        <v>-1000</v>
      </c>
      <c r="I470" t="s">
        <v>90</v>
      </c>
      <c r="J470" t="s">
        <v>29</v>
      </c>
    </row>
    <row r="471" spans="1:10" x14ac:dyDescent="0.3">
      <c r="A471">
        <v>1470</v>
      </c>
      <c r="B471" t="s">
        <v>62</v>
      </c>
      <c r="C471">
        <v>36</v>
      </c>
      <c r="D471" t="s">
        <v>11</v>
      </c>
      <c r="E471" t="s">
        <v>44</v>
      </c>
      <c r="F471" t="s">
        <v>13</v>
      </c>
      <c r="G471">
        <v>0</v>
      </c>
      <c r="H471">
        <v>0</v>
      </c>
      <c r="I471" t="s">
        <v>106</v>
      </c>
      <c r="J471" t="s">
        <v>45</v>
      </c>
    </row>
    <row r="472" spans="1:10" x14ac:dyDescent="0.3">
      <c r="A472">
        <v>1471</v>
      </c>
      <c r="B472" t="s">
        <v>68</v>
      </c>
      <c r="C472">
        <v>46</v>
      </c>
      <c r="D472" t="s">
        <v>11</v>
      </c>
      <c r="E472" t="s">
        <v>27</v>
      </c>
      <c r="F472" t="s">
        <v>13</v>
      </c>
      <c r="G472">
        <v>0</v>
      </c>
      <c r="H472">
        <v>0</v>
      </c>
      <c r="I472" t="s">
        <v>138</v>
      </c>
      <c r="J472" t="s">
        <v>15</v>
      </c>
    </row>
    <row r="473" spans="1:10" x14ac:dyDescent="0.3">
      <c r="A473">
        <v>1472</v>
      </c>
      <c r="B473" t="s">
        <v>48</v>
      </c>
      <c r="D473" t="s">
        <v>22</v>
      </c>
      <c r="E473" t="s">
        <v>55</v>
      </c>
      <c r="F473" t="s">
        <v>36</v>
      </c>
      <c r="G473">
        <v>5</v>
      </c>
      <c r="H473">
        <v>0</v>
      </c>
      <c r="I473" t="s">
        <v>215</v>
      </c>
      <c r="J473" t="s">
        <v>15</v>
      </c>
    </row>
    <row r="474" spans="1:10" x14ac:dyDescent="0.3">
      <c r="A474">
        <v>1473</v>
      </c>
      <c r="B474" t="s">
        <v>10</v>
      </c>
      <c r="C474">
        <v>33</v>
      </c>
      <c r="D474" t="s">
        <v>40</v>
      </c>
      <c r="E474" t="s">
        <v>18</v>
      </c>
      <c r="F474" t="s">
        <v>33</v>
      </c>
      <c r="G474">
        <v>4</v>
      </c>
      <c r="H474">
        <v>0</v>
      </c>
      <c r="I474" t="s">
        <v>203</v>
      </c>
      <c r="J474" t="s">
        <v>15</v>
      </c>
    </row>
    <row r="475" spans="1:10" x14ac:dyDescent="0.3">
      <c r="A475">
        <v>1474</v>
      </c>
      <c r="B475" t="s">
        <v>32</v>
      </c>
      <c r="C475">
        <v>24</v>
      </c>
      <c r="D475" t="s">
        <v>11</v>
      </c>
      <c r="E475" t="s">
        <v>18</v>
      </c>
      <c r="F475" t="s">
        <v>30</v>
      </c>
      <c r="G475">
        <v>2</v>
      </c>
      <c r="H475">
        <v>-1000</v>
      </c>
      <c r="I475" t="s">
        <v>206</v>
      </c>
      <c r="J475" t="s">
        <v>20</v>
      </c>
    </row>
    <row r="476" spans="1:10" x14ac:dyDescent="0.3">
      <c r="A476">
        <v>1475</v>
      </c>
      <c r="B476" t="s">
        <v>64</v>
      </c>
      <c r="C476">
        <v>38</v>
      </c>
      <c r="D476" t="s">
        <v>22</v>
      </c>
      <c r="E476" t="s">
        <v>23</v>
      </c>
      <c r="F476" t="s">
        <v>36</v>
      </c>
      <c r="G476">
        <v>0</v>
      </c>
      <c r="H476">
        <v>0</v>
      </c>
      <c r="I476" t="s">
        <v>194</v>
      </c>
      <c r="J476" t="s">
        <v>20</v>
      </c>
    </row>
    <row r="477" spans="1:10" x14ac:dyDescent="0.3">
      <c r="A477">
        <v>1476</v>
      </c>
      <c r="B477" t="s">
        <v>25</v>
      </c>
      <c r="C477">
        <v>30</v>
      </c>
      <c r="D477" t="s">
        <v>40</v>
      </c>
      <c r="E477" t="s">
        <v>44</v>
      </c>
      <c r="F477" t="s">
        <v>36</v>
      </c>
      <c r="G477">
        <v>3</v>
      </c>
      <c r="H477">
        <v>18229</v>
      </c>
      <c r="I477" t="s">
        <v>123</v>
      </c>
      <c r="J477" t="s">
        <v>20</v>
      </c>
    </row>
    <row r="478" spans="1:10" x14ac:dyDescent="0.3">
      <c r="A478">
        <v>1477</v>
      </c>
      <c r="B478" t="s">
        <v>25</v>
      </c>
      <c r="D478" t="s">
        <v>17</v>
      </c>
      <c r="E478" t="s">
        <v>23</v>
      </c>
      <c r="F478" t="s">
        <v>30</v>
      </c>
      <c r="G478">
        <v>5</v>
      </c>
      <c r="H478">
        <v>14195</v>
      </c>
      <c r="I478" t="s">
        <v>113</v>
      </c>
      <c r="J478" t="s">
        <v>43</v>
      </c>
    </row>
    <row r="479" spans="1:10" x14ac:dyDescent="0.3">
      <c r="A479">
        <v>1478</v>
      </c>
      <c r="B479" t="s">
        <v>46</v>
      </c>
      <c r="D479" t="s">
        <v>40</v>
      </c>
      <c r="E479" t="s">
        <v>41</v>
      </c>
      <c r="F479" t="s">
        <v>13</v>
      </c>
      <c r="G479">
        <v>2</v>
      </c>
      <c r="H479">
        <v>8613</v>
      </c>
      <c r="I479" t="s">
        <v>221</v>
      </c>
      <c r="J479" t="s">
        <v>20</v>
      </c>
    </row>
    <row r="480" spans="1:10" x14ac:dyDescent="0.3">
      <c r="A480">
        <v>1479</v>
      </c>
      <c r="B480" t="s">
        <v>69</v>
      </c>
      <c r="D480" t="s">
        <v>40</v>
      </c>
      <c r="E480" t="s">
        <v>41</v>
      </c>
      <c r="F480" t="s">
        <v>36</v>
      </c>
      <c r="G480">
        <v>2</v>
      </c>
      <c r="H480">
        <v>-1000</v>
      </c>
      <c r="I480" t="s">
        <v>63</v>
      </c>
      <c r="J480" t="s">
        <v>29</v>
      </c>
    </row>
    <row r="481" spans="1:10" x14ac:dyDescent="0.3">
      <c r="A481">
        <v>1480</v>
      </c>
      <c r="B481" t="s">
        <v>32</v>
      </c>
      <c r="C481">
        <v>18</v>
      </c>
      <c r="D481" t="s">
        <v>26</v>
      </c>
      <c r="E481" t="s">
        <v>41</v>
      </c>
      <c r="F481" t="s">
        <v>30</v>
      </c>
      <c r="G481">
        <v>0</v>
      </c>
      <c r="H481">
        <v>15300</v>
      </c>
      <c r="I481" t="s">
        <v>177</v>
      </c>
      <c r="J481" t="s">
        <v>45</v>
      </c>
    </row>
    <row r="482" spans="1:10" x14ac:dyDescent="0.3">
      <c r="A482">
        <v>1481</v>
      </c>
      <c r="B482" t="s">
        <v>10</v>
      </c>
      <c r="D482" t="s">
        <v>22</v>
      </c>
      <c r="E482" t="s">
        <v>23</v>
      </c>
      <c r="F482" t="s">
        <v>33</v>
      </c>
      <c r="G482">
        <v>1</v>
      </c>
      <c r="H482">
        <v>-1000</v>
      </c>
      <c r="I482" t="s">
        <v>137</v>
      </c>
      <c r="J482" t="s">
        <v>43</v>
      </c>
    </row>
    <row r="483" spans="1:10" x14ac:dyDescent="0.3">
      <c r="A483">
        <v>1482</v>
      </c>
      <c r="B483" t="s">
        <v>48</v>
      </c>
      <c r="D483" t="s">
        <v>40</v>
      </c>
      <c r="E483" t="s">
        <v>44</v>
      </c>
      <c r="F483" t="s">
        <v>13</v>
      </c>
      <c r="G483">
        <v>0</v>
      </c>
      <c r="H483">
        <v>0</v>
      </c>
      <c r="I483" t="s">
        <v>128</v>
      </c>
      <c r="J483" t="s">
        <v>29</v>
      </c>
    </row>
    <row r="484" spans="1:10" x14ac:dyDescent="0.3">
      <c r="A484">
        <v>1483</v>
      </c>
      <c r="B484" t="s">
        <v>62</v>
      </c>
      <c r="D484" t="s">
        <v>22</v>
      </c>
      <c r="E484" t="s">
        <v>23</v>
      </c>
      <c r="F484" t="s">
        <v>30</v>
      </c>
      <c r="G484">
        <v>2</v>
      </c>
      <c r="H484">
        <v>35277</v>
      </c>
      <c r="I484" t="s">
        <v>85</v>
      </c>
      <c r="J484" t="s">
        <v>20</v>
      </c>
    </row>
    <row r="485" spans="1:10" x14ac:dyDescent="0.3">
      <c r="A485">
        <v>1484</v>
      </c>
      <c r="B485" t="s">
        <v>46</v>
      </c>
      <c r="D485" t="s">
        <v>22</v>
      </c>
      <c r="E485" t="s">
        <v>18</v>
      </c>
      <c r="F485" t="s">
        <v>36</v>
      </c>
      <c r="G485">
        <v>0</v>
      </c>
      <c r="H485">
        <v>40051</v>
      </c>
      <c r="I485" t="s">
        <v>222</v>
      </c>
      <c r="J485" t="s">
        <v>29</v>
      </c>
    </row>
    <row r="486" spans="1:10" x14ac:dyDescent="0.3">
      <c r="A486">
        <v>1485</v>
      </c>
      <c r="B486" t="s">
        <v>64</v>
      </c>
      <c r="C486">
        <v>32</v>
      </c>
      <c r="D486" t="s">
        <v>26</v>
      </c>
      <c r="E486" t="s">
        <v>55</v>
      </c>
      <c r="F486" t="s">
        <v>36</v>
      </c>
      <c r="G486">
        <v>4</v>
      </c>
      <c r="H486">
        <v>0</v>
      </c>
      <c r="I486" t="s">
        <v>86</v>
      </c>
      <c r="J486" t="s">
        <v>43</v>
      </c>
    </row>
    <row r="487" spans="1:10" x14ac:dyDescent="0.3">
      <c r="A487">
        <v>1486</v>
      </c>
      <c r="B487" t="s">
        <v>57</v>
      </c>
      <c r="D487" t="s">
        <v>40</v>
      </c>
      <c r="E487" t="s">
        <v>12</v>
      </c>
      <c r="F487" t="s">
        <v>30</v>
      </c>
      <c r="G487">
        <v>2</v>
      </c>
      <c r="H487">
        <v>-1000</v>
      </c>
      <c r="I487" t="s">
        <v>195</v>
      </c>
      <c r="J487" t="s">
        <v>20</v>
      </c>
    </row>
    <row r="488" spans="1:10" x14ac:dyDescent="0.3">
      <c r="A488">
        <v>1487</v>
      </c>
      <c r="B488" t="s">
        <v>21</v>
      </c>
      <c r="D488" t="s">
        <v>17</v>
      </c>
      <c r="E488" t="s">
        <v>27</v>
      </c>
      <c r="F488" t="s">
        <v>30</v>
      </c>
      <c r="G488">
        <v>0</v>
      </c>
      <c r="H488">
        <v>0</v>
      </c>
      <c r="I488" t="s">
        <v>110</v>
      </c>
      <c r="J488" t="s">
        <v>20</v>
      </c>
    </row>
    <row r="489" spans="1:10" x14ac:dyDescent="0.3">
      <c r="A489">
        <v>1488</v>
      </c>
      <c r="B489" t="s">
        <v>64</v>
      </c>
      <c r="C489">
        <v>44</v>
      </c>
      <c r="D489" t="s">
        <v>26</v>
      </c>
      <c r="E489" t="s">
        <v>18</v>
      </c>
      <c r="F489" t="s">
        <v>13</v>
      </c>
      <c r="G489">
        <v>0</v>
      </c>
      <c r="H489">
        <v>0</v>
      </c>
      <c r="I489" t="s">
        <v>112</v>
      </c>
      <c r="J489" t="s">
        <v>29</v>
      </c>
    </row>
    <row r="490" spans="1:10" x14ac:dyDescent="0.3">
      <c r="A490">
        <v>1489</v>
      </c>
      <c r="B490" t="s">
        <v>46</v>
      </c>
      <c r="C490">
        <v>30</v>
      </c>
      <c r="D490" t="s">
        <v>11</v>
      </c>
      <c r="E490" t="s">
        <v>18</v>
      </c>
      <c r="F490" t="s">
        <v>36</v>
      </c>
      <c r="G490">
        <v>0</v>
      </c>
      <c r="H490">
        <v>24003</v>
      </c>
      <c r="I490" t="s">
        <v>109</v>
      </c>
      <c r="J490" t="s">
        <v>20</v>
      </c>
    </row>
    <row r="491" spans="1:10" x14ac:dyDescent="0.3">
      <c r="A491">
        <v>1490</v>
      </c>
      <c r="B491" t="s">
        <v>64</v>
      </c>
      <c r="C491">
        <v>46</v>
      </c>
      <c r="D491" t="s">
        <v>40</v>
      </c>
      <c r="E491" t="s">
        <v>41</v>
      </c>
      <c r="F491" t="s">
        <v>33</v>
      </c>
      <c r="G491">
        <v>3</v>
      </c>
      <c r="H491">
        <v>-1000</v>
      </c>
      <c r="I491" t="s">
        <v>167</v>
      </c>
      <c r="J491" t="s">
        <v>29</v>
      </c>
    </row>
    <row r="492" spans="1:10" x14ac:dyDescent="0.3">
      <c r="A492">
        <v>1491</v>
      </c>
      <c r="B492" t="s">
        <v>69</v>
      </c>
      <c r="C492">
        <v>24</v>
      </c>
      <c r="D492" t="s">
        <v>22</v>
      </c>
      <c r="E492" t="s">
        <v>55</v>
      </c>
      <c r="F492" t="s">
        <v>13</v>
      </c>
      <c r="G492">
        <v>5</v>
      </c>
      <c r="H492">
        <v>-1000</v>
      </c>
      <c r="I492" t="s">
        <v>60</v>
      </c>
      <c r="J492" t="s">
        <v>45</v>
      </c>
    </row>
    <row r="493" spans="1:10" x14ac:dyDescent="0.3">
      <c r="A493">
        <v>1492</v>
      </c>
      <c r="B493" t="s">
        <v>32</v>
      </c>
      <c r="C493">
        <v>42</v>
      </c>
      <c r="D493" t="s">
        <v>17</v>
      </c>
      <c r="E493" t="s">
        <v>23</v>
      </c>
      <c r="F493" t="s">
        <v>30</v>
      </c>
      <c r="G493">
        <v>3</v>
      </c>
      <c r="H493">
        <v>35997</v>
      </c>
      <c r="I493" t="s">
        <v>208</v>
      </c>
      <c r="J493" t="s">
        <v>20</v>
      </c>
    </row>
    <row r="494" spans="1:10" x14ac:dyDescent="0.3">
      <c r="A494">
        <v>1493</v>
      </c>
      <c r="B494" t="s">
        <v>54</v>
      </c>
      <c r="D494" t="s">
        <v>40</v>
      </c>
      <c r="E494" t="s">
        <v>41</v>
      </c>
      <c r="F494" t="s">
        <v>33</v>
      </c>
      <c r="G494">
        <v>2</v>
      </c>
      <c r="H494">
        <v>26007</v>
      </c>
      <c r="I494" t="s">
        <v>67</v>
      </c>
      <c r="J494" t="s">
        <v>43</v>
      </c>
    </row>
    <row r="495" spans="1:10" x14ac:dyDescent="0.3">
      <c r="A495">
        <v>1494</v>
      </c>
      <c r="B495" t="s">
        <v>32</v>
      </c>
      <c r="C495">
        <v>41</v>
      </c>
      <c r="D495" t="s">
        <v>17</v>
      </c>
      <c r="E495" t="s">
        <v>51</v>
      </c>
      <c r="F495" t="s">
        <v>30</v>
      </c>
      <c r="G495">
        <v>0</v>
      </c>
      <c r="H495">
        <v>-1000</v>
      </c>
      <c r="I495" t="s">
        <v>223</v>
      </c>
      <c r="J495" t="s">
        <v>43</v>
      </c>
    </row>
    <row r="496" spans="1:10" x14ac:dyDescent="0.3">
      <c r="A496">
        <v>1495</v>
      </c>
      <c r="B496" t="s">
        <v>64</v>
      </c>
      <c r="C496">
        <v>39</v>
      </c>
      <c r="D496" t="s">
        <v>26</v>
      </c>
      <c r="E496" t="s">
        <v>41</v>
      </c>
      <c r="F496" t="s">
        <v>33</v>
      </c>
      <c r="G496">
        <v>2</v>
      </c>
      <c r="H496">
        <v>17530</v>
      </c>
      <c r="I496" t="s">
        <v>148</v>
      </c>
      <c r="J496" t="s">
        <v>15</v>
      </c>
    </row>
    <row r="497" spans="1:10" x14ac:dyDescent="0.3">
      <c r="A497">
        <v>1496</v>
      </c>
      <c r="B497" t="s">
        <v>54</v>
      </c>
      <c r="D497" t="s">
        <v>40</v>
      </c>
      <c r="E497" t="s">
        <v>55</v>
      </c>
      <c r="F497" t="s">
        <v>30</v>
      </c>
      <c r="G497">
        <v>0</v>
      </c>
      <c r="H497">
        <v>-1000</v>
      </c>
      <c r="I497" t="s">
        <v>181</v>
      </c>
      <c r="J497" t="s">
        <v>45</v>
      </c>
    </row>
    <row r="498" spans="1:10" x14ac:dyDescent="0.3">
      <c r="A498">
        <v>1497</v>
      </c>
      <c r="B498" t="s">
        <v>57</v>
      </c>
      <c r="D498" t="s">
        <v>11</v>
      </c>
      <c r="E498" t="s">
        <v>44</v>
      </c>
      <c r="F498" t="s">
        <v>13</v>
      </c>
      <c r="G498">
        <v>3</v>
      </c>
      <c r="H498">
        <v>42327</v>
      </c>
      <c r="I498" t="s">
        <v>88</v>
      </c>
      <c r="J498" t="s">
        <v>20</v>
      </c>
    </row>
    <row r="499" spans="1:10" x14ac:dyDescent="0.3">
      <c r="A499">
        <v>1498</v>
      </c>
      <c r="B499" t="s">
        <v>68</v>
      </c>
      <c r="D499" t="s">
        <v>40</v>
      </c>
      <c r="E499" t="s">
        <v>18</v>
      </c>
      <c r="F499" t="s">
        <v>30</v>
      </c>
      <c r="G499">
        <v>0</v>
      </c>
      <c r="H499">
        <v>0</v>
      </c>
      <c r="I499" t="s">
        <v>141</v>
      </c>
      <c r="J499" t="s">
        <v>43</v>
      </c>
    </row>
    <row r="500" spans="1:10" x14ac:dyDescent="0.3">
      <c r="A500">
        <v>1499</v>
      </c>
      <c r="B500" t="s">
        <v>78</v>
      </c>
      <c r="D500" t="s">
        <v>11</v>
      </c>
      <c r="E500" t="s">
        <v>44</v>
      </c>
      <c r="F500" t="s">
        <v>36</v>
      </c>
      <c r="G500">
        <v>0</v>
      </c>
      <c r="H500">
        <v>0</v>
      </c>
      <c r="I500" t="s">
        <v>61</v>
      </c>
      <c r="J500" t="s">
        <v>45</v>
      </c>
    </row>
    <row r="501" spans="1:10" x14ac:dyDescent="0.3">
      <c r="A501">
        <v>1500</v>
      </c>
      <c r="B501" t="s">
        <v>69</v>
      </c>
      <c r="D501" t="s">
        <v>17</v>
      </c>
      <c r="E501" t="s">
        <v>23</v>
      </c>
      <c r="F501" t="s">
        <v>13</v>
      </c>
      <c r="G501">
        <v>2</v>
      </c>
      <c r="H501">
        <v>-1000</v>
      </c>
      <c r="I501" t="s">
        <v>128</v>
      </c>
      <c r="J501" t="s">
        <v>15</v>
      </c>
    </row>
    <row r="502" spans="1:10" x14ac:dyDescent="0.3">
      <c r="A502">
        <v>1501</v>
      </c>
      <c r="B502" t="s">
        <v>35</v>
      </c>
      <c r="C502">
        <v>49</v>
      </c>
      <c r="D502" t="s">
        <v>26</v>
      </c>
      <c r="E502" t="s">
        <v>41</v>
      </c>
      <c r="F502" t="s">
        <v>30</v>
      </c>
      <c r="G502">
        <v>0</v>
      </c>
      <c r="H502">
        <v>-1000</v>
      </c>
      <c r="I502" t="s">
        <v>196</v>
      </c>
      <c r="J502" t="s">
        <v>20</v>
      </c>
    </row>
    <row r="503" spans="1:10" x14ac:dyDescent="0.3">
      <c r="A503">
        <v>1502</v>
      </c>
      <c r="B503" t="s">
        <v>16</v>
      </c>
      <c r="C503">
        <v>18</v>
      </c>
      <c r="D503" t="s">
        <v>11</v>
      </c>
      <c r="E503" t="s">
        <v>23</v>
      </c>
      <c r="F503" t="s">
        <v>33</v>
      </c>
      <c r="G503">
        <v>5</v>
      </c>
      <c r="H503">
        <v>-1000</v>
      </c>
      <c r="I503" t="s">
        <v>177</v>
      </c>
      <c r="J503" t="s">
        <v>45</v>
      </c>
    </row>
    <row r="504" spans="1:10" x14ac:dyDescent="0.3">
      <c r="A504">
        <v>1503</v>
      </c>
      <c r="B504" t="s">
        <v>21</v>
      </c>
      <c r="D504" t="s">
        <v>26</v>
      </c>
      <c r="E504" t="s">
        <v>44</v>
      </c>
      <c r="F504" t="s">
        <v>36</v>
      </c>
      <c r="G504">
        <v>2</v>
      </c>
      <c r="H504">
        <v>11676</v>
      </c>
      <c r="I504" t="s">
        <v>61</v>
      </c>
      <c r="J504" t="s">
        <v>43</v>
      </c>
    </row>
    <row r="505" spans="1:10" x14ac:dyDescent="0.3">
      <c r="A505">
        <v>1504</v>
      </c>
      <c r="B505" t="s">
        <v>62</v>
      </c>
      <c r="D505" t="s">
        <v>22</v>
      </c>
      <c r="E505" t="s">
        <v>18</v>
      </c>
      <c r="F505" t="s">
        <v>36</v>
      </c>
      <c r="G505">
        <v>1</v>
      </c>
      <c r="H505">
        <v>32589</v>
      </c>
      <c r="I505" t="s">
        <v>224</v>
      </c>
      <c r="J505" t="s">
        <v>20</v>
      </c>
    </row>
    <row r="506" spans="1:10" x14ac:dyDescent="0.3">
      <c r="A506">
        <v>1505</v>
      </c>
      <c r="B506" t="s">
        <v>69</v>
      </c>
      <c r="C506">
        <v>41</v>
      </c>
      <c r="D506" t="s">
        <v>26</v>
      </c>
      <c r="E506" t="s">
        <v>23</v>
      </c>
      <c r="F506" t="s">
        <v>13</v>
      </c>
      <c r="G506">
        <v>0</v>
      </c>
      <c r="H506">
        <v>40919</v>
      </c>
      <c r="I506" t="s">
        <v>114</v>
      </c>
      <c r="J506" t="s">
        <v>43</v>
      </c>
    </row>
    <row r="507" spans="1:10" x14ac:dyDescent="0.3">
      <c r="A507">
        <v>1506</v>
      </c>
      <c r="B507" t="s">
        <v>54</v>
      </c>
      <c r="D507" t="s">
        <v>40</v>
      </c>
      <c r="E507" t="s">
        <v>23</v>
      </c>
      <c r="F507" t="s">
        <v>36</v>
      </c>
      <c r="G507">
        <v>3</v>
      </c>
      <c r="H507">
        <v>-1000</v>
      </c>
      <c r="I507" t="s">
        <v>137</v>
      </c>
      <c r="J507" t="s">
        <v>29</v>
      </c>
    </row>
    <row r="508" spans="1:10" x14ac:dyDescent="0.3">
      <c r="A508">
        <v>1507</v>
      </c>
      <c r="B508" t="s">
        <v>62</v>
      </c>
      <c r="C508">
        <v>37</v>
      </c>
      <c r="D508" t="s">
        <v>17</v>
      </c>
      <c r="E508" t="s">
        <v>23</v>
      </c>
      <c r="F508" t="s">
        <v>30</v>
      </c>
      <c r="G508">
        <v>0</v>
      </c>
      <c r="H508">
        <v>0</v>
      </c>
      <c r="I508" t="s">
        <v>124</v>
      </c>
      <c r="J508" t="s">
        <v>20</v>
      </c>
    </row>
    <row r="509" spans="1:10" x14ac:dyDescent="0.3">
      <c r="A509">
        <v>1508</v>
      </c>
      <c r="B509" t="s">
        <v>25</v>
      </c>
      <c r="D509" t="s">
        <v>26</v>
      </c>
      <c r="E509" t="s">
        <v>23</v>
      </c>
      <c r="F509" t="s">
        <v>13</v>
      </c>
      <c r="G509">
        <v>2</v>
      </c>
      <c r="H509">
        <v>29088</v>
      </c>
      <c r="I509" t="s">
        <v>219</v>
      </c>
      <c r="J509" t="s">
        <v>43</v>
      </c>
    </row>
    <row r="510" spans="1:10" x14ac:dyDescent="0.3">
      <c r="A510">
        <v>1509</v>
      </c>
      <c r="B510" t="s">
        <v>69</v>
      </c>
      <c r="D510" t="s">
        <v>22</v>
      </c>
      <c r="E510" t="s">
        <v>55</v>
      </c>
      <c r="F510" t="s">
        <v>30</v>
      </c>
      <c r="G510">
        <v>4</v>
      </c>
      <c r="H510">
        <v>18337</v>
      </c>
      <c r="I510" t="s">
        <v>185</v>
      </c>
      <c r="J510" t="s">
        <v>29</v>
      </c>
    </row>
    <row r="511" spans="1:10" x14ac:dyDescent="0.3">
      <c r="A511">
        <v>1510</v>
      </c>
      <c r="B511" t="s">
        <v>32</v>
      </c>
      <c r="C511">
        <v>42</v>
      </c>
      <c r="D511" t="s">
        <v>26</v>
      </c>
      <c r="E511" t="s">
        <v>23</v>
      </c>
      <c r="F511" t="s">
        <v>30</v>
      </c>
      <c r="G511">
        <v>3</v>
      </c>
      <c r="H511">
        <v>0</v>
      </c>
      <c r="I511" t="s">
        <v>169</v>
      </c>
      <c r="J511" t="s">
        <v>20</v>
      </c>
    </row>
    <row r="512" spans="1:10" x14ac:dyDescent="0.3">
      <c r="A512">
        <v>1511</v>
      </c>
      <c r="B512" t="s">
        <v>25</v>
      </c>
      <c r="D512" t="s">
        <v>40</v>
      </c>
      <c r="E512" t="s">
        <v>44</v>
      </c>
      <c r="F512" t="s">
        <v>13</v>
      </c>
      <c r="G512">
        <v>0</v>
      </c>
      <c r="H512">
        <v>21018</v>
      </c>
      <c r="I512" t="s">
        <v>98</v>
      </c>
      <c r="J512" t="s">
        <v>45</v>
      </c>
    </row>
    <row r="513" spans="1:10" x14ac:dyDescent="0.3">
      <c r="A513">
        <v>1512</v>
      </c>
      <c r="B513" t="s">
        <v>57</v>
      </c>
      <c r="D513" t="s">
        <v>17</v>
      </c>
      <c r="E513" t="s">
        <v>18</v>
      </c>
      <c r="F513" t="s">
        <v>13</v>
      </c>
      <c r="G513">
        <v>2</v>
      </c>
      <c r="H513">
        <v>0</v>
      </c>
      <c r="I513" t="s">
        <v>72</v>
      </c>
      <c r="J513" t="s">
        <v>29</v>
      </c>
    </row>
    <row r="514" spans="1:10" x14ac:dyDescent="0.3">
      <c r="A514">
        <v>1513</v>
      </c>
      <c r="B514" t="s">
        <v>38</v>
      </c>
      <c r="C514">
        <v>34</v>
      </c>
      <c r="D514" t="s">
        <v>11</v>
      </c>
      <c r="E514" t="s">
        <v>44</v>
      </c>
      <c r="F514" t="s">
        <v>30</v>
      </c>
      <c r="G514">
        <v>3</v>
      </c>
      <c r="H514">
        <v>-1000</v>
      </c>
      <c r="I514" t="s">
        <v>138</v>
      </c>
      <c r="J514" t="s">
        <v>20</v>
      </c>
    </row>
    <row r="515" spans="1:10" x14ac:dyDescent="0.3">
      <c r="A515">
        <v>1514</v>
      </c>
      <c r="B515" t="s">
        <v>32</v>
      </c>
      <c r="C515">
        <v>24</v>
      </c>
      <c r="D515" t="s">
        <v>22</v>
      </c>
      <c r="E515" t="s">
        <v>18</v>
      </c>
      <c r="F515" t="s">
        <v>13</v>
      </c>
      <c r="G515">
        <v>5</v>
      </c>
      <c r="H515">
        <v>0</v>
      </c>
      <c r="I515" t="s">
        <v>213</v>
      </c>
      <c r="J515" t="s">
        <v>20</v>
      </c>
    </row>
    <row r="516" spans="1:10" x14ac:dyDescent="0.3">
      <c r="A516">
        <v>1515</v>
      </c>
      <c r="B516" t="s">
        <v>57</v>
      </c>
      <c r="D516" t="s">
        <v>40</v>
      </c>
      <c r="E516" t="s">
        <v>51</v>
      </c>
      <c r="F516" t="s">
        <v>30</v>
      </c>
      <c r="G516">
        <v>4</v>
      </c>
      <c r="H516">
        <v>47884</v>
      </c>
      <c r="I516" t="s">
        <v>121</v>
      </c>
      <c r="J516" t="s">
        <v>43</v>
      </c>
    </row>
    <row r="517" spans="1:10" x14ac:dyDescent="0.3">
      <c r="A517">
        <v>1516</v>
      </c>
      <c r="B517" t="s">
        <v>59</v>
      </c>
      <c r="D517" t="s">
        <v>22</v>
      </c>
      <c r="E517" t="s">
        <v>55</v>
      </c>
      <c r="F517" t="s">
        <v>13</v>
      </c>
      <c r="G517">
        <v>0</v>
      </c>
      <c r="H517">
        <v>31804</v>
      </c>
      <c r="I517" t="s">
        <v>181</v>
      </c>
      <c r="J517" t="s">
        <v>15</v>
      </c>
    </row>
    <row r="518" spans="1:10" x14ac:dyDescent="0.3">
      <c r="A518">
        <v>1517</v>
      </c>
      <c r="B518" t="s">
        <v>78</v>
      </c>
      <c r="C518">
        <v>35</v>
      </c>
      <c r="D518" t="s">
        <v>22</v>
      </c>
      <c r="E518" t="s">
        <v>12</v>
      </c>
      <c r="F518" t="s">
        <v>33</v>
      </c>
      <c r="G518">
        <v>1</v>
      </c>
      <c r="H518">
        <v>-1000</v>
      </c>
      <c r="I518" t="s">
        <v>157</v>
      </c>
      <c r="J518" t="s">
        <v>45</v>
      </c>
    </row>
    <row r="519" spans="1:10" x14ac:dyDescent="0.3">
      <c r="A519">
        <v>1518</v>
      </c>
      <c r="B519" t="s">
        <v>32</v>
      </c>
      <c r="D519" t="s">
        <v>40</v>
      </c>
      <c r="E519" t="s">
        <v>44</v>
      </c>
      <c r="F519" t="s">
        <v>30</v>
      </c>
      <c r="G519">
        <v>4</v>
      </c>
      <c r="H519">
        <v>0</v>
      </c>
      <c r="I519" t="s">
        <v>206</v>
      </c>
      <c r="J519" t="s">
        <v>20</v>
      </c>
    </row>
    <row r="520" spans="1:10" x14ac:dyDescent="0.3">
      <c r="A520">
        <v>1519</v>
      </c>
      <c r="B520" t="s">
        <v>69</v>
      </c>
      <c r="D520" t="s">
        <v>40</v>
      </c>
      <c r="E520" t="s">
        <v>18</v>
      </c>
      <c r="F520" t="s">
        <v>30</v>
      </c>
      <c r="G520">
        <v>3</v>
      </c>
      <c r="H520">
        <v>-1000</v>
      </c>
      <c r="I520" t="s">
        <v>130</v>
      </c>
      <c r="J520" t="s">
        <v>15</v>
      </c>
    </row>
    <row r="521" spans="1:10" x14ac:dyDescent="0.3">
      <c r="A521">
        <v>1520</v>
      </c>
      <c r="B521" t="s">
        <v>32</v>
      </c>
      <c r="C521">
        <v>34</v>
      </c>
      <c r="D521" t="s">
        <v>40</v>
      </c>
      <c r="E521" t="s">
        <v>55</v>
      </c>
      <c r="F521" t="s">
        <v>13</v>
      </c>
      <c r="G521">
        <v>0</v>
      </c>
      <c r="H521">
        <v>0</v>
      </c>
      <c r="I521" t="s">
        <v>138</v>
      </c>
      <c r="J521" t="s">
        <v>45</v>
      </c>
    </row>
    <row r="522" spans="1:10" x14ac:dyDescent="0.3">
      <c r="A522">
        <v>1521</v>
      </c>
      <c r="B522" t="s">
        <v>10</v>
      </c>
      <c r="C522">
        <v>29</v>
      </c>
      <c r="D522" t="s">
        <v>26</v>
      </c>
      <c r="E522" t="s">
        <v>55</v>
      </c>
      <c r="F522" t="s">
        <v>36</v>
      </c>
      <c r="G522">
        <v>0</v>
      </c>
      <c r="H522">
        <v>29914</v>
      </c>
      <c r="I522" t="s">
        <v>91</v>
      </c>
      <c r="J522" t="s">
        <v>29</v>
      </c>
    </row>
    <row r="523" spans="1:10" x14ac:dyDescent="0.3">
      <c r="A523">
        <v>1522</v>
      </c>
      <c r="B523" t="s">
        <v>21</v>
      </c>
      <c r="C523">
        <v>44</v>
      </c>
      <c r="D523" t="s">
        <v>11</v>
      </c>
      <c r="E523" t="s">
        <v>51</v>
      </c>
      <c r="F523" t="s">
        <v>13</v>
      </c>
      <c r="G523">
        <v>1</v>
      </c>
      <c r="H523">
        <v>0</v>
      </c>
      <c r="I523" t="s">
        <v>202</v>
      </c>
      <c r="J523" t="s">
        <v>45</v>
      </c>
    </row>
    <row r="524" spans="1:10" x14ac:dyDescent="0.3">
      <c r="A524">
        <v>1523</v>
      </c>
      <c r="B524" t="s">
        <v>59</v>
      </c>
      <c r="D524" t="s">
        <v>26</v>
      </c>
      <c r="E524" t="s">
        <v>27</v>
      </c>
      <c r="F524" t="s">
        <v>13</v>
      </c>
      <c r="G524">
        <v>2</v>
      </c>
      <c r="H524">
        <v>29869</v>
      </c>
      <c r="I524" t="s">
        <v>165</v>
      </c>
      <c r="J524" t="s">
        <v>45</v>
      </c>
    </row>
    <row r="525" spans="1:10" x14ac:dyDescent="0.3">
      <c r="A525">
        <v>1524</v>
      </c>
      <c r="B525" t="s">
        <v>21</v>
      </c>
      <c r="D525" t="s">
        <v>40</v>
      </c>
      <c r="E525" t="s">
        <v>41</v>
      </c>
      <c r="F525" t="s">
        <v>13</v>
      </c>
      <c r="G525">
        <v>1</v>
      </c>
      <c r="H525">
        <v>46383</v>
      </c>
      <c r="I525" t="s">
        <v>108</v>
      </c>
      <c r="J525" t="s">
        <v>29</v>
      </c>
    </row>
    <row r="526" spans="1:10" x14ac:dyDescent="0.3">
      <c r="A526">
        <v>1525</v>
      </c>
      <c r="B526" t="s">
        <v>25</v>
      </c>
      <c r="D526" t="s">
        <v>11</v>
      </c>
      <c r="E526" t="s">
        <v>18</v>
      </c>
      <c r="F526" t="s">
        <v>30</v>
      </c>
      <c r="G526">
        <v>0</v>
      </c>
      <c r="H526">
        <v>-1000</v>
      </c>
      <c r="I526" t="s">
        <v>224</v>
      </c>
      <c r="J526" t="s">
        <v>20</v>
      </c>
    </row>
    <row r="527" spans="1:10" x14ac:dyDescent="0.3">
      <c r="A527">
        <v>1526</v>
      </c>
      <c r="B527" t="s">
        <v>35</v>
      </c>
      <c r="D527" t="s">
        <v>22</v>
      </c>
      <c r="E527" t="s">
        <v>18</v>
      </c>
      <c r="F527" t="s">
        <v>36</v>
      </c>
      <c r="G527">
        <v>5</v>
      </c>
      <c r="H527">
        <v>-1000</v>
      </c>
      <c r="I527" t="s">
        <v>120</v>
      </c>
      <c r="J527" t="s">
        <v>20</v>
      </c>
    </row>
    <row r="528" spans="1:10" x14ac:dyDescent="0.3">
      <c r="A528">
        <v>1527</v>
      </c>
      <c r="B528" t="s">
        <v>25</v>
      </c>
      <c r="C528">
        <v>38</v>
      </c>
      <c r="D528" t="s">
        <v>11</v>
      </c>
      <c r="E528" t="s">
        <v>12</v>
      </c>
      <c r="F528" t="s">
        <v>33</v>
      </c>
      <c r="G528">
        <v>2</v>
      </c>
      <c r="H528">
        <v>-1000</v>
      </c>
      <c r="I528" t="s">
        <v>97</v>
      </c>
      <c r="J528" t="s">
        <v>20</v>
      </c>
    </row>
    <row r="529" spans="1:10" x14ac:dyDescent="0.3">
      <c r="A529">
        <v>1528</v>
      </c>
      <c r="B529" t="s">
        <v>21</v>
      </c>
      <c r="D529" t="s">
        <v>26</v>
      </c>
      <c r="E529" t="s">
        <v>55</v>
      </c>
      <c r="F529" t="s">
        <v>33</v>
      </c>
      <c r="G529">
        <v>0</v>
      </c>
      <c r="H529">
        <v>0</v>
      </c>
      <c r="I529" t="s">
        <v>157</v>
      </c>
      <c r="J529" t="s">
        <v>15</v>
      </c>
    </row>
    <row r="530" spans="1:10" x14ac:dyDescent="0.3">
      <c r="A530">
        <v>1529</v>
      </c>
      <c r="B530" t="s">
        <v>69</v>
      </c>
      <c r="C530">
        <v>42</v>
      </c>
      <c r="D530" t="s">
        <v>17</v>
      </c>
      <c r="E530" t="s">
        <v>44</v>
      </c>
      <c r="F530" t="s">
        <v>33</v>
      </c>
      <c r="G530">
        <v>3</v>
      </c>
      <c r="H530">
        <v>0</v>
      </c>
      <c r="I530" t="s">
        <v>146</v>
      </c>
      <c r="J530" t="s">
        <v>20</v>
      </c>
    </row>
    <row r="531" spans="1:10" x14ac:dyDescent="0.3">
      <c r="A531">
        <v>1530</v>
      </c>
      <c r="B531" t="s">
        <v>25</v>
      </c>
      <c r="C531">
        <v>26</v>
      </c>
      <c r="D531" t="s">
        <v>17</v>
      </c>
      <c r="E531" t="s">
        <v>27</v>
      </c>
      <c r="F531" t="s">
        <v>36</v>
      </c>
      <c r="G531">
        <v>4</v>
      </c>
      <c r="H531">
        <v>0</v>
      </c>
      <c r="I531" t="s">
        <v>220</v>
      </c>
      <c r="J531" t="s">
        <v>20</v>
      </c>
    </row>
    <row r="532" spans="1:10" x14ac:dyDescent="0.3">
      <c r="A532">
        <v>1531</v>
      </c>
      <c r="B532" t="s">
        <v>78</v>
      </c>
      <c r="D532" t="s">
        <v>17</v>
      </c>
      <c r="E532" t="s">
        <v>27</v>
      </c>
      <c r="F532" t="s">
        <v>33</v>
      </c>
      <c r="G532">
        <v>2</v>
      </c>
      <c r="H532">
        <v>-1000</v>
      </c>
      <c r="I532" t="s">
        <v>107</v>
      </c>
      <c r="J532" t="s">
        <v>45</v>
      </c>
    </row>
    <row r="533" spans="1:10" x14ac:dyDescent="0.3">
      <c r="A533">
        <v>1532</v>
      </c>
      <c r="B533" t="s">
        <v>59</v>
      </c>
      <c r="C533">
        <v>23</v>
      </c>
      <c r="D533" t="s">
        <v>11</v>
      </c>
      <c r="E533" t="s">
        <v>12</v>
      </c>
      <c r="F533" t="s">
        <v>33</v>
      </c>
      <c r="G533">
        <v>0</v>
      </c>
      <c r="H533">
        <v>-1000</v>
      </c>
      <c r="I533" t="s">
        <v>108</v>
      </c>
      <c r="J533" t="s">
        <v>29</v>
      </c>
    </row>
    <row r="534" spans="1:10" x14ac:dyDescent="0.3">
      <c r="A534">
        <v>1533</v>
      </c>
      <c r="B534" t="s">
        <v>32</v>
      </c>
      <c r="D534" t="s">
        <v>17</v>
      </c>
      <c r="E534" t="s">
        <v>12</v>
      </c>
      <c r="F534" t="s">
        <v>33</v>
      </c>
      <c r="G534">
        <v>0</v>
      </c>
      <c r="H534">
        <v>0</v>
      </c>
      <c r="I534" t="s">
        <v>212</v>
      </c>
      <c r="J534" t="s">
        <v>45</v>
      </c>
    </row>
    <row r="535" spans="1:10" x14ac:dyDescent="0.3">
      <c r="A535">
        <v>1534</v>
      </c>
      <c r="B535" t="s">
        <v>73</v>
      </c>
      <c r="C535">
        <v>24</v>
      </c>
      <c r="D535" t="s">
        <v>17</v>
      </c>
      <c r="E535" t="s">
        <v>55</v>
      </c>
      <c r="F535" t="s">
        <v>13</v>
      </c>
      <c r="G535">
        <v>5</v>
      </c>
      <c r="H535">
        <v>11334</v>
      </c>
      <c r="I535" t="s">
        <v>14</v>
      </c>
      <c r="J535" t="s">
        <v>45</v>
      </c>
    </row>
    <row r="536" spans="1:10" x14ac:dyDescent="0.3">
      <c r="A536">
        <v>1535</v>
      </c>
      <c r="B536" t="s">
        <v>68</v>
      </c>
      <c r="D536" t="s">
        <v>11</v>
      </c>
      <c r="E536" t="s">
        <v>27</v>
      </c>
      <c r="F536" t="s">
        <v>13</v>
      </c>
      <c r="G536">
        <v>0</v>
      </c>
      <c r="H536">
        <v>0</v>
      </c>
      <c r="I536" t="s">
        <v>60</v>
      </c>
      <c r="J536" t="s">
        <v>29</v>
      </c>
    </row>
    <row r="537" spans="1:10" x14ac:dyDescent="0.3">
      <c r="A537">
        <v>1536</v>
      </c>
      <c r="B537" t="s">
        <v>57</v>
      </c>
      <c r="C537">
        <v>34</v>
      </c>
      <c r="D537" t="s">
        <v>26</v>
      </c>
      <c r="E537" t="s">
        <v>55</v>
      </c>
      <c r="F537" t="s">
        <v>36</v>
      </c>
      <c r="G537">
        <v>0</v>
      </c>
      <c r="H537">
        <v>0</v>
      </c>
      <c r="I537" t="s">
        <v>166</v>
      </c>
      <c r="J537" t="s">
        <v>29</v>
      </c>
    </row>
    <row r="538" spans="1:10" x14ac:dyDescent="0.3">
      <c r="A538">
        <v>1537</v>
      </c>
      <c r="B538" t="s">
        <v>16</v>
      </c>
      <c r="D538" t="s">
        <v>17</v>
      </c>
      <c r="E538" t="s">
        <v>41</v>
      </c>
      <c r="F538" t="s">
        <v>33</v>
      </c>
      <c r="G538">
        <v>0</v>
      </c>
      <c r="H538">
        <v>-1000</v>
      </c>
      <c r="I538" t="s">
        <v>145</v>
      </c>
      <c r="J538" t="s">
        <v>20</v>
      </c>
    </row>
    <row r="539" spans="1:10" x14ac:dyDescent="0.3">
      <c r="A539">
        <v>1538</v>
      </c>
      <c r="B539" t="s">
        <v>69</v>
      </c>
      <c r="C539">
        <v>45</v>
      </c>
      <c r="D539" t="s">
        <v>40</v>
      </c>
      <c r="E539" t="s">
        <v>27</v>
      </c>
      <c r="F539" t="s">
        <v>30</v>
      </c>
      <c r="G539">
        <v>1</v>
      </c>
      <c r="H539">
        <v>0</v>
      </c>
      <c r="I539" t="s">
        <v>173</v>
      </c>
      <c r="J539" t="s">
        <v>20</v>
      </c>
    </row>
    <row r="540" spans="1:10" x14ac:dyDescent="0.3">
      <c r="A540">
        <v>1539</v>
      </c>
      <c r="B540" t="s">
        <v>32</v>
      </c>
      <c r="D540" t="s">
        <v>40</v>
      </c>
      <c r="E540" t="s">
        <v>41</v>
      </c>
      <c r="F540" t="s">
        <v>36</v>
      </c>
      <c r="G540">
        <v>0</v>
      </c>
      <c r="H540">
        <v>0</v>
      </c>
      <c r="I540" t="s">
        <v>39</v>
      </c>
      <c r="J540" t="s">
        <v>43</v>
      </c>
    </row>
    <row r="541" spans="1:10" x14ac:dyDescent="0.3">
      <c r="A541">
        <v>1540</v>
      </c>
      <c r="B541" t="s">
        <v>69</v>
      </c>
      <c r="D541" t="s">
        <v>22</v>
      </c>
      <c r="E541" t="s">
        <v>44</v>
      </c>
      <c r="F541" t="s">
        <v>30</v>
      </c>
      <c r="G541">
        <v>5</v>
      </c>
      <c r="H541">
        <v>42820</v>
      </c>
      <c r="I541" t="s">
        <v>195</v>
      </c>
      <c r="J541" t="s">
        <v>29</v>
      </c>
    </row>
    <row r="542" spans="1:10" x14ac:dyDescent="0.3">
      <c r="A542">
        <v>1541</v>
      </c>
      <c r="B542" t="s">
        <v>73</v>
      </c>
      <c r="C542">
        <v>41</v>
      </c>
      <c r="D542" t="s">
        <v>40</v>
      </c>
      <c r="E542" t="s">
        <v>23</v>
      </c>
      <c r="F542" t="s">
        <v>36</v>
      </c>
      <c r="G542">
        <v>0</v>
      </c>
      <c r="H542">
        <v>-1000</v>
      </c>
      <c r="I542" t="s">
        <v>167</v>
      </c>
      <c r="J542" t="s">
        <v>15</v>
      </c>
    </row>
    <row r="543" spans="1:10" x14ac:dyDescent="0.3">
      <c r="A543">
        <v>1542</v>
      </c>
      <c r="B543" t="s">
        <v>25</v>
      </c>
      <c r="D543" t="s">
        <v>22</v>
      </c>
      <c r="E543" t="s">
        <v>44</v>
      </c>
      <c r="F543" t="s">
        <v>36</v>
      </c>
      <c r="G543">
        <v>0</v>
      </c>
      <c r="H543">
        <v>0</v>
      </c>
      <c r="I543" t="s">
        <v>112</v>
      </c>
      <c r="J543" t="s">
        <v>15</v>
      </c>
    </row>
    <row r="544" spans="1:10" x14ac:dyDescent="0.3">
      <c r="A544">
        <v>1543</v>
      </c>
      <c r="B544" t="s">
        <v>32</v>
      </c>
      <c r="C544">
        <v>21</v>
      </c>
      <c r="D544" t="s">
        <v>40</v>
      </c>
      <c r="E544" t="s">
        <v>12</v>
      </c>
      <c r="F544" t="s">
        <v>36</v>
      </c>
      <c r="G544">
        <v>0</v>
      </c>
      <c r="H544">
        <v>0</v>
      </c>
      <c r="I544" t="s">
        <v>102</v>
      </c>
      <c r="J544" t="s">
        <v>29</v>
      </c>
    </row>
    <row r="545" spans="1:10" x14ac:dyDescent="0.3">
      <c r="A545">
        <v>1544</v>
      </c>
      <c r="B545" t="s">
        <v>35</v>
      </c>
      <c r="C545">
        <v>43</v>
      </c>
      <c r="D545" t="s">
        <v>11</v>
      </c>
      <c r="E545" t="s">
        <v>51</v>
      </c>
      <c r="F545" t="s">
        <v>13</v>
      </c>
      <c r="G545">
        <v>0</v>
      </c>
      <c r="H545">
        <v>41358</v>
      </c>
      <c r="I545" t="s">
        <v>124</v>
      </c>
      <c r="J545" t="s">
        <v>45</v>
      </c>
    </row>
    <row r="546" spans="1:10" x14ac:dyDescent="0.3">
      <c r="A546">
        <v>1545</v>
      </c>
      <c r="B546" t="s">
        <v>64</v>
      </c>
      <c r="C546">
        <v>42</v>
      </c>
      <c r="D546" t="s">
        <v>26</v>
      </c>
      <c r="E546" t="s">
        <v>41</v>
      </c>
      <c r="F546" t="s">
        <v>13</v>
      </c>
      <c r="G546">
        <v>4</v>
      </c>
      <c r="H546">
        <v>33008</v>
      </c>
      <c r="I546" t="s">
        <v>114</v>
      </c>
      <c r="J546" t="s">
        <v>43</v>
      </c>
    </row>
    <row r="547" spans="1:10" x14ac:dyDescent="0.3">
      <c r="A547">
        <v>1546</v>
      </c>
      <c r="B547" t="s">
        <v>78</v>
      </c>
      <c r="D547" t="s">
        <v>22</v>
      </c>
      <c r="E547" t="s">
        <v>44</v>
      </c>
      <c r="F547" t="s">
        <v>30</v>
      </c>
      <c r="G547">
        <v>0</v>
      </c>
      <c r="H547">
        <v>-1000</v>
      </c>
      <c r="I547" t="s">
        <v>163</v>
      </c>
      <c r="J547" t="s">
        <v>15</v>
      </c>
    </row>
    <row r="548" spans="1:10" x14ac:dyDescent="0.3">
      <c r="A548">
        <v>1547</v>
      </c>
      <c r="B548" t="s">
        <v>73</v>
      </c>
      <c r="D548" t="s">
        <v>40</v>
      </c>
      <c r="E548" t="s">
        <v>44</v>
      </c>
      <c r="F548" t="s">
        <v>13</v>
      </c>
      <c r="G548">
        <v>2</v>
      </c>
      <c r="H548">
        <v>48019</v>
      </c>
      <c r="I548" t="s">
        <v>224</v>
      </c>
      <c r="J548" t="s">
        <v>29</v>
      </c>
    </row>
    <row r="549" spans="1:10" x14ac:dyDescent="0.3">
      <c r="A549">
        <v>1548</v>
      </c>
      <c r="B549" t="s">
        <v>32</v>
      </c>
      <c r="D549" t="s">
        <v>17</v>
      </c>
      <c r="E549" t="s">
        <v>18</v>
      </c>
      <c r="F549" t="s">
        <v>30</v>
      </c>
      <c r="G549">
        <v>2</v>
      </c>
      <c r="H549">
        <v>49585</v>
      </c>
      <c r="I549" t="s">
        <v>159</v>
      </c>
      <c r="J549" t="s">
        <v>45</v>
      </c>
    </row>
    <row r="550" spans="1:10" x14ac:dyDescent="0.3">
      <c r="A550">
        <v>1549</v>
      </c>
      <c r="B550" t="s">
        <v>32</v>
      </c>
      <c r="C550">
        <v>22</v>
      </c>
      <c r="D550" t="s">
        <v>40</v>
      </c>
      <c r="E550" t="s">
        <v>27</v>
      </c>
      <c r="F550" t="s">
        <v>13</v>
      </c>
      <c r="G550">
        <v>3</v>
      </c>
      <c r="H550">
        <v>0</v>
      </c>
      <c r="I550" t="s">
        <v>201</v>
      </c>
      <c r="J550" t="s">
        <v>45</v>
      </c>
    </row>
    <row r="551" spans="1:10" x14ac:dyDescent="0.3">
      <c r="A551">
        <v>1550</v>
      </c>
      <c r="B551" t="s">
        <v>10</v>
      </c>
      <c r="D551" t="s">
        <v>11</v>
      </c>
      <c r="E551" t="s">
        <v>18</v>
      </c>
      <c r="F551" t="s">
        <v>13</v>
      </c>
      <c r="G551">
        <v>0</v>
      </c>
      <c r="H551">
        <v>0</v>
      </c>
      <c r="I551" t="s">
        <v>168</v>
      </c>
      <c r="J551" t="s">
        <v>29</v>
      </c>
    </row>
    <row r="552" spans="1:10" x14ac:dyDescent="0.3">
      <c r="A552">
        <v>1551</v>
      </c>
      <c r="B552" t="s">
        <v>54</v>
      </c>
      <c r="D552" t="s">
        <v>11</v>
      </c>
      <c r="E552" t="s">
        <v>44</v>
      </c>
      <c r="F552" t="s">
        <v>30</v>
      </c>
      <c r="G552">
        <v>0</v>
      </c>
      <c r="H552">
        <v>0</v>
      </c>
      <c r="I552" t="s">
        <v>225</v>
      </c>
      <c r="J552" t="s">
        <v>15</v>
      </c>
    </row>
    <row r="553" spans="1:10" x14ac:dyDescent="0.3">
      <c r="A553">
        <v>1552</v>
      </c>
      <c r="B553" t="s">
        <v>16</v>
      </c>
      <c r="D553" t="s">
        <v>22</v>
      </c>
      <c r="E553" t="s">
        <v>12</v>
      </c>
      <c r="F553" t="s">
        <v>13</v>
      </c>
      <c r="G553">
        <v>1</v>
      </c>
      <c r="H553">
        <v>42221</v>
      </c>
      <c r="I553" t="s">
        <v>200</v>
      </c>
      <c r="J553" t="s">
        <v>43</v>
      </c>
    </row>
    <row r="554" spans="1:10" x14ac:dyDescent="0.3">
      <c r="A554">
        <v>1553</v>
      </c>
      <c r="B554" t="s">
        <v>73</v>
      </c>
      <c r="D554" t="s">
        <v>17</v>
      </c>
      <c r="E554" t="s">
        <v>55</v>
      </c>
      <c r="F554" t="s">
        <v>30</v>
      </c>
      <c r="G554">
        <v>5</v>
      </c>
      <c r="H554">
        <v>31583</v>
      </c>
      <c r="I554" t="s">
        <v>116</v>
      </c>
      <c r="J554" t="s">
        <v>43</v>
      </c>
    </row>
    <row r="555" spans="1:10" x14ac:dyDescent="0.3">
      <c r="A555">
        <v>1554</v>
      </c>
      <c r="B555" t="s">
        <v>59</v>
      </c>
      <c r="C555">
        <v>31</v>
      </c>
      <c r="D555" t="s">
        <v>22</v>
      </c>
      <c r="E555" t="s">
        <v>27</v>
      </c>
      <c r="F555" t="s">
        <v>30</v>
      </c>
      <c r="G555">
        <v>0</v>
      </c>
      <c r="H555">
        <v>5785</v>
      </c>
      <c r="I555" t="s">
        <v>82</v>
      </c>
      <c r="J555" t="s">
        <v>43</v>
      </c>
    </row>
    <row r="556" spans="1:10" x14ac:dyDescent="0.3">
      <c r="A556">
        <v>1555</v>
      </c>
      <c r="B556" t="s">
        <v>48</v>
      </c>
      <c r="D556" t="s">
        <v>17</v>
      </c>
      <c r="E556" t="s">
        <v>41</v>
      </c>
      <c r="F556" t="s">
        <v>36</v>
      </c>
      <c r="G556">
        <v>0</v>
      </c>
      <c r="H556">
        <v>0</v>
      </c>
      <c r="I556" t="s">
        <v>173</v>
      </c>
      <c r="J556" t="s">
        <v>15</v>
      </c>
    </row>
    <row r="557" spans="1:10" x14ac:dyDescent="0.3">
      <c r="A557">
        <v>1556</v>
      </c>
      <c r="B557" t="s">
        <v>38</v>
      </c>
      <c r="D557" t="s">
        <v>22</v>
      </c>
      <c r="E557" t="s">
        <v>44</v>
      </c>
      <c r="F557" t="s">
        <v>13</v>
      </c>
      <c r="G557">
        <v>0</v>
      </c>
      <c r="H557">
        <v>0</v>
      </c>
      <c r="I557" t="s">
        <v>189</v>
      </c>
      <c r="J557" t="s">
        <v>45</v>
      </c>
    </row>
    <row r="558" spans="1:10" x14ac:dyDescent="0.3">
      <c r="A558">
        <v>1557</v>
      </c>
      <c r="B558" t="s">
        <v>73</v>
      </c>
      <c r="D558" t="s">
        <v>26</v>
      </c>
      <c r="E558" t="s">
        <v>12</v>
      </c>
      <c r="F558" t="s">
        <v>30</v>
      </c>
      <c r="G558">
        <v>0</v>
      </c>
      <c r="H558">
        <v>-1000</v>
      </c>
      <c r="I558" t="s">
        <v>208</v>
      </c>
      <c r="J558" t="s">
        <v>45</v>
      </c>
    </row>
    <row r="559" spans="1:10" x14ac:dyDescent="0.3">
      <c r="A559">
        <v>1558</v>
      </c>
      <c r="B559" t="s">
        <v>10</v>
      </c>
      <c r="C559">
        <v>43</v>
      </c>
      <c r="D559" t="s">
        <v>40</v>
      </c>
      <c r="E559" t="s">
        <v>51</v>
      </c>
      <c r="F559" t="s">
        <v>36</v>
      </c>
      <c r="G559">
        <v>2</v>
      </c>
      <c r="H559">
        <v>0</v>
      </c>
      <c r="I559" t="s">
        <v>166</v>
      </c>
      <c r="J559" t="s">
        <v>15</v>
      </c>
    </row>
    <row r="560" spans="1:10" x14ac:dyDescent="0.3">
      <c r="A560">
        <v>1559</v>
      </c>
      <c r="B560" t="s">
        <v>68</v>
      </c>
      <c r="D560" t="s">
        <v>11</v>
      </c>
      <c r="E560" t="s">
        <v>55</v>
      </c>
      <c r="F560" t="s">
        <v>30</v>
      </c>
      <c r="G560">
        <v>0</v>
      </c>
      <c r="H560">
        <v>-1000</v>
      </c>
      <c r="I560" t="s">
        <v>203</v>
      </c>
      <c r="J560" t="s">
        <v>15</v>
      </c>
    </row>
    <row r="561" spans="1:10" x14ac:dyDescent="0.3">
      <c r="A561">
        <v>1560</v>
      </c>
      <c r="B561" t="s">
        <v>32</v>
      </c>
      <c r="C561">
        <v>36</v>
      </c>
      <c r="D561" t="s">
        <v>22</v>
      </c>
      <c r="E561" t="s">
        <v>44</v>
      </c>
      <c r="F561" t="s">
        <v>30</v>
      </c>
      <c r="G561">
        <v>2</v>
      </c>
      <c r="H561">
        <v>-1000</v>
      </c>
      <c r="I561" t="s">
        <v>39</v>
      </c>
      <c r="J561" t="s">
        <v>29</v>
      </c>
    </row>
    <row r="562" spans="1:10" x14ac:dyDescent="0.3">
      <c r="A562">
        <v>1561</v>
      </c>
      <c r="B562" t="s">
        <v>62</v>
      </c>
      <c r="C562">
        <v>23</v>
      </c>
      <c r="D562" t="s">
        <v>40</v>
      </c>
      <c r="E562" t="s">
        <v>51</v>
      </c>
      <c r="F562" t="s">
        <v>30</v>
      </c>
      <c r="G562">
        <v>0</v>
      </c>
      <c r="H562">
        <v>0</v>
      </c>
      <c r="I562" t="s">
        <v>135</v>
      </c>
      <c r="J562" t="s">
        <v>29</v>
      </c>
    </row>
    <row r="563" spans="1:10" x14ac:dyDescent="0.3">
      <c r="A563">
        <v>1562</v>
      </c>
      <c r="B563" t="s">
        <v>57</v>
      </c>
      <c r="D563" t="s">
        <v>11</v>
      </c>
      <c r="E563" t="s">
        <v>55</v>
      </c>
      <c r="F563" t="s">
        <v>13</v>
      </c>
      <c r="G563">
        <v>0</v>
      </c>
      <c r="H563">
        <v>-1000</v>
      </c>
      <c r="I563" t="s">
        <v>150</v>
      </c>
      <c r="J563" t="s">
        <v>45</v>
      </c>
    </row>
    <row r="564" spans="1:10" x14ac:dyDescent="0.3">
      <c r="A564">
        <v>1563</v>
      </c>
      <c r="B564" t="s">
        <v>69</v>
      </c>
      <c r="C564">
        <v>26</v>
      </c>
      <c r="D564" t="s">
        <v>26</v>
      </c>
      <c r="E564" t="s">
        <v>55</v>
      </c>
      <c r="F564" t="s">
        <v>30</v>
      </c>
      <c r="G564">
        <v>0</v>
      </c>
      <c r="H564">
        <v>-1000</v>
      </c>
      <c r="I564" t="s">
        <v>222</v>
      </c>
      <c r="J564" t="s">
        <v>15</v>
      </c>
    </row>
    <row r="565" spans="1:10" x14ac:dyDescent="0.3">
      <c r="A565">
        <v>1564</v>
      </c>
      <c r="B565" t="s">
        <v>64</v>
      </c>
      <c r="C565">
        <v>46</v>
      </c>
      <c r="D565" t="s">
        <v>40</v>
      </c>
      <c r="E565" t="s">
        <v>44</v>
      </c>
      <c r="F565" t="s">
        <v>13</v>
      </c>
      <c r="G565">
        <v>0</v>
      </c>
      <c r="H565">
        <v>-1000</v>
      </c>
      <c r="I565" t="s">
        <v>226</v>
      </c>
      <c r="J565" t="s">
        <v>43</v>
      </c>
    </row>
    <row r="566" spans="1:10" x14ac:dyDescent="0.3">
      <c r="A566">
        <v>1565</v>
      </c>
      <c r="B566" t="s">
        <v>25</v>
      </c>
      <c r="C566">
        <v>34</v>
      </c>
      <c r="D566" t="s">
        <v>22</v>
      </c>
      <c r="E566" t="s">
        <v>44</v>
      </c>
      <c r="F566" t="s">
        <v>13</v>
      </c>
      <c r="G566">
        <v>0</v>
      </c>
      <c r="H566">
        <v>-1000</v>
      </c>
      <c r="I566" t="s">
        <v>91</v>
      </c>
      <c r="J566" t="s">
        <v>29</v>
      </c>
    </row>
    <row r="567" spans="1:10" x14ac:dyDescent="0.3">
      <c r="A567">
        <v>1566</v>
      </c>
      <c r="B567" t="s">
        <v>21</v>
      </c>
      <c r="C567">
        <v>24</v>
      </c>
      <c r="D567" t="s">
        <v>22</v>
      </c>
      <c r="E567" t="s">
        <v>12</v>
      </c>
      <c r="F567" t="s">
        <v>30</v>
      </c>
      <c r="G567">
        <v>4</v>
      </c>
      <c r="H567">
        <v>-1000</v>
      </c>
      <c r="I567" t="s">
        <v>199</v>
      </c>
      <c r="J567" t="s">
        <v>45</v>
      </c>
    </row>
    <row r="568" spans="1:10" x14ac:dyDescent="0.3">
      <c r="A568">
        <v>1567</v>
      </c>
      <c r="B568" t="s">
        <v>35</v>
      </c>
      <c r="D568" t="s">
        <v>26</v>
      </c>
      <c r="E568" t="s">
        <v>27</v>
      </c>
      <c r="F568" t="s">
        <v>13</v>
      </c>
      <c r="G568">
        <v>0</v>
      </c>
      <c r="H568">
        <v>49929</v>
      </c>
      <c r="I568" t="s">
        <v>71</v>
      </c>
      <c r="J568" t="s">
        <v>20</v>
      </c>
    </row>
    <row r="569" spans="1:10" x14ac:dyDescent="0.3">
      <c r="A569">
        <v>1568</v>
      </c>
      <c r="B569" t="s">
        <v>25</v>
      </c>
      <c r="D569" t="s">
        <v>40</v>
      </c>
      <c r="E569" t="s">
        <v>18</v>
      </c>
      <c r="F569" t="s">
        <v>30</v>
      </c>
      <c r="G569">
        <v>0</v>
      </c>
      <c r="H569">
        <v>-1000</v>
      </c>
      <c r="I569" t="s">
        <v>154</v>
      </c>
      <c r="J569" t="s">
        <v>43</v>
      </c>
    </row>
    <row r="570" spans="1:10" x14ac:dyDescent="0.3">
      <c r="A570">
        <v>1569</v>
      </c>
      <c r="B570" t="s">
        <v>16</v>
      </c>
      <c r="C570">
        <v>20</v>
      </c>
      <c r="D570" t="s">
        <v>26</v>
      </c>
      <c r="E570" t="s">
        <v>23</v>
      </c>
      <c r="F570" t="s">
        <v>36</v>
      </c>
      <c r="G570">
        <v>0</v>
      </c>
      <c r="H570">
        <v>12829</v>
      </c>
      <c r="I570" t="s">
        <v>174</v>
      </c>
      <c r="J570" t="s">
        <v>20</v>
      </c>
    </row>
    <row r="571" spans="1:10" x14ac:dyDescent="0.3">
      <c r="A571">
        <v>1570</v>
      </c>
      <c r="B571" t="s">
        <v>59</v>
      </c>
      <c r="C571">
        <v>21</v>
      </c>
      <c r="D571" t="s">
        <v>22</v>
      </c>
      <c r="E571" t="s">
        <v>55</v>
      </c>
      <c r="F571" t="s">
        <v>33</v>
      </c>
      <c r="G571">
        <v>0</v>
      </c>
      <c r="H571">
        <v>-1000</v>
      </c>
      <c r="I571" t="s">
        <v>196</v>
      </c>
      <c r="J571" t="s">
        <v>15</v>
      </c>
    </row>
    <row r="572" spans="1:10" x14ac:dyDescent="0.3">
      <c r="A572">
        <v>1571</v>
      </c>
      <c r="B572" t="s">
        <v>16</v>
      </c>
      <c r="C572">
        <v>39</v>
      </c>
      <c r="D572" t="s">
        <v>40</v>
      </c>
      <c r="E572" t="s">
        <v>55</v>
      </c>
      <c r="F572" t="s">
        <v>30</v>
      </c>
      <c r="G572">
        <v>0</v>
      </c>
      <c r="H572">
        <v>0</v>
      </c>
      <c r="I572" t="s">
        <v>129</v>
      </c>
      <c r="J572" t="s">
        <v>45</v>
      </c>
    </row>
    <row r="573" spans="1:10" x14ac:dyDescent="0.3">
      <c r="A573">
        <v>1572</v>
      </c>
      <c r="B573" t="s">
        <v>68</v>
      </c>
      <c r="C573">
        <v>20</v>
      </c>
      <c r="D573" t="s">
        <v>11</v>
      </c>
      <c r="E573" t="s">
        <v>27</v>
      </c>
      <c r="F573" t="s">
        <v>30</v>
      </c>
      <c r="G573">
        <v>0</v>
      </c>
      <c r="H573">
        <v>-1000</v>
      </c>
      <c r="I573" t="s">
        <v>223</v>
      </c>
      <c r="J573" t="s">
        <v>20</v>
      </c>
    </row>
    <row r="574" spans="1:10" x14ac:dyDescent="0.3">
      <c r="A574">
        <v>1573</v>
      </c>
      <c r="B574" t="s">
        <v>62</v>
      </c>
      <c r="C574">
        <v>31</v>
      </c>
      <c r="D574" t="s">
        <v>26</v>
      </c>
      <c r="E574" t="s">
        <v>44</v>
      </c>
      <c r="F574" t="s">
        <v>33</v>
      </c>
      <c r="G574">
        <v>3</v>
      </c>
      <c r="H574">
        <v>-1000</v>
      </c>
      <c r="I574" t="s">
        <v>199</v>
      </c>
      <c r="J574" t="s">
        <v>45</v>
      </c>
    </row>
    <row r="575" spans="1:10" x14ac:dyDescent="0.3">
      <c r="A575">
        <v>1574</v>
      </c>
      <c r="B575" t="s">
        <v>21</v>
      </c>
      <c r="D575" t="s">
        <v>40</v>
      </c>
      <c r="E575" t="s">
        <v>23</v>
      </c>
      <c r="F575" t="s">
        <v>13</v>
      </c>
      <c r="G575">
        <v>0</v>
      </c>
      <c r="H575">
        <v>0</v>
      </c>
      <c r="I575" t="s">
        <v>167</v>
      </c>
      <c r="J575" t="s">
        <v>20</v>
      </c>
    </row>
    <row r="576" spans="1:10" x14ac:dyDescent="0.3">
      <c r="A576">
        <v>1575</v>
      </c>
      <c r="B576" t="s">
        <v>48</v>
      </c>
      <c r="D576" t="s">
        <v>17</v>
      </c>
      <c r="E576" t="s">
        <v>44</v>
      </c>
      <c r="F576" t="s">
        <v>30</v>
      </c>
      <c r="G576">
        <v>0</v>
      </c>
      <c r="H576">
        <v>13052</v>
      </c>
      <c r="I576" t="s">
        <v>119</v>
      </c>
      <c r="J576" t="s">
        <v>45</v>
      </c>
    </row>
    <row r="577" spans="1:10" x14ac:dyDescent="0.3">
      <c r="A577">
        <v>1576</v>
      </c>
      <c r="B577" t="s">
        <v>21</v>
      </c>
      <c r="C577">
        <v>43</v>
      </c>
      <c r="D577" t="s">
        <v>17</v>
      </c>
      <c r="E577" t="s">
        <v>51</v>
      </c>
      <c r="F577" t="s">
        <v>30</v>
      </c>
      <c r="G577">
        <v>4</v>
      </c>
      <c r="H577">
        <v>0</v>
      </c>
      <c r="I577" t="s">
        <v>56</v>
      </c>
      <c r="J577" t="s">
        <v>45</v>
      </c>
    </row>
    <row r="578" spans="1:10" x14ac:dyDescent="0.3">
      <c r="A578">
        <v>1577</v>
      </c>
      <c r="B578" t="s">
        <v>73</v>
      </c>
      <c r="C578">
        <v>29</v>
      </c>
      <c r="D578" t="s">
        <v>40</v>
      </c>
      <c r="E578" t="s">
        <v>44</v>
      </c>
      <c r="F578" t="s">
        <v>30</v>
      </c>
      <c r="G578">
        <v>0</v>
      </c>
      <c r="H578">
        <v>9906</v>
      </c>
      <c r="I578" t="s">
        <v>135</v>
      </c>
      <c r="J578" t="s">
        <v>29</v>
      </c>
    </row>
    <row r="579" spans="1:10" x14ac:dyDescent="0.3">
      <c r="A579">
        <v>1578</v>
      </c>
      <c r="B579" t="s">
        <v>25</v>
      </c>
      <c r="D579" t="s">
        <v>26</v>
      </c>
      <c r="E579" t="s">
        <v>41</v>
      </c>
      <c r="F579" t="s">
        <v>30</v>
      </c>
      <c r="G579">
        <v>2</v>
      </c>
      <c r="H579">
        <v>-1000</v>
      </c>
      <c r="I579" t="s">
        <v>222</v>
      </c>
      <c r="J579" t="s">
        <v>20</v>
      </c>
    </row>
    <row r="580" spans="1:10" x14ac:dyDescent="0.3">
      <c r="A580">
        <v>1579</v>
      </c>
      <c r="B580" t="s">
        <v>21</v>
      </c>
      <c r="D580" t="s">
        <v>22</v>
      </c>
      <c r="E580" t="s">
        <v>18</v>
      </c>
      <c r="F580" t="s">
        <v>36</v>
      </c>
      <c r="G580">
        <v>0</v>
      </c>
      <c r="H580">
        <v>0</v>
      </c>
      <c r="I580" t="s">
        <v>210</v>
      </c>
      <c r="J580" t="s">
        <v>45</v>
      </c>
    </row>
    <row r="581" spans="1:10" x14ac:dyDescent="0.3">
      <c r="A581">
        <v>1580</v>
      </c>
      <c r="B581" t="s">
        <v>78</v>
      </c>
      <c r="D581" t="s">
        <v>22</v>
      </c>
      <c r="E581" t="s">
        <v>27</v>
      </c>
      <c r="F581" t="s">
        <v>30</v>
      </c>
      <c r="G581">
        <v>4</v>
      </c>
      <c r="H581">
        <v>0</v>
      </c>
      <c r="I581" t="s">
        <v>74</v>
      </c>
      <c r="J581" t="s">
        <v>43</v>
      </c>
    </row>
    <row r="582" spans="1:10" x14ac:dyDescent="0.3">
      <c r="A582">
        <v>1581</v>
      </c>
      <c r="B582" t="s">
        <v>48</v>
      </c>
      <c r="D582" t="s">
        <v>17</v>
      </c>
      <c r="E582" t="s">
        <v>41</v>
      </c>
      <c r="F582" t="s">
        <v>33</v>
      </c>
      <c r="G582">
        <v>2</v>
      </c>
      <c r="H582">
        <v>0</v>
      </c>
      <c r="I582" t="s">
        <v>225</v>
      </c>
      <c r="J582" t="s">
        <v>45</v>
      </c>
    </row>
    <row r="583" spans="1:10" x14ac:dyDescent="0.3">
      <c r="A583">
        <v>1582</v>
      </c>
      <c r="B583" t="s">
        <v>64</v>
      </c>
      <c r="D583" t="s">
        <v>22</v>
      </c>
      <c r="E583" t="s">
        <v>12</v>
      </c>
      <c r="F583" t="s">
        <v>33</v>
      </c>
      <c r="G583">
        <v>0</v>
      </c>
      <c r="H583">
        <v>0</v>
      </c>
      <c r="I583" t="s">
        <v>76</v>
      </c>
      <c r="J583" t="s">
        <v>20</v>
      </c>
    </row>
    <row r="584" spans="1:10" x14ac:dyDescent="0.3">
      <c r="A584">
        <v>1583</v>
      </c>
      <c r="B584" t="s">
        <v>69</v>
      </c>
      <c r="D584" t="s">
        <v>40</v>
      </c>
      <c r="E584" t="s">
        <v>55</v>
      </c>
      <c r="F584" t="s">
        <v>13</v>
      </c>
      <c r="G584">
        <v>4</v>
      </c>
      <c r="H584">
        <v>-1000</v>
      </c>
      <c r="I584" t="s">
        <v>149</v>
      </c>
      <c r="J584" t="s">
        <v>45</v>
      </c>
    </row>
    <row r="585" spans="1:10" x14ac:dyDescent="0.3">
      <c r="A585">
        <v>1584</v>
      </c>
      <c r="B585" t="s">
        <v>78</v>
      </c>
      <c r="C585">
        <v>44</v>
      </c>
      <c r="D585" t="s">
        <v>26</v>
      </c>
      <c r="E585" t="s">
        <v>27</v>
      </c>
      <c r="F585" t="s">
        <v>33</v>
      </c>
      <c r="G585">
        <v>1</v>
      </c>
      <c r="H585">
        <v>29382</v>
      </c>
      <c r="I585" t="s">
        <v>227</v>
      </c>
      <c r="J585" t="s">
        <v>43</v>
      </c>
    </row>
    <row r="586" spans="1:10" x14ac:dyDescent="0.3">
      <c r="A586">
        <v>1585</v>
      </c>
      <c r="B586" t="s">
        <v>78</v>
      </c>
      <c r="D586" t="s">
        <v>11</v>
      </c>
      <c r="E586" t="s">
        <v>27</v>
      </c>
      <c r="F586" t="s">
        <v>30</v>
      </c>
      <c r="G586">
        <v>1</v>
      </c>
      <c r="H586">
        <v>-1000</v>
      </c>
      <c r="I586" t="s">
        <v>102</v>
      </c>
      <c r="J586" t="s">
        <v>43</v>
      </c>
    </row>
    <row r="587" spans="1:10" x14ac:dyDescent="0.3">
      <c r="A587">
        <v>1586</v>
      </c>
      <c r="B587" t="s">
        <v>68</v>
      </c>
      <c r="C587">
        <v>18</v>
      </c>
      <c r="D587" t="s">
        <v>26</v>
      </c>
      <c r="E587" t="s">
        <v>41</v>
      </c>
      <c r="F587" t="s">
        <v>33</v>
      </c>
      <c r="G587">
        <v>0</v>
      </c>
      <c r="H587">
        <v>-1000</v>
      </c>
      <c r="I587" t="s">
        <v>37</v>
      </c>
      <c r="J587" t="s">
        <v>15</v>
      </c>
    </row>
    <row r="588" spans="1:10" x14ac:dyDescent="0.3">
      <c r="A588">
        <v>1587</v>
      </c>
      <c r="B588" t="s">
        <v>10</v>
      </c>
      <c r="D588" t="s">
        <v>22</v>
      </c>
      <c r="E588" t="s">
        <v>44</v>
      </c>
      <c r="F588" t="s">
        <v>36</v>
      </c>
      <c r="G588">
        <v>0</v>
      </c>
      <c r="H588">
        <v>0</v>
      </c>
      <c r="I588" t="s">
        <v>71</v>
      </c>
      <c r="J588" t="s">
        <v>45</v>
      </c>
    </row>
    <row r="589" spans="1:10" x14ac:dyDescent="0.3">
      <c r="A589">
        <v>1588</v>
      </c>
      <c r="B589" t="s">
        <v>25</v>
      </c>
      <c r="D589" t="s">
        <v>17</v>
      </c>
      <c r="E589" t="s">
        <v>41</v>
      </c>
      <c r="F589" t="s">
        <v>30</v>
      </c>
      <c r="G589">
        <v>0</v>
      </c>
      <c r="H589">
        <v>-1000</v>
      </c>
      <c r="I589" t="s">
        <v>136</v>
      </c>
      <c r="J589" t="s">
        <v>15</v>
      </c>
    </row>
    <row r="590" spans="1:10" x14ac:dyDescent="0.3">
      <c r="A590">
        <v>1589</v>
      </c>
      <c r="B590" t="s">
        <v>57</v>
      </c>
      <c r="C590">
        <v>47</v>
      </c>
      <c r="D590" t="s">
        <v>11</v>
      </c>
      <c r="E590" t="s">
        <v>23</v>
      </c>
      <c r="F590" t="s">
        <v>33</v>
      </c>
      <c r="G590">
        <v>0</v>
      </c>
      <c r="H590">
        <v>-1000</v>
      </c>
      <c r="I590" t="s">
        <v>119</v>
      </c>
      <c r="J590" t="s">
        <v>43</v>
      </c>
    </row>
    <row r="591" spans="1:10" x14ac:dyDescent="0.3">
      <c r="A591">
        <v>1590</v>
      </c>
      <c r="B591" t="s">
        <v>59</v>
      </c>
      <c r="D591" t="s">
        <v>17</v>
      </c>
      <c r="E591" t="s">
        <v>41</v>
      </c>
      <c r="F591" t="s">
        <v>13</v>
      </c>
      <c r="G591">
        <v>0</v>
      </c>
      <c r="H591">
        <v>-1000</v>
      </c>
      <c r="I591" t="s">
        <v>105</v>
      </c>
      <c r="J591" t="s">
        <v>20</v>
      </c>
    </row>
    <row r="592" spans="1:10" x14ac:dyDescent="0.3">
      <c r="A592">
        <v>1591</v>
      </c>
      <c r="B592" t="s">
        <v>38</v>
      </c>
      <c r="D592" t="s">
        <v>40</v>
      </c>
      <c r="E592" t="s">
        <v>27</v>
      </c>
      <c r="F592" t="s">
        <v>13</v>
      </c>
      <c r="G592">
        <v>0</v>
      </c>
      <c r="H592">
        <v>-1000</v>
      </c>
      <c r="I592" t="s">
        <v>61</v>
      </c>
      <c r="J592" t="s">
        <v>20</v>
      </c>
    </row>
    <row r="593" spans="1:10" x14ac:dyDescent="0.3">
      <c r="A593">
        <v>1592</v>
      </c>
      <c r="B593" t="s">
        <v>38</v>
      </c>
      <c r="D593" t="s">
        <v>17</v>
      </c>
      <c r="E593" t="s">
        <v>44</v>
      </c>
      <c r="F593" t="s">
        <v>13</v>
      </c>
      <c r="G593">
        <v>1</v>
      </c>
      <c r="H593">
        <v>-1000</v>
      </c>
      <c r="I593" t="s">
        <v>28</v>
      </c>
      <c r="J593" t="s">
        <v>29</v>
      </c>
    </row>
    <row r="594" spans="1:10" x14ac:dyDescent="0.3">
      <c r="A594">
        <v>1593</v>
      </c>
      <c r="B594" t="s">
        <v>38</v>
      </c>
      <c r="D594" t="s">
        <v>17</v>
      </c>
      <c r="E594" t="s">
        <v>55</v>
      </c>
      <c r="F594" t="s">
        <v>36</v>
      </c>
      <c r="G594">
        <v>0</v>
      </c>
      <c r="H594">
        <v>0</v>
      </c>
      <c r="I594" t="s">
        <v>89</v>
      </c>
      <c r="J594" t="s">
        <v>45</v>
      </c>
    </row>
    <row r="595" spans="1:10" x14ac:dyDescent="0.3">
      <c r="A595">
        <v>1594</v>
      </c>
      <c r="B595" t="s">
        <v>68</v>
      </c>
      <c r="C595">
        <v>35</v>
      </c>
      <c r="D595" t="s">
        <v>17</v>
      </c>
      <c r="E595" t="s">
        <v>44</v>
      </c>
      <c r="F595" t="s">
        <v>33</v>
      </c>
      <c r="G595">
        <v>0</v>
      </c>
      <c r="H595">
        <v>0</v>
      </c>
      <c r="I595" t="s">
        <v>211</v>
      </c>
      <c r="J595" t="s">
        <v>29</v>
      </c>
    </row>
    <row r="596" spans="1:10" x14ac:dyDescent="0.3">
      <c r="A596">
        <v>1595</v>
      </c>
      <c r="B596" t="s">
        <v>35</v>
      </c>
      <c r="C596">
        <v>38</v>
      </c>
      <c r="D596" t="s">
        <v>22</v>
      </c>
      <c r="E596" t="s">
        <v>23</v>
      </c>
      <c r="F596" t="s">
        <v>36</v>
      </c>
      <c r="G596">
        <v>4</v>
      </c>
      <c r="H596">
        <v>0</v>
      </c>
      <c r="I596" t="s">
        <v>80</v>
      </c>
      <c r="J596" t="s">
        <v>29</v>
      </c>
    </row>
    <row r="597" spans="1:10" x14ac:dyDescent="0.3">
      <c r="A597">
        <v>1596</v>
      </c>
      <c r="B597" t="s">
        <v>68</v>
      </c>
      <c r="D597" t="s">
        <v>22</v>
      </c>
      <c r="E597" t="s">
        <v>12</v>
      </c>
      <c r="F597" t="s">
        <v>30</v>
      </c>
      <c r="G597">
        <v>0</v>
      </c>
      <c r="H597">
        <v>33279</v>
      </c>
      <c r="I597" t="s">
        <v>153</v>
      </c>
      <c r="J597" t="s">
        <v>29</v>
      </c>
    </row>
    <row r="598" spans="1:10" x14ac:dyDescent="0.3">
      <c r="A598">
        <v>1597</v>
      </c>
      <c r="B598" t="s">
        <v>10</v>
      </c>
      <c r="C598">
        <v>33</v>
      </c>
      <c r="D598" t="s">
        <v>17</v>
      </c>
      <c r="E598" t="s">
        <v>27</v>
      </c>
      <c r="F598" t="s">
        <v>30</v>
      </c>
      <c r="G598">
        <v>0</v>
      </c>
      <c r="H598">
        <v>0</v>
      </c>
      <c r="I598" t="s">
        <v>94</v>
      </c>
      <c r="J598" t="s">
        <v>15</v>
      </c>
    </row>
    <row r="599" spans="1:10" x14ac:dyDescent="0.3">
      <c r="A599">
        <v>1598</v>
      </c>
      <c r="B599" t="s">
        <v>35</v>
      </c>
      <c r="D599" t="s">
        <v>17</v>
      </c>
      <c r="E599" t="s">
        <v>27</v>
      </c>
      <c r="F599" t="s">
        <v>33</v>
      </c>
      <c r="G599">
        <v>0</v>
      </c>
      <c r="H599">
        <v>0</v>
      </c>
      <c r="I599" t="s">
        <v>189</v>
      </c>
      <c r="J599" t="s">
        <v>29</v>
      </c>
    </row>
    <row r="600" spans="1:10" x14ac:dyDescent="0.3">
      <c r="A600">
        <v>1599</v>
      </c>
      <c r="B600" t="s">
        <v>35</v>
      </c>
      <c r="C600">
        <v>32</v>
      </c>
      <c r="D600" t="s">
        <v>40</v>
      </c>
      <c r="E600" t="s">
        <v>18</v>
      </c>
      <c r="F600" t="s">
        <v>33</v>
      </c>
      <c r="G600">
        <v>0</v>
      </c>
      <c r="H600">
        <v>-1000</v>
      </c>
      <c r="I600" t="s">
        <v>114</v>
      </c>
      <c r="J600" t="s">
        <v>29</v>
      </c>
    </row>
    <row r="601" spans="1:10" x14ac:dyDescent="0.3">
      <c r="A601">
        <v>1600</v>
      </c>
      <c r="B601" t="s">
        <v>73</v>
      </c>
      <c r="C601">
        <v>33</v>
      </c>
      <c r="D601" t="s">
        <v>26</v>
      </c>
      <c r="E601" t="s">
        <v>27</v>
      </c>
      <c r="F601" t="s">
        <v>33</v>
      </c>
      <c r="G601">
        <v>0</v>
      </c>
      <c r="H601">
        <v>-1000</v>
      </c>
      <c r="I601" t="s">
        <v>76</v>
      </c>
      <c r="J601" t="s">
        <v>43</v>
      </c>
    </row>
    <row r="602" spans="1:10" x14ac:dyDescent="0.3">
      <c r="A602">
        <v>1601</v>
      </c>
      <c r="B602" t="s">
        <v>16</v>
      </c>
      <c r="D602" t="s">
        <v>22</v>
      </c>
      <c r="E602" t="s">
        <v>27</v>
      </c>
      <c r="F602" t="s">
        <v>13</v>
      </c>
      <c r="G602">
        <v>2</v>
      </c>
      <c r="H602">
        <v>0</v>
      </c>
      <c r="I602" t="s">
        <v>19</v>
      </c>
      <c r="J602" t="s">
        <v>45</v>
      </c>
    </row>
    <row r="603" spans="1:10" x14ac:dyDescent="0.3">
      <c r="A603">
        <v>1602</v>
      </c>
      <c r="B603" t="s">
        <v>68</v>
      </c>
      <c r="C603">
        <v>39</v>
      </c>
      <c r="D603" t="s">
        <v>26</v>
      </c>
      <c r="E603" t="s">
        <v>23</v>
      </c>
      <c r="F603" t="s">
        <v>36</v>
      </c>
      <c r="G603">
        <v>0</v>
      </c>
      <c r="H603">
        <v>20226</v>
      </c>
      <c r="I603" t="s">
        <v>165</v>
      </c>
      <c r="J603" t="s">
        <v>20</v>
      </c>
    </row>
    <row r="604" spans="1:10" x14ac:dyDescent="0.3">
      <c r="A604">
        <v>1603</v>
      </c>
      <c r="B604" t="s">
        <v>25</v>
      </c>
      <c r="D604" t="s">
        <v>22</v>
      </c>
      <c r="E604" t="s">
        <v>55</v>
      </c>
      <c r="F604" t="s">
        <v>30</v>
      </c>
      <c r="G604">
        <v>5</v>
      </c>
      <c r="H604">
        <v>-1000</v>
      </c>
      <c r="I604" t="s">
        <v>122</v>
      </c>
      <c r="J604" t="s">
        <v>43</v>
      </c>
    </row>
    <row r="605" spans="1:10" x14ac:dyDescent="0.3">
      <c r="A605">
        <v>1604</v>
      </c>
      <c r="B605" t="s">
        <v>57</v>
      </c>
      <c r="D605" t="s">
        <v>17</v>
      </c>
      <c r="E605" t="s">
        <v>44</v>
      </c>
      <c r="F605" t="s">
        <v>13</v>
      </c>
      <c r="G605">
        <v>4</v>
      </c>
      <c r="H605">
        <v>-1000</v>
      </c>
      <c r="I605" t="s">
        <v>116</v>
      </c>
      <c r="J605" t="s">
        <v>15</v>
      </c>
    </row>
    <row r="606" spans="1:10" x14ac:dyDescent="0.3">
      <c r="A606">
        <v>1605</v>
      </c>
      <c r="B606" t="s">
        <v>64</v>
      </c>
      <c r="C606">
        <v>26</v>
      </c>
      <c r="D606" t="s">
        <v>11</v>
      </c>
      <c r="E606" t="s">
        <v>55</v>
      </c>
      <c r="F606" t="s">
        <v>36</v>
      </c>
      <c r="G606">
        <v>0</v>
      </c>
      <c r="H606">
        <v>0</v>
      </c>
      <c r="I606" t="s">
        <v>187</v>
      </c>
      <c r="J606" t="s">
        <v>29</v>
      </c>
    </row>
    <row r="607" spans="1:10" x14ac:dyDescent="0.3">
      <c r="A607">
        <v>1606</v>
      </c>
      <c r="B607" t="s">
        <v>25</v>
      </c>
      <c r="C607">
        <v>26</v>
      </c>
      <c r="D607" t="s">
        <v>26</v>
      </c>
      <c r="E607" t="s">
        <v>51</v>
      </c>
      <c r="F607" t="s">
        <v>33</v>
      </c>
      <c r="G607">
        <v>0</v>
      </c>
      <c r="H607">
        <v>0</v>
      </c>
      <c r="I607" t="s">
        <v>166</v>
      </c>
      <c r="J607" t="s">
        <v>29</v>
      </c>
    </row>
    <row r="608" spans="1:10" x14ac:dyDescent="0.3">
      <c r="A608">
        <v>1607</v>
      </c>
      <c r="B608" t="s">
        <v>25</v>
      </c>
      <c r="C608">
        <v>45</v>
      </c>
      <c r="D608" t="s">
        <v>22</v>
      </c>
      <c r="E608" t="s">
        <v>55</v>
      </c>
      <c r="F608" t="s">
        <v>36</v>
      </c>
      <c r="G608">
        <v>0</v>
      </c>
      <c r="H608">
        <v>11742</v>
      </c>
      <c r="I608" t="s">
        <v>228</v>
      </c>
      <c r="J608" t="s">
        <v>43</v>
      </c>
    </row>
    <row r="609" spans="1:10" x14ac:dyDescent="0.3">
      <c r="A609">
        <v>1608</v>
      </c>
      <c r="B609" t="s">
        <v>21</v>
      </c>
      <c r="C609">
        <v>35</v>
      </c>
      <c r="D609" t="s">
        <v>11</v>
      </c>
      <c r="E609" t="s">
        <v>44</v>
      </c>
      <c r="F609" t="s">
        <v>30</v>
      </c>
      <c r="G609">
        <v>0</v>
      </c>
      <c r="H609">
        <v>0</v>
      </c>
      <c r="I609" t="s">
        <v>229</v>
      </c>
      <c r="J609" t="s">
        <v>43</v>
      </c>
    </row>
    <row r="610" spans="1:10" x14ac:dyDescent="0.3">
      <c r="A610">
        <v>1609</v>
      </c>
      <c r="B610" t="s">
        <v>48</v>
      </c>
      <c r="D610" t="s">
        <v>26</v>
      </c>
      <c r="E610" t="s">
        <v>41</v>
      </c>
      <c r="F610" t="s">
        <v>13</v>
      </c>
      <c r="G610">
        <v>0</v>
      </c>
      <c r="H610">
        <v>0</v>
      </c>
      <c r="I610" t="s">
        <v>156</v>
      </c>
      <c r="J610" t="s">
        <v>43</v>
      </c>
    </row>
    <row r="611" spans="1:10" x14ac:dyDescent="0.3">
      <c r="A611">
        <v>1610</v>
      </c>
      <c r="B611" t="s">
        <v>46</v>
      </c>
      <c r="D611" t="s">
        <v>40</v>
      </c>
      <c r="E611" t="s">
        <v>51</v>
      </c>
      <c r="F611" t="s">
        <v>33</v>
      </c>
      <c r="G611">
        <v>0</v>
      </c>
      <c r="H611">
        <v>-1000</v>
      </c>
      <c r="I611" t="s">
        <v>66</v>
      </c>
      <c r="J611" t="s">
        <v>20</v>
      </c>
    </row>
    <row r="612" spans="1:10" x14ac:dyDescent="0.3">
      <c r="A612">
        <v>1611</v>
      </c>
      <c r="B612" t="s">
        <v>35</v>
      </c>
      <c r="C612">
        <v>25</v>
      </c>
      <c r="D612" t="s">
        <v>40</v>
      </c>
      <c r="E612" t="s">
        <v>55</v>
      </c>
      <c r="F612" t="s">
        <v>36</v>
      </c>
      <c r="G612">
        <v>4</v>
      </c>
      <c r="H612">
        <v>-1000</v>
      </c>
      <c r="I612" t="s">
        <v>97</v>
      </c>
      <c r="J612" t="s">
        <v>43</v>
      </c>
    </row>
    <row r="613" spans="1:10" x14ac:dyDescent="0.3">
      <c r="A613">
        <v>1612</v>
      </c>
      <c r="B613" t="s">
        <v>25</v>
      </c>
      <c r="D613" t="s">
        <v>40</v>
      </c>
      <c r="E613" t="s">
        <v>55</v>
      </c>
      <c r="F613" t="s">
        <v>33</v>
      </c>
      <c r="G613">
        <v>3</v>
      </c>
      <c r="H613">
        <v>0</v>
      </c>
      <c r="I613" t="s">
        <v>221</v>
      </c>
      <c r="J613" t="s">
        <v>29</v>
      </c>
    </row>
    <row r="614" spans="1:10" x14ac:dyDescent="0.3">
      <c r="A614">
        <v>1613</v>
      </c>
      <c r="B614" t="s">
        <v>78</v>
      </c>
      <c r="D614" t="s">
        <v>17</v>
      </c>
      <c r="E614" t="s">
        <v>41</v>
      </c>
      <c r="F614" t="s">
        <v>36</v>
      </c>
      <c r="G614">
        <v>5</v>
      </c>
      <c r="H614">
        <v>-1000</v>
      </c>
      <c r="I614" t="s">
        <v>180</v>
      </c>
      <c r="J614" t="s">
        <v>45</v>
      </c>
    </row>
    <row r="615" spans="1:10" x14ac:dyDescent="0.3">
      <c r="A615">
        <v>1614</v>
      </c>
      <c r="B615" t="s">
        <v>57</v>
      </c>
      <c r="C615">
        <v>22</v>
      </c>
      <c r="D615" t="s">
        <v>40</v>
      </c>
      <c r="E615" t="s">
        <v>27</v>
      </c>
      <c r="F615" t="s">
        <v>36</v>
      </c>
      <c r="G615">
        <v>0</v>
      </c>
      <c r="H615">
        <v>6865</v>
      </c>
      <c r="I615" t="s">
        <v>14</v>
      </c>
      <c r="J615" t="s">
        <v>45</v>
      </c>
    </row>
    <row r="616" spans="1:10" x14ac:dyDescent="0.3">
      <c r="A616">
        <v>1615</v>
      </c>
      <c r="B616" t="s">
        <v>10</v>
      </c>
      <c r="D616" t="s">
        <v>17</v>
      </c>
      <c r="E616" t="s">
        <v>41</v>
      </c>
      <c r="F616" t="s">
        <v>33</v>
      </c>
      <c r="G616">
        <v>0</v>
      </c>
      <c r="H616">
        <v>-1000</v>
      </c>
      <c r="I616" t="s">
        <v>136</v>
      </c>
      <c r="J616" t="s">
        <v>29</v>
      </c>
    </row>
    <row r="617" spans="1:10" x14ac:dyDescent="0.3">
      <c r="A617">
        <v>1616</v>
      </c>
      <c r="B617" t="s">
        <v>78</v>
      </c>
      <c r="D617" t="s">
        <v>40</v>
      </c>
      <c r="E617" t="s">
        <v>55</v>
      </c>
      <c r="F617" t="s">
        <v>36</v>
      </c>
      <c r="G617">
        <v>3</v>
      </c>
      <c r="H617">
        <v>20595</v>
      </c>
      <c r="I617" t="s">
        <v>151</v>
      </c>
      <c r="J617" t="s">
        <v>43</v>
      </c>
    </row>
    <row r="618" spans="1:10" x14ac:dyDescent="0.3">
      <c r="A618">
        <v>1617</v>
      </c>
      <c r="B618" t="s">
        <v>38</v>
      </c>
      <c r="C618">
        <v>30</v>
      </c>
      <c r="D618" t="s">
        <v>22</v>
      </c>
      <c r="E618" t="s">
        <v>41</v>
      </c>
      <c r="F618" t="s">
        <v>30</v>
      </c>
      <c r="G618">
        <v>4</v>
      </c>
      <c r="H618">
        <v>0</v>
      </c>
      <c r="I618" t="s">
        <v>97</v>
      </c>
      <c r="J618" t="s">
        <v>45</v>
      </c>
    </row>
    <row r="619" spans="1:10" x14ac:dyDescent="0.3">
      <c r="A619">
        <v>1618</v>
      </c>
      <c r="B619" t="s">
        <v>21</v>
      </c>
      <c r="C619">
        <v>23</v>
      </c>
      <c r="D619" t="s">
        <v>11</v>
      </c>
      <c r="E619" t="s">
        <v>18</v>
      </c>
      <c r="F619" t="s">
        <v>33</v>
      </c>
      <c r="G619">
        <v>0</v>
      </c>
      <c r="H619">
        <v>0</v>
      </c>
      <c r="I619" t="s">
        <v>178</v>
      </c>
      <c r="J619" t="s">
        <v>43</v>
      </c>
    </row>
    <row r="620" spans="1:10" x14ac:dyDescent="0.3">
      <c r="A620">
        <v>1619</v>
      </c>
      <c r="B620" t="s">
        <v>68</v>
      </c>
      <c r="D620" t="s">
        <v>11</v>
      </c>
      <c r="E620" t="s">
        <v>12</v>
      </c>
      <c r="F620" t="s">
        <v>33</v>
      </c>
      <c r="G620">
        <v>0</v>
      </c>
      <c r="H620">
        <v>-1000</v>
      </c>
      <c r="I620" t="s">
        <v>50</v>
      </c>
      <c r="J620" t="s">
        <v>43</v>
      </c>
    </row>
    <row r="621" spans="1:10" x14ac:dyDescent="0.3">
      <c r="A621">
        <v>1620</v>
      </c>
      <c r="B621" t="s">
        <v>78</v>
      </c>
      <c r="C621">
        <v>44</v>
      </c>
      <c r="D621" t="s">
        <v>22</v>
      </c>
      <c r="E621" t="s">
        <v>23</v>
      </c>
      <c r="F621" t="s">
        <v>36</v>
      </c>
      <c r="G621">
        <v>1</v>
      </c>
      <c r="H621">
        <v>31864</v>
      </c>
      <c r="I621" t="s">
        <v>164</v>
      </c>
      <c r="J621" t="s">
        <v>45</v>
      </c>
    </row>
    <row r="622" spans="1:10" x14ac:dyDescent="0.3">
      <c r="A622">
        <v>1621</v>
      </c>
      <c r="B622" t="s">
        <v>25</v>
      </c>
      <c r="C622">
        <v>42</v>
      </c>
      <c r="D622" t="s">
        <v>11</v>
      </c>
      <c r="E622" t="s">
        <v>27</v>
      </c>
      <c r="F622" t="s">
        <v>36</v>
      </c>
      <c r="G622">
        <v>0</v>
      </c>
      <c r="H622">
        <v>-1000</v>
      </c>
      <c r="I622" t="s">
        <v>220</v>
      </c>
      <c r="J622" t="s">
        <v>20</v>
      </c>
    </row>
    <row r="623" spans="1:10" x14ac:dyDescent="0.3">
      <c r="A623">
        <v>1622</v>
      </c>
      <c r="B623" t="s">
        <v>59</v>
      </c>
      <c r="D623" t="s">
        <v>17</v>
      </c>
      <c r="E623" t="s">
        <v>44</v>
      </c>
      <c r="F623" t="s">
        <v>36</v>
      </c>
      <c r="G623">
        <v>4</v>
      </c>
      <c r="H623">
        <v>39918</v>
      </c>
      <c r="I623" t="s">
        <v>208</v>
      </c>
      <c r="J623" t="s">
        <v>43</v>
      </c>
    </row>
    <row r="624" spans="1:10" x14ac:dyDescent="0.3">
      <c r="A624">
        <v>1623</v>
      </c>
      <c r="B624" t="s">
        <v>32</v>
      </c>
      <c r="C624">
        <v>32</v>
      </c>
      <c r="D624" t="s">
        <v>22</v>
      </c>
      <c r="E624" t="s">
        <v>55</v>
      </c>
      <c r="F624" t="s">
        <v>33</v>
      </c>
      <c r="G624">
        <v>1</v>
      </c>
      <c r="H624">
        <v>-1000</v>
      </c>
      <c r="I624" t="s">
        <v>107</v>
      </c>
      <c r="J624" t="s">
        <v>15</v>
      </c>
    </row>
    <row r="625" spans="1:10" x14ac:dyDescent="0.3">
      <c r="A625">
        <v>1624</v>
      </c>
      <c r="B625" t="s">
        <v>69</v>
      </c>
      <c r="C625">
        <v>21</v>
      </c>
      <c r="D625" t="s">
        <v>26</v>
      </c>
      <c r="E625" t="s">
        <v>18</v>
      </c>
      <c r="F625" t="s">
        <v>30</v>
      </c>
      <c r="G625">
        <v>1</v>
      </c>
      <c r="H625">
        <v>13078</v>
      </c>
      <c r="I625" t="s">
        <v>181</v>
      </c>
      <c r="J625" t="s">
        <v>43</v>
      </c>
    </row>
    <row r="626" spans="1:10" x14ac:dyDescent="0.3">
      <c r="A626">
        <v>1625</v>
      </c>
      <c r="B626" t="s">
        <v>54</v>
      </c>
      <c r="D626" t="s">
        <v>22</v>
      </c>
      <c r="E626" t="s">
        <v>55</v>
      </c>
      <c r="F626" t="s">
        <v>33</v>
      </c>
      <c r="G626">
        <v>2</v>
      </c>
      <c r="H626">
        <v>36623</v>
      </c>
      <c r="I626" t="s">
        <v>193</v>
      </c>
      <c r="J626" t="s">
        <v>43</v>
      </c>
    </row>
    <row r="627" spans="1:10" x14ac:dyDescent="0.3">
      <c r="A627">
        <v>1626</v>
      </c>
      <c r="B627" t="s">
        <v>69</v>
      </c>
      <c r="C627">
        <v>33</v>
      </c>
      <c r="D627" t="s">
        <v>22</v>
      </c>
      <c r="E627" t="s">
        <v>27</v>
      </c>
      <c r="F627" t="s">
        <v>36</v>
      </c>
      <c r="G627">
        <v>0</v>
      </c>
      <c r="H627">
        <v>44642</v>
      </c>
      <c r="I627" t="s">
        <v>101</v>
      </c>
      <c r="J627" t="s">
        <v>15</v>
      </c>
    </row>
    <row r="628" spans="1:10" x14ac:dyDescent="0.3">
      <c r="A628">
        <v>1627</v>
      </c>
      <c r="B628" t="s">
        <v>57</v>
      </c>
      <c r="D628" t="s">
        <v>26</v>
      </c>
      <c r="E628" t="s">
        <v>55</v>
      </c>
      <c r="F628" t="s">
        <v>30</v>
      </c>
      <c r="G628">
        <v>4</v>
      </c>
      <c r="H628">
        <v>17404</v>
      </c>
      <c r="I628" t="s">
        <v>155</v>
      </c>
      <c r="J628" t="s">
        <v>20</v>
      </c>
    </row>
    <row r="629" spans="1:10" x14ac:dyDescent="0.3">
      <c r="A629">
        <v>1628</v>
      </c>
      <c r="B629" t="s">
        <v>59</v>
      </c>
      <c r="C629">
        <v>31</v>
      </c>
      <c r="D629" t="s">
        <v>26</v>
      </c>
      <c r="E629" t="s">
        <v>44</v>
      </c>
      <c r="F629" t="s">
        <v>13</v>
      </c>
      <c r="G629">
        <v>4</v>
      </c>
      <c r="H629">
        <v>-1000</v>
      </c>
      <c r="I629" t="s">
        <v>201</v>
      </c>
      <c r="J629" t="s">
        <v>45</v>
      </c>
    </row>
    <row r="630" spans="1:10" x14ac:dyDescent="0.3">
      <c r="A630">
        <v>1629</v>
      </c>
      <c r="B630" t="s">
        <v>21</v>
      </c>
      <c r="C630">
        <v>31</v>
      </c>
      <c r="D630" t="s">
        <v>22</v>
      </c>
      <c r="E630" t="s">
        <v>51</v>
      </c>
      <c r="F630" t="s">
        <v>33</v>
      </c>
      <c r="G630">
        <v>0</v>
      </c>
      <c r="H630">
        <v>0</v>
      </c>
      <c r="I630" t="s">
        <v>49</v>
      </c>
      <c r="J630" t="s">
        <v>45</v>
      </c>
    </row>
    <row r="631" spans="1:10" x14ac:dyDescent="0.3">
      <c r="A631">
        <v>1630</v>
      </c>
      <c r="B631" t="s">
        <v>64</v>
      </c>
      <c r="C631">
        <v>41</v>
      </c>
      <c r="D631" t="s">
        <v>17</v>
      </c>
      <c r="E631" t="s">
        <v>12</v>
      </c>
      <c r="F631" t="s">
        <v>33</v>
      </c>
      <c r="G631">
        <v>0</v>
      </c>
      <c r="H631">
        <v>26838</v>
      </c>
      <c r="I631" t="s">
        <v>125</v>
      </c>
      <c r="J631" t="s">
        <v>15</v>
      </c>
    </row>
    <row r="632" spans="1:10" x14ac:dyDescent="0.3">
      <c r="A632">
        <v>1631</v>
      </c>
      <c r="B632" t="s">
        <v>62</v>
      </c>
      <c r="D632" t="s">
        <v>11</v>
      </c>
      <c r="E632" t="s">
        <v>18</v>
      </c>
      <c r="F632" t="s">
        <v>33</v>
      </c>
      <c r="G632">
        <v>1</v>
      </c>
      <c r="H632">
        <v>17149</v>
      </c>
      <c r="I632" t="s">
        <v>187</v>
      </c>
      <c r="J632" t="s">
        <v>20</v>
      </c>
    </row>
    <row r="633" spans="1:10" x14ac:dyDescent="0.3">
      <c r="A633">
        <v>1632</v>
      </c>
      <c r="B633" t="s">
        <v>54</v>
      </c>
      <c r="D633" t="s">
        <v>17</v>
      </c>
      <c r="E633" t="s">
        <v>55</v>
      </c>
      <c r="F633" t="s">
        <v>36</v>
      </c>
      <c r="G633">
        <v>0</v>
      </c>
      <c r="H633">
        <v>0</v>
      </c>
      <c r="I633" t="s">
        <v>89</v>
      </c>
      <c r="J633" t="s">
        <v>15</v>
      </c>
    </row>
    <row r="634" spans="1:10" x14ac:dyDescent="0.3">
      <c r="A634">
        <v>1633</v>
      </c>
      <c r="B634" t="s">
        <v>48</v>
      </c>
      <c r="C634">
        <v>41</v>
      </c>
      <c r="D634" t="s">
        <v>22</v>
      </c>
      <c r="E634" t="s">
        <v>12</v>
      </c>
      <c r="F634" t="s">
        <v>30</v>
      </c>
      <c r="G634">
        <v>0</v>
      </c>
      <c r="H634">
        <v>15218</v>
      </c>
      <c r="I634" t="s">
        <v>70</v>
      </c>
      <c r="J634" t="s">
        <v>43</v>
      </c>
    </row>
    <row r="635" spans="1:10" x14ac:dyDescent="0.3">
      <c r="A635">
        <v>1634</v>
      </c>
      <c r="B635" t="s">
        <v>73</v>
      </c>
      <c r="C635">
        <v>35</v>
      </c>
      <c r="D635" t="s">
        <v>26</v>
      </c>
      <c r="E635" t="s">
        <v>41</v>
      </c>
      <c r="F635" t="s">
        <v>36</v>
      </c>
      <c r="G635">
        <v>0</v>
      </c>
      <c r="H635">
        <v>-1000</v>
      </c>
      <c r="I635" t="s">
        <v>94</v>
      </c>
      <c r="J635" t="s">
        <v>15</v>
      </c>
    </row>
    <row r="636" spans="1:10" x14ac:dyDescent="0.3">
      <c r="A636">
        <v>1635</v>
      </c>
      <c r="B636" t="s">
        <v>57</v>
      </c>
      <c r="C636">
        <v>42</v>
      </c>
      <c r="D636" t="s">
        <v>40</v>
      </c>
      <c r="E636" t="s">
        <v>23</v>
      </c>
      <c r="F636" t="s">
        <v>30</v>
      </c>
      <c r="G636">
        <v>0</v>
      </c>
      <c r="H636">
        <v>38805</v>
      </c>
      <c r="I636" t="s">
        <v>143</v>
      </c>
      <c r="J636" t="s">
        <v>20</v>
      </c>
    </row>
    <row r="637" spans="1:10" x14ac:dyDescent="0.3">
      <c r="A637">
        <v>1636</v>
      </c>
      <c r="B637" t="s">
        <v>38</v>
      </c>
      <c r="C637">
        <v>39</v>
      </c>
      <c r="D637" t="s">
        <v>11</v>
      </c>
      <c r="E637" t="s">
        <v>44</v>
      </c>
      <c r="F637" t="s">
        <v>33</v>
      </c>
      <c r="G637">
        <v>0</v>
      </c>
      <c r="H637">
        <v>0</v>
      </c>
      <c r="I637" t="s">
        <v>218</v>
      </c>
      <c r="J637" t="s">
        <v>20</v>
      </c>
    </row>
    <row r="638" spans="1:10" x14ac:dyDescent="0.3">
      <c r="A638">
        <v>1637</v>
      </c>
      <c r="B638" t="s">
        <v>68</v>
      </c>
      <c r="C638">
        <v>18</v>
      </c>
      <c r="D638" t="s">
        <v>22</v>
      </c>
      <c r="E638" t="s">
        <v>27</v>
      </c>
      <c r="F638" t="s">
        <v>13</v>
      </c>
      <c r="G638">
        <v>4</v>
      </c>
      <c r="H638">
        <v>27021</v>
      </c>
      <c r="I638" t="s">
        <v>119</v>
      </c>
      <c r="J638" t="s">
        <v>29</v>
      </c>
    </row>
    <row r="639" spans="1:10" x14ac:dyDescent="0.3">
      <c r="A639">
        <v>1638</v>
      </c>
      <c r="B639" t="s">
        <v>25</v>
      </c>
      <c r="D639" t="s">
        <v>40</v>
      </c>
      <c r="E639" t="s">
        <v>23</v>
      </c>
      <c r="F639" t="s">
        <v>36</v>
      </c>
      <c r="G639">
        <v>0</v>
      </c>
      <c r="H639">
        <v>30105</v>
      </c>
      <c r="I639" t="s">
        <v>133</v>
      </c>
      <c r="J639" t="s">
        <v>43</v>
      </c>
    </row>
    <row r="640" spans="1:10" x14ac:dyDescent="0.3">
      <c r="A640">
        <v>1639</v>
      </c>
      <c r="B640" t="s">
        <v>16</v>
      </c>
      <c r="C640">
        <v>24</v>
      </c>
      <c r="D640" t="s">
        <v>40</v>
      </c>
      <c r="E640" t="s">
        <v>44</v>
      </c>
      <c r="F640" t="s">
        <v>30</v>
      </c>
      <c r="G640">
        <v>3</v>
      </c>
      <c r="H640">
        <v>19891</v>
      </c>
      <c r="I640" t="s">
        <v>218</v>
      </c>
      <c r="J640" t="s">
        <v>29</v>
      </c>
    </row>
    <row r="641" spans="1:10" x14ac:dyDescent="0.3">
      <c r="A641">
        <v>1640</v>
      </c>
      <c r="B641" t="s">
        <v>38</v>
      </c>
      <c r="C641">
        <v>20</v>
      </c>
      <c r="D641" t="s">
        <v>11</v>
      </c>
      <c r="E641" t="s">
        <v>23</v>
      </c>
      <c r="F641" t="s">
        <v>33</v>
      </c>
      <c r="G641">
        <v>3</v>
      </c>
      <c r="H641">
        <v>0</v>
      </c>
      <c r="I641" t="s">
        <v>220</v>
      </c>
      <c r="J641" t="s">
        <v>43</v>
      </c>
    </row>
    <row r="642" spans="1:10" x14ac:dyDescent="0.3">
      <c r="A642">
        <v>1641</v>
      </c>
      <c r="B642" t="s">
        <v>62</v>
      </c>
      <c r="C642">
        <v>39</v>
      </c>
      <c r="D642" t="s">
        <v>11</v>
      </c>
      <c r="E642" t="s">
        <v>27</v>
      </c>
      <c r="F642" t="s">
        <v>13</v>
      </c>
      <c r="G642">
        <v>0</v>
      </c>
      <c r="H642">
        <v>-1000</v>
      </c>
      <c r="I642" t="s">
        <v>50</v>
      </c>
      <c r="J642" t="s">
        <v>45</v>
      </c>
    </row>
    <row r="643" spans="1:10" x14ac:dyDescent="0.3">
      <c r="A643">
        <v>1642</v>
      </c>
      <c r="B643" t="s">
        <v>10</v>
      </c>
      <c r="C643">
        <v>48</v>
      </c>
      <c r="D643" t="s">
        <v>40</v>
      </c>
      <c r="E643" t="s">
        <v>12</v>
      </c>
      <c r="F643" t="s">
        <v>33</v>
      </c>
      <c r="G643">
        <v>2</v>
      </c>
      <c r="H643">
        <v>-1000</v>
      </c>
      <c r="I643" t="s">
        <v>34</v>
      </c>
      <c r="J643" t="s">
        <v>20</v>
      </c>
    </row>
    <row r="644" spans="1:10" x14ac:dyDescent="0.3">
      <c r="A644">
        <v>1643</v>
      </c>
      <c r="B644" t="s">
        <v>32</v>
      </c>
      <c r="D644" t="s">
        <v>26</v>
      </c>
      <c r="E644" t="s">
        <v>23</v>
      </c>
      <c r="F644" t="s">
        <v>30</v>
      </c>
      <c r="G644">
        <v>3</v>
      </c>
      <c r="H644">
        <v>-1000</v>
      </c>
      <c r="I644" t="s">
        <v>139</v>
      </c>
      <c r="J644" t="s">
        <v>43</v>
      </c>
    </row>
    <row r="645" spans="1:10" x14ac:dyDescent="0.3">
      <c r="A645">
        <v>1644</v>
      </c>
      <c r="B645" t="s">
        <v>16</v>
      </c>
      <c r="D645" t="s">
        <v>11</v>
      </c>
      <c r="E645" t="s">
        <v>44</v>
      </c>
      <c r="F645" t="s">
        <v>36</v>
      </c>
      <c r="G645">
        <v>0</v>
      </c>
      <c r="H645">
        <v>44158</v>
      </c>
      <c r="I645" t="s">
        <v>56</v>
      </c>
      <c r="J645" t="s">
        <v>43</v>
      </c>
    </row>
    <row r="646" spans="1:10" x14ac:dyDescent="0.3">
      <c r="A646">
        <v>1645</v>
      </c>
      <c r="B646" t="s">
        <v>73</v>
      </c>
      <c r="D646" t="s">
        <v>26</v>
      </c>
      <c r="E646" t="s">
        <v>18</v>
      </c>
      <c r="F646" t="s">
        <v>13</v>
      </c>
      <c r="G646">
        <v>4</v>
      </c>
      <c r="H646">
        <v>-1000</v>
      </c>
      <c r="I646" t="s">
        <v>104</v>
      </c>
      <c r="J646" t="s">
        <v>43</v>
      </c>
    </row>
    <row r="647" spans="1:10" x14ac:dyDescent="0.3">
      <c r="A647">
        <v>1646</v>
      </c>
      <c r="B647" t="s">
        <v>68</v>
      </c>
      <c r="C647">
        <v>26</v>
      </c>
      <c r="D647" t="s">
        <v>40</v>
      </c>
      <c r="E647" t="s">
        <v>27</v>
      </c>
      <c r="F647" t="s">
        <v>30</v>
      </c>
      <c r="G647">
        <v>0</v>
      </c>
      <c r="H647">
        <v>10640</v>
      </c>
      <c r="I647" t="s">
        <v>95</v>
      </c>
      <c r="J647" t="s">
        <v>45</v>
      </c>
    </row>
    <row r="648" spans="1:10" x14ac:dyDescent="0.3">
      <c r="A648">
        <v>1647</v>
      </c>
      <c r="B648" t="s">
        <v>57</v>
      </c>
      <c r="D648" t="s">
        <v>26</v>
      </c>
      <c r="E648" t="s">
        <v>27</v>
      </c>
      <c r="F648" t="s">
        <v>36</v>
      </c>
      <c r="G648">
        <v>1</v>
      </c>
      <c r="H648">
        <v>39953</v>
      </c>
      <c r="I648" t="s">
        <v>81</v>
      </c>
      <c r="J648" t="s">
        <v>15</v>
      </c>
    </row>
    <row r="649" spans="1:10" x14ac:dyDescent="0.3">
      <c r="A649">
        <v>1648</v>
      </c>
      <c r="B649" t="s">
        <v>73</v>
      </c>
      <c r="C649">
        <v>39</v>
      </c>
      <c r="D649" t="s">
        <v>11</v>
      </c>
      <c r="E649" t="s">
        <v>27</v>
      </c>
      <c r="F649" t="s">
        <v>13</v>
      </c>
      <c r="G649">
        <v>0</v>
      </c>
      <c r="H649">
        <v>13487</v>
      </c>
      <c r="I649" t="s">
        <v>107</v>
      </c>
      <c r="J649" t="s">
        <v>45</v>
      </c>
    </row>
    <row r="650" spans="1:10" x14ac:dyDescent="0.3">
      <c r="A650">
        <v>1649</v>
      </c>
      <c r="B650" t="s">
        <v>25</v>
      </c>
      <c r="C650">
        <v>38</v>
      </c>
      <c r="D650" t="s">
        <v>22</v>
      </c>
      <c r="E650" t="s">
        <v>51</v>
      </c>
      <c r="F650" t="s">
        <v>33</v>
      </c>
      <c r="G650">
        <v>0</v>
      </c>
      <c r="H650">
        <v>0</v>
      </c>
      <c r="I650" t="s">
        <v>162</v>
      </c>
      <c r="J650" t="s">
        <v>43</v>
      </c>
    </row>
    <row r="651" spans="1:10" x14ac:dyDescent="0.3">
      <c r="A651">
        <v>1650</v>
      </c>
      <c r="B651" t="s">
        <v>57</v>
      </c>
      <c r="D651" t="s">
        <v>40</v>
      </c>
      <c r="E651" t="s">
        <v>27</v>
      </c>
      <c r="F651" t="s">
        <v>33</v>
      </c>
      <c r="G651">
        <v>0</v>
      </c>
      <c r="H651">
        <v>0</v>
      </c>
      <c r="I651" t="s">
        <v>113</v>
      </c>
      <c r="J651" t="s">
        <v>45</v>
      </c>
    </row>
    <row r="652" spans="1:10" x14ac:dyDescent="0.3">
      <c r="A652">
        <v>1651</v>
      </c>
      <c r="B652" t="s">
        <v>35</v>
      </c>
      <c r="C652">
        <v>22</v>
      </c>
      <c r="D652" t="s">
        <v>11</v>
      </c>
      <c r="E652" t="s">
        <v>12</v>
      </c>
      <c r="F652" t="s">
        <v>30</v>
      </c>
      <c r="G652">
        <v>3</v>
      </c>
      <c r="H652">
        <v>13799</v>
      </c>
      <c r="I652" t="s">
        <v>226</v>
      </c>
      <c r="J652" t="s">
        <v>43</v>
      </c>
    </row>
    <row r="653" spans="1:10" x14ac:dyDescent="0.3">
      <c r="A653">
        <v>1652</v>
      </c>
      <c r="B653" t="s">
        <v>16</v>
      </c>
      <c r="C653">
        <v>22</v>
      </c>
      <c r="D653" t="s">
        <v>17</v>
      </c>
      <c r="E653" t="s">
        <v>41</v>
      </c>
      <c r="F653" t="s">
        <v>30</v>
      </c>
      <c r="G653">
        <v>0</v>
      </c>
      <c r="H653">
        <v>-1000</v>
      </c>
      <c r="I653" t="s">
        <v>223</v>
      </c>
      <c r="J653" t="s">
        <v>45</v>
      </c>
    </row>
    <row r="654" spans="1:10" x14ac:dyDescent="0.3">
      <c r="A654">
        <v>1653</v>
      </c>
      <c r="B654" t="s">
        <v>10</v>
      </c>
      <c r="D654" t="s">
        <v>11</v>
      </c>
      <c r="E654" t="s">
        <v>27</v>
      </c>
      <c r="F654" t="s">
        <v>36</v>
      </c>
      <c r="G654">
        <v>0</v>
      </c>
      <c r="H654">
        <v>0</v>
      </c>
      <c r="I654" t="s">
        <v>115</v>
      </c>
      <c r="J654" t="s">
        <v>43</v>
      </c>
    </row>
    <row r="655" spans="1:10" x14ac:dyDescent="0.3">
      <c r="A655">
        <v>1654</v>
      </c>
      <c r="B655" t="s">
        <v>46</v>
      </c>
      <c r="D655" t="s">
        <v>26</v>
      </c>
      <c r="E655" t="s">
        <v>51</v>
      </c>
      <c r="F655" t="s">
        <v>36</v>
      </c>
      <c r="G655">
        <v>5</v>
      </c>
      <c r="H655">
        <v>0</v>
      </c>
      <c r="I655" t="s">
        <v>126</v>
      </c>
      <c r="J655" t="s">
        <v>43</v>
      </c>
    </row>
    <row r="656" spans="1:10" x14ac:dyDescent="0.3">
      <c r="A656">
        <v>1655</v>
      </c>
      <c r="B656" t="s">
        <v>64</v>
      </c>
      <c r="D656" t="s">
        <v>26</v>
      </c>
      <c r="E656" t="s">
        <v>18</v>
      </c>
      <c r="F656" t="s">
        <v>30</v>
      </c>
      <c r="G656">
        <v>1</v>
      </c>
      <c r="H656">
        <v>33104</v>
      </c>
      <c r="I656" t="s">
        <v>216</v>
      </c>
      <c r="J656" t="s">
        <v>43</v>
      </c>
    </row>
    <row r="657" spans="1:10" x14ac:dyDescent="0.3">
      <c r="A657">
        <v>1656</v>
      </c>
      <c r="B657" t="s">
        <v>73</v>
      </c>
      <c r="D657" t="s">
        <v>26</v>
      </c>
      <c r="E657" t="s">
        <v>27</v>
      </c>
      <c r="F657" t="s">
        <v>30</v>
      </c>
      <c r="G657">
        <v>0</v>
      </c>
      <c r="H657">
        <v>-1000</v>
      </c>
      <c r="I657" t="s">
        <v>127</v>
      </c>
      <c r="J657" t="s">
        <v>43</v>
      </c>
    </row>
    <row r="658" spans="1:10" x14ac:dyDescent="0.3">
      <c r="A658">
        <v>1657</v>
      </c>
      <c r="B658" t="s">
        <v>16</v>
      </c>
      <c r="D658" t="s">
        <v>11</v>
      </c>
      <c r="E658" t="s">
        <v>27</v>
      </c>
      <c r="F658" t="s">
        <v>36</v>
      </c>
      <c r="G658">
        <v>3</v>
      </c>
      <c r="H658">
        <v>39427</v>
      </c>
      <c r="I658" t="s">
        <v>116</v>
      </c>
      <c r="J658" t="s">
        <v>29</v>
      </c>
    </row>
    <row r="659" spans="1:10" x14ac:dyDescent="0.3">
      <c r="A659">
        <v>1658</v>
      </c>
      <c r="B659" t="s">
        <v>54</v>
      </c>
      <c r="D659" t="s">
        <v>17</v>
      </c>
      <c r="E659" t="s">
        <v>18</v>
      </c>
      <c r="F659" t="s">
        <v>33</v>
      </c>
      <c r="G659">
        <v>5</v>
      </c>
      <c r="H659">
        <v>-1000</v>
      </c>
      <c r="I659" t="s">
        <v>89</v>
      </c>
      <c r="J659" t="s">
        <v>29</v>
      </c>
    </row>
    <row r="660" spans="1:10" x14ac:dyDescent="0.3">
      <c r="A660">
        <v>1659</v>
      </c>
      <c r="B660" t="s">
        <v>57</v>
      </c>
      <c r="C660">
        <v>42</v>
      </c>
      <c r="D660" t="s">
        <v>26</v>
      </c>
      <c r="E660" t="s">
        <v>51</v>
      </c>
      <c r="F660" t="s">
        <v>36</v>
      </c>
      <c r="G660">
        <v>2</v>
      </c>
      <c r="H660">
        <v>-1000</v>
      </c>
      <c r="I660" t="s">
        <v>146</v>
      </c>
      <c r="J660" t="s">
        <v>43</v>
      </c>
    </row>
    <row r="661" spans="1:10" x14ac:dyDescent="0.3">
      <c r="A661">
        <v>1660</v>
      </c>
      <c r="B661" t="s">
        <v>59</v>
      </c>
      <c r="C661">
        <v>34</v>
      </c>
      <c r="D661" t="s">
        <v>11</v>
      </c>
      <c r="E661" t="s">
        <v>18</v>
      </c>
      <c r="F661" t="s">
        <v>36</v>
      </c>
      <c r="G661">
        <v>4</v>
      </c>
      <c r="H661">
        <v>-1000</v>
      </c>
      <c r="I661" t="s">
        <v>184</v>
      </c>
      <c r="J661" t="s">
        <v>15</v>
      </c>
    </row>
    <row r="662" spans="1:10" x14ac:dyDescent="0.3">
      <c r="A662">
        <v>1661</v>
      </c>
      <c r="B662" t="s">
        <v>73</v>
      </c>
      <c r="C662">
        <v>47</v>
      </c>
      <c r="D662" t="s">
        <v>17</v>
      </c>
      <c r="E662" t="s">
        <v>41</v>
      </c>
      <c r="F662" t="s">
        <v>36</v>
      </c>
      <c r="G662">
        <v>3</v>
      </c>
      <c r="H662">
        <v>0</v>
      </c>
      <c r="I662" t="s">
        <v>225</v>
      </c>
      <c r="J662" t="s">
        <v>29</v>
      </c>
    </row>
    <row r="663" spans="1:10" x14ac:dyDescent="0.3">
      <c r="A663">
        <v>1662</v>
      </c>
      <c r="B663" t="s">
        <v>78</v>
      </c>
      <c r="D663" t="s">
        <v>11</v>
      </c>
      <c r="E663" t="s">
        <v>55</v>
      </c>
      <c r="F663" t="s">
        <v>33</v>
      </c>
      <c r="G663">
        <v>0</v>
      </c>
      <c r="H663">
        <v>-1000</v>
      </c>
      <c r="I663" t="s">
        <v>90</v>
      </c>
      <c r="J663" t="s">
        <v>43</v>
      </c>
    </row>
    <row r="664" spans="1:10" x14ac:dyDescent="0.3">
      <c r="A664">
        <v>1663</v>
      </c>
      <c r="B664" t="s">
        <v>59</v>
      </c>
      <c r="C664">
        <v>44</v>
      </c>
      <c r="D664" t="s">
        <v>40</v>
      </c>
      <c r="E664" t="s">
        <v>18</v>
      </c>
      <c r="F664" t="s">
        <v>30</v>
      </c>
      <c r="G664">
        <v>4</v>
      </c>
      <c r="H664">
        <v>0</v>
      </c>
      <c r="I664" t="s">
        <v>183</v>
      </c>
      <c r="J664" t="s">
        <v>29</v>
      </c>
    </row>
    <row r="665" spans="1:10" x14ac:dyDescent="0.3">
      <c r="A665">
        <v>1664</v>
      </c>
      <c r="B665" t="s">
        <v>38</v>
      </c>
      <c r="C665">
        <v>20</v>
      </c>
      <c r="D665" t="s">
        <v>22</v>
      </c>
      <c r="E665" t="s">
        <v>41</v>
      </c>
      <c r="F665" t="s">
        <v>30</v>
      </c>
      <c r="G665">
        <v>2</v>
      </c>
      <c r="H665">
        <v>-1000</v>
      </c>
      <c r="I665" t="s">
        <v>214</v>
      </c>
      <c r="J665" t="s">
        <v>43</v>
      </c>
    </row>
    <row r="666" spans="1:10" x14ac:dyDescent="0.3">
      <c r="A666">
        <v>1665</v>
      </c>
      <c r="B666" t="s">
        <v>62</v>
      </c>
      <c r="C666">
        <v>19</v>
      </c>
      <c r="D666" t="s">
        <v>22</v>
      </c>
      <c r="E666" t="s">
        <v>18</v>
      </c>
      <c r="F666" t="s">
        <v>36</v>
      </c>
      <c r="G666">
        <v>0</v>
      </c>
      <c r="H666">
        <v>2756</v>
      </c>
      <c r="I666" t="s">
        <v>159</v>
      </c>
      <c r="J666" t="s">
        <v>20</v>
      </c>
    </row>
    <row r="667" spans="1:10" x14ac:dyDescent="0.3">
      <c r="A667">
        <v>1666</v>
      </c>
      <c r="B667" t="s">
        <v>35</v>
      </c>
      <c r="D667" t="s">
        <v>40</v>
      </c>
      <c r="E667" t="s">
        <v>18</v>
      </c>
      <c r="F667" t="s">
        <v>36</v>
      </c>
      <c r="G667">
        <v>0</v>
      </c>
      <c r="H667">
        <v>-1000</v>
      </c>
      <c r="I667" t="s">
        <v>122</v>
      </c>
      <c r="J667" t="s">
        <v>15</v>
      </c>
    </row>
    <row r="668" spans="1:10" x14ac:dyDescent="0.3">
      <c r="A668">
        <v>1667</v>
      </c>
      <c r="B668" t="s">
        <v>64</v>
      </c>
      <c r="D668" t="s">
        <v>40</v>
      </c>
      <c r="E668" t="s">
        <v>23</v>
      </c>
      <c r="F668" t="s">
        <v>36</v>
      </c>
      <c r="G668">
        <v>5</v>
      </c>
      <c r="H668">
        <v>8024</v>
      </c>
      <c r="I668" t="s">
        <v>140</v>
      </c>
      <c r="J668" t="s">
        <v>15</v>
      </c>
    </row>
    <row r="669" spans="1:10" x14ac:dyDescent="0.3">
      <c r="A669">
        <v>1668</v>
      </c>
      <c r="B669" t="s">
        <v>46</v>
      </c>
      <c r="D669" t="s">
        <v>26</v>
      </c>
      <c r="E669" t="s">
        <v>55</v>
      </c>
      <c r="F669" t="s">
        <v>33</v>
      </c>
      <c r="G669">
        <v>2</v>
      </c>
      <c r="H669">
        <v>0</v>
      </c>
      <c r="I669" t="s">
        <v>49</v>
      </c>
      <c r="J669" t="s">
        <v>15</v>
      </c>
    </row>
    <row r="670" spans="1:10" x14ac:dyDescent="0.3">
      <c r="A670">
        <v>1669</v>
      </c>
      <c r="B670" t="s">
        <v>46</v>
      </c>
      <c r="C670">
        <v>35</v>
      </c>
      <c r="D670" t="s">
        <v>40</v>
      </c>
      <c r="E670" t="s">
        <v>55</v>
      </c>
      <c r="F670" t="s">
        <v>13</v>
      </c>
      <c r="G670">
        <v>2</v>
      </c>
      <c r="H670">
        <v>-1000</v>
      </c>
      <c r="I670" t="s">
        <v>89</v>
      </c>
      <c r="J670" t="s">
        <v>29</v>
      </c>
    </row>
    <row r="671" spans="1:10" x14ac:dyDescent="0.3">
      <c r="A671">
        <v>1670</v>
      </c>
      <c r="B671" t="s">
        <v>62</v>
      </c>
      <c r="C671">
        <v>37</v>
      </c>
      <c r="D671" t="s">
        <v>11</v>
      </c>
      <c r="E671" t="s">
        <v>51</v>
      </c>
      <c r="F671" t="s">
        <v>13</v>
      </c>
      <c r="G671">
        <v>0</v>
      </c>
      <c r="H671">
        <v>0</v>
      </c>
      <c r="I671" t="s">
        <v>97</v>
      </c>
      <c r="J671" t="s">
        <v>43</v>
      </c>
    </row>
    <row r="672" spans="1:10" x14ac:dyDescent="0.3">
      <c r="A672">
        <v>1671</v>
      </c>
      <c r="B672" t="s">
        <v>69</v>
      </c>
      <c r="C672">
        <v>26</v>
      </c>
      <c r="D672" t="s">
        <v>17</v>
      </c>
      <c r="E672" t="s">
        <v>55</v>
      </c>
      <c r="F672" t="s">
        <v>36</v>
      </c>
      <c r="G672">
        <v>0</v>
      </c>
      <c r="H672">
        <v>0</v>
      </c>
      <c r="I672" t="s">
        <v>24</v>
      </c>
      <c r="J672" t="s">
        <v>45</v>
      </c>
    </row>
    <row r="673" spans="1:10" x14ac:dyDescent="0.3">
      <c r="A673">
        <v>1672</v>
      </c>
      <c r="B673" t="s">
        <v>46</v>
      </c>
      <c r="C673">
        <v>20</v>
      </c>
      <c r="D673" t="s">
        <v>40</v>
      </c>
      <c r="E673" t="s">
        <v>51</v>
      </c>
      <c r="F673" t="s">
        <v>13</v>
      </c>
      <c r="G673">
        <v>4</v>
      </c>
      <c r="H673">
        <v>35160</v>
      </c>
      <c r="I673" t="s">
        <v>185</v>
      </c>
      <c r="J673" t="s">
        <v>15</v>
      </c>
    </row>
    <row r="674" spans="1:10" x14ac:dyDescent="0.3">
      <c r="A674">
        <v>1673</v>
      </c>
      <c r="B674" t="s">
        <v>32</v>
      </c>
      <c r="C674">
        <v>37</v>
      </c>
      <c r="D674" t="s">
        <v>40</v>
      </c>
      <c r="E674" t="s">
        <v>55</v>
      </c>
      <c r="F674" t="s">
        <v>30</v>
      </c>
      <c r="G674">
        <v>0</v>
      </c>
      <c r="H674">
        <v>20033</v>
      </c>
      <c r="I674" t="s">
        <v>81</v>
      </c>
      <c r="J674" t="s">
        <v>20</v>
      </c>
    </row>
    <row r="675" spans="1:10" x14ac:dyDescent="0.3">
      <c r="A675">
        <v>1674</v>
      </c>
      <c r="B675" t="s">
        <v>10</v>
      </c>
      <c r="D675" t="s">
        <v>17</v>
      </c>
      <c r="E675" t="s">
        <v>55</v>
      </c>
      <c r="F675" t="s">
        <v>30</v>
      </c>
      <c r="G675">
        <v>5</v>
      </c>
      <c r="H675">
        <v>-1000</v>
      </c>
      <c r="I675" t="s">
        <v>100</v>
      </c>
      <c r="J675" t="s">
        <v>45</v>
      </c>
    </row>
    <row r="676" spans="1:10" x14ac:dyDescent="0.3">
      <c r="A676">
        <v>1675</v>
      </c>
      <c r="B676" t="s">
        <v>16</v>
      </c>
      <c r="C676">
        <v>32</v>
      </c>
      <c r="D676" t="s">
        <v>40</v>
      </c>
      <c r="E676" t="s">
        <v>27</v>
      </c>
      <c r="F676" t="s">
        <v>33</v>
      </c>
      <c r="G676">
        <v>4</v>
      </c>
      <c r="H676">
        <v>16351</v>
      </c>
      <c r="I676" t="s">
        <v>39</v>
      </c>
      <c r="J676" t="s">
        <v>45</v>
      </c>
    </row>
    <row r="677" spans="1:10" x14ac:dyDescent="0.3">
      <c r="A677">
        <v>1676</v>
      </c>
      <c r="B677" t="s">
        <v>21</v>
      </c>
      <c r="C677">
        <v>49</v>
      </c>
      <c r="D677" t="s">
        <v>26</v>
      </c>
      <c r="E677" t="s">
        <v>51</v>
      </c>
      <c r="F677" t="s">
        <v>36</v>
      </c>
      <c r="G677">
        <v>0</v>
      </c>
      <c r="H677">
        <v>-1000</v>
      </c>
      <c r="I677" t="s">
        <v>204</v>
      </c>
      <c r="J677" t="s">
        <v>29</v>
      </c>
    </row>
    <row r="678" spans="1:10" x14ac:dyDescent="0.3">
      <c r="A678">
        <v>1677</v>
      </c>
      <c r="B678" t="s">
        <v>38</v>
      </c>
      <c r="D678" t="s">
        <v>40</v>
      </c>
      <c r="E678" t="s">
        <v>44</v>
      </c>
      <c r="F678" t="s">
        <v>30</v>
      </c>
      <c r="G678">
        <v>0</v>
      </c>
      <c r="H678">
        <v>4567</v>
      </c>
      <c r="I678" t="s">
        <v>97</v>
      </c>
      <c r="J678" t="s">
        <v>43</v>
      </c>
    </row>
    <row r="679" spans="1:10" x14ac:dyDescent="0.3">
      <c r="A679">
        <v>1678</v>
      </c>
      <c r="B679" t="s">
        <v>64</v>
      </c>
      <c r="D679" t="s">
        <v>22</v>
      </c>
      <c r="E679" t="s">
        <v>55</v>
      </c>
      <c r="F679" t="s">
        <v>13</v>
      </c>
      <c r="G679">
        <v>4</v>
      </c>
      <c r="H679">
        <v>-1000</v>
      </c>
      <c r="I679" t="s">
        <v>207</v>
      </c>
      <c r="J679" t="s">
        <v>15</v>
      </c>
    </row>
    <row r="680" spans="1:10" x14ac:dyDescent="0.3">
      <c r="A680">
        <v>1679</v>
      </c>
      <c r="B680" t="s">
        <v>32</v>
      </c>
      <c r="C680">
        <v>38</v>
      </c>
      <c r="D680" t="s">
        <v>26</v>
      </c>
      <c r="E680" t="s">
        <v>41</v>
      </c>
      <c r="F680" t="s">
        <v>33</v>
      </c>
      <c r="G680">
        <v>0</v>
      </c>
      <c r="H680">
        <v>-1000</v>
      </c>
      <c r="I680" t="s">
        <v>92</v>
      </c>
      <c r="J680" t="s">
        <v>29</v>
      </c>
    </row>
    <row r="681" spans="1:10" x14ac:dyDescent="0.3">
      <c r="A681">
        <v>1680</v>
      </c>
      <c r="B681" t="s">
        <v>78</v>
      </c>
      <c r="C681">
        <v>34</v>
      </c>
      <c r="D681" t="s">
        <v>17</v>
      </c>
      <c r="E681" t="s">
        <v>27</v>
      </c>
      <c r="F681" t="s">
        <v>33</v>
      </c>
      <c r="G681">
        <v>0</v>
      </c>
      <c r="H681">
        <v>27119</v>
      </c>
      <c r="I681" t="s">
        <v>113</v>
      </c>
      <c r="J681" t="s">
        <v>43</v>
      </c>
    </row>
    <row r="682" spans="1:10" x14ac:dyDescent="0.3">
      <c r="A682">
        <v>1681</v>
      </c>
      <c r="B682" t="s">
        <v>48</v>
      </c>
      <c r="C682">
        <v>20</v>
      </c>
      <c r="D682" t="s">
        <v>17</v>
      </c>
      <c r="E682" t="s">
        <v>41</v>
      </c>
      <c r="F682" t="s">
        <v>36</v>
      </c>
      <c r="G682">
        <v>0</v>
      </c>
      <c r="H682">
        <v>-1000</v>
      </c>
      <c r="I682" t="s">
        <v>28</v>
      </c>
      <c r="J682" t="s">
        <v>15</v>
      </c>
    </row>
    <row r="683" spans="1:10" x14ac:dyDescent="0.3">
      <c r="A683">
        <v>1682</v>
      </c>
      <c r="B683" t="s">
        <v>68</v>
      </c>
      <c r="D683" t="s">
        <v>22</v>
      </c>
      <c r="E683" t="s">
        <v>55</v>
      </c>
      <c r="F683" t="s">
        <v>33</v>
      </c>
      <c r="G683">
        <v>1</v>
      </c>
      <c r="H683">
        <v>-1000</v>
      </c>
      <c r="I683" t="s">
        <v>145</v>
      </c>
      <c r="J683" t="s">
        <v>45</v>
      </c>
    </row>
    <row r="684" spans="1:10" x14ac:dyDescent="0.3">
      <c r="A684">
        <v>1683</v>
      </c>
      <c r="B684" t="s">
        <v>25</v>
      </c>
      <c r="C684">
        <v>48</v>
      </c>
      <c r="D684" t="s">
        <v>11</v>
      </c>
      <c r="E684" t="s">
        <v>44</v>
      </c>
      <c r="F684" t="s">
        <v>33</v>
      </c>
      <c r="G684">
        <v>2</v>
      </c>
      <c r="H684">
        <v>0</v>
      </c>
      <c r="I684" t="s">
        <v>126</v>
      </c>
      <c r="J684" t="s">
        <v>29</v>
      </c>
    </row>
    <row r="685" spans="1:10" x14ac:dyDescent="0.3">
      <c r="A685">
        <v>1684</v>
      </c>
      <c r="B685" t="s">
        <v>38</v>
      </c>
      <c r="C685">
        <v>21</v>
      </c>
      <c r="D685" t="s">
        <v>11</v>
      </c>
      <c r="E685" t="s">
        <v>12</v>
      </c>
      <c r="F685" t="s">
        <v>33</v>
      </c>
      <c r="G685">
        <v>2</v>
      </c>
      <c r="H685">
        <v>568</v>
      </c>
      <c r="I685" t="s">
        <v>34</v>
      </c>
      <c r="J685" t="s">
        <v>45</v>
      </c>
    </row>
    <row r="686" spans="1:10" x14ac:dyDescent="0.3">
      <c r="A686">
        <v>1685</v>
      </c>
      <c r="B686" t="s">
        <v>57</v>
      </c>
      <c r="D686" t="s">
        <v>26</v>
      </c>
      <c r="E686" t="s">
        <v>23</v>
      </c>
      <c r="F686" t="s">
        <v>36</v>
      </c>
      <c r="G686">
        <v>0</v>
      </c>
      <c r="H686">
        <v>0</v>
      </c>
      <c r="I686" t="s">
        <v>219</v>
      </c>
      <c r="J686" t="s">
        <v>45</v>
      </c>
    </row>
    <row r="687" spans="1:10" x14ac:dyDescent="0.3">
      <c r="A687">
        <v>1686</v>
      </c>
      <c r="B687" t="s">
        <v>54</v>
      </c>
      <c r="D687" t="s">
        <v>26</v>
      </c>
      <c r="E687" t="s">
        <v>41</v>
      </c>
      <c r="F687" t="s">
        <v>30</v>
      </c>
      <c r="G687">
        <v>0</v>
      </c>
      <c r="H687">
        <v>43741</v>
      </c>
      <c r="I687" t="s">
        <v>66</v>
      </c>
      <c r="J687" t="s">
        <v>43</v>
      </c>
    </row>
    <row r="688" spans="1:10" x14ac:dyDescent="0.3">
      <c r="A688">
        <v>1687</v>
      </c>
      <c r="B688" t="s">
        <v>59</v>
      </c>
      <c r="C688">
        <v>20</v>
      </c>
      <c r="D688" t="s">
        <v>40</v>
      </c>
      <c r="E688" t="s">
        <v>44</v>
      </c>
      <c r="F688" t="s">
        <v>30</v>
      </c>
      <c r="G688">
        <v>0</v>
      </c>
      <c r="H688">
        <v>-1000</v>
      </c>
      <c r="I688" t="s">
        <v>125</v>
      </c>
      <c r="J688" t="s">
        <v>29</v>
      </c>
    </row>
    <row r="689" spans="1:10" x14ac:dyDescent="0.3">
      <c r="A689">
        <v>1688</v>
      </c>
      <c r="B689" t="s">
        <v>69</v>
      </c>
      <c r="C689">
        <v>18</v>
      </c>
      <c r="D689" t="s">
        <v>17</v>
      </c>
      <c r="E689" t="s">
        <v>44</v>
      </c>
      <c r="F689" t="s">
        <v>13</v>
      </c>
      <c r="G689">
        <v>0</v>
      </c>
      <c r="H689">
        <v>31289</v>
      </c>
      <c r="I689" t="s">
        <v>152</v>
      </c>
      <c r="J689" t="s">
        <v>15</v>
      </c>
    </row>
    <row r="690" spans="1:10" x14ac:dyDescent="0.3">
      <c r="A690">
        <v>1689</v>
      </c>
      <c r="B690" t="s">
        <v>54</v>
      </c>
      <c r="D690" t="s">
        <v>17</v>
      </c>
      <c r="E690" t="s">
        <v>41</v>
      </c>
      <c r="F690" t="s">
        <v>13</v>
      </c>
      <c r="G690">
        <v>2</v>
      </c>
      <c r="H690">
        <v>-1000</v>
      </c>
      <c r="I690" t="s">
        <v>77</v>
      </c>
      <c r="J690" t="s">
        <v>29</v>
      </c>
    </row>
    <row r="691" spans="1:10" x14ac:dyDescent="0.3">
      <c r="A691">
        <v>1690</v>
      </c>
      <c r="B691" t="s">
        <v>32</v>
      </c>
      <c r="C691">
        <v>28</v>
      </c>
      <c r="D691" t="s">
        <v>17</v>
      </c>
      <c r="E691" t="s">
        <v>51</v>
      </c>
      <c r="F691" t="s">
        <v>30</v>
      </c>
      <c r="G691">
        <v>2</v>
      </c>
      <c r="H691">
        <v>0</v>
      </c>
      <c r="I691" t="s">
        <v>202</v>
      </c>
      <c r="J691" t="s">
        <v>15</v>
      </c>
    </row>
    <row r="692" spans="1:10" x14ac:dyDescent="0.3">
      <c r="A692">
        <v>1691</v>
      </c>
      <c r="B692" t="s">
        <v>78</v>
      </c>
      <c r="D692" t="s">
        <v>40</v>
      </c>
      <c r="E692" t="s">
        <v>12</v>
      </c>
      <c r="F692" t="s">
        <v>33</v>
      </c>
      <c r="G692">
        <v>1</v>
      </c>
      <c r="H692">
        <v>0</v>
      </c>
      <c r="I692" t="s">
        <v>199</v>
      </c>
      <c r="J692" t="s">
        <v>43</v>
      </c>
    </row>
    <row r="693" spans="1:10" x14ac:dyDescent="0.3">
      <c r="A693">
        <v>1692</v>
      </c>
      <c r="B693" t="s">
        <v>16</v>
      </c>
      <c r="D693" t="s">
        <v>22</v>
      </c>
      <c r="E693" t="s">
        <v>51</v>
      </c>
      <c r="F693" t="s">
        <v>33</v>
      </c>
      <c r="G693">
        <v>2</v>
      </c>
      <c r="H693">
        <v>29477</v>
      </c>
      <c r="I693" t="s">
        <v>135</v>
      </c>
      <c r="J693" t="s">
        <v>29</v>
      </c>
    </row>
    <row r="694" spans="1:10" x14ac:dyDescent="0.3">
      <c r="A694">
        <v>1693</v>
      </c>
      <c r="B694" t="s">
        <v>54</v>
      </c>
      <c r="D694" t="s">
        <v>22</v>
      </c>
      <c r="E694" t="s">
        <v>55</v>
      </c>
      <c r="F694" t="s">
        <v>33</v>
      </c>
      <c r="G694">
        <v>3</v>
      </c>
      <c r="H694">
        <v>0</v>
      </c>
      <c r="I694" t="s">
        <v>52</v>
      </c>
      <c r="J694" t="s">
        <v>29</v>
      </c>
    </row>
    <row r="695" spans="1:10" x14ac:dyDescent="0.3">
      <c r="A695">
        <v>1694</v>
      </c>
      <c r="B695" t="s">
        <v>73</v>
      </c>
      <c r="C695">
        <v>27</v>
      </c>
      <c r="D695" t="s">
        <v>26</v>
      </c>
      <c r="E695" t="s">
        <v>12</v>
      </c>
      <c r="F695" t="s">
        <v>30</v>
      </c>
      <c r="G695">
        <v>1</v>
      </c>
      <c r="H695">
        <v>0</v>
      </c>
      <c r="I695" t="s">
        <v>96</v>
      </c>
      <c r="J695" t="s">
        <v>43</v>
      </c>
    </row>
    <row r="696" spans="1:10" x14ac:dyDescent="0.3">
      <c r="A696">
        <v>1695</v>
      </c>
      <c r="B696" t="s">
        <v>48</v>
      </c>
      <c r="D696" t="s">
        <v>11</v>
      </c>
      <c r="E696" t="s">
        <v>55</v>
      </c>
      <c r="F696" t="s">
        <v>36</v>
      </c>
      <c r="G696">
        <v>0</v>
      </c>
      <c r="H696">
        <v>0</v>
      </c>
      <c r="I696" t="s">
        <v>108</v>
      </c>
      <c r="J696" t="s">
        <v>20</v>
      </c>
    </row>
    <row r="697" spans="1:10" x14ac:dyDescent="0.3">
      <c r="A697">
        <v>1696</v>
      </c>
      <c r="B697" t="s">
        <v>35</v>
      </c>
      <c r="C697">
        <v>26</v>
      </c>
      <c r="D697" t="s">
        <v>40</v>
      </c>
      <c r="E697" t="s">
        <v>51</v>
      </c>
      <c r="F697" t="s">
        <v>33</v>
      </c>
      <c r="G697">
        <v>3</v>
      </c>
      <c r="H697">
        <v>41225</v>
      </c>
      <c r="I697" t="s">
        <v>159</v>
      </c>
      <c r="J697" t="s">
        <v>43</v>
      </c>
    </row>
    <row r="698" spans="1:10" x14ac:dyDescent="0.3">
      <c r="A698">
        <v>1697</v>
      </c>
      <c r="B698" t="s">
        <v>25</v>
      </c>
      <c r="D698" t="s">
        <v>40</v>
      </c>
      <c r="E698" t="s">
        <v>44</v>
      </c>
      <c r="F698" t="s">
        <v>30</v>
      </c>
      <c r="G698">
        <v>5</v>
      </c>
      <c r="H698">
        <v>39119</v>
      </c>
      <c r="I698" t="s">
        <v>91</v>
      </c>
      <c r="J698" t="s">
        <v>20</v>
      </c>
    </row>
    <row r="699" spans="1:10" x14ac:dyDescent="0.3">
      <c r="A699">
        <v>1698</v>
      </c>
      <c r="B699" t="s">
        <v>68</v>
      </c>
      <c r="C699">
        <v>24</v>
      </c>
      <c r="D699" t="s">
        <v>22</v>
      </c>
      <c r="E699" t="s">
        <v>44</v>
      </c>
      <c r="F699" t="s">
        <v>13</v>
      </c>
      <c r="G699">
        <v>0</v>
      </c>
      <c r="H699">
        <v>20647</v>
      </c>
      <c r="I699" t="s">
        <v>147</v>
      </c>
      <c r="J699" t="s">
        <v>29</v>
      </c>
    </row>
    <row r="700" spans="1:10" x14ac:dyDescent="0.3">
      <c r="A700">
        <v>1699</v>
      </c>
      <c r="B700" t="s">
        <v>64</v>
      </c>
      <c r="C700">
        <v>50</v>
      </c>
      <c r="D700" t="s">
        <v>11</v>
      </c>
      <c r="E700" t="s">
        <v>23</v>
      </c>
      <c r="F700" t="s">
        <v>33</v>
      </c>
      <c r="G700">
        <v>0</v>
      </c>
      <c r="H700">
        <v>-1000</v>
      </c>
      <c r="I700" t="s">
        <v>105</v>
      </c>
      <c r="J700" t="s">
        <v>45</v>
      </c>
    </row>
    <row r="701" spans="1:10" x14ac:dyDescent="0.3">
      <c r="A701">
        <v>1700</v>
      </c>
      <c r="B701" t="s">
        <v>10</v>
      </c>
      <c r="C701">
        <v>27</v>
      </c>
      <c r="D701" t="s">
        <v>26</v>
      </c>
      <c r="E701" t="s">
        <v>12</v>
      </c>
      <c r="F701" t="s">
        <v>33</v>
      </c>
      <c r="G701">
        <v>2</v>
      </c>
      <c r="H701">
        <v>-1000</v>
      </c>
      <c r="I701" t="s">
        <v>191</v>
      </c>
      <c r="J701" t="s">
        <v>20</v>
      </c>
    </row>
    <row r="702" spans="1:10" x14ac:dyDescent="0.3">
      <c r="A702">
        <v>1701</v>
      </c>
      <c r="B702" t="s">
        <v>68</v>
      </c>
      <c r="D702" t="s">
        <v>22</v>
      </c>
      <c r="E702" t="s">
        <v>55</v>
      </c>
      <c r="F702" t="s">
        <v>33</v>
      </c>
      <c r="G702">
        <v>0</v>
      </c>
      <c r="H702">
        <v>7339</v>
      </c>
      <c r="I702" t="s">
        <v>202</v>
      </c>
      <c r="J702" t="s">
        <v>43</v>
      </c>
    </row>
    <row r="703" spans="1:10" x14ac:dyDescent="0.3">
      <c r="A703">
        <v>1702</v>
      </c>
      <c r="B703" t="s">
        <v>35</v>
      </c>
      <c r="D703" t="s">
        <v>22</v>
      </c>
      <c r="E703" t="s">
        <v>12</v>
      </c>
      <c r="F703" t="s">
        <v>33</v>
      </c>
      <c r="G703">
        <v>3</v>
      </c>
      <c r="H703">
        <v>49745</v>
      </c>
      <c r="I703" t="s">
        <v>205</v>
      </c>
      <c r="J703" t="s">
        <v>45</v>
      </c>
    </row>
    <row r="704" spans="1:10" x14ac:dyDescent="0.3">
      <c r="A704">
        <v>1703</v>
      </c>
      <c r="B704" t="s">
        <v>68</v>
      </c>
      <c r="D704" t="s">
        <v>17</v>
      </c>
      <c r="E704" t="s">
        <v>41</v>
      </c>
      <c r="F704" t="s">
        <v>13</v>
      </c>
      <c r="G704">
        <v>0</v>
      </c>
      <c r="H704">
        <v>44547</v>
      </c>
      <c r="I704" t="s">
        <v>191</v>
      </c>
      <c r="J704" t="s">
        <v>43</v>
      </c>
    </row>
    <row r="705" spans="1:10" x14ac:dyDescent="0.3">
      <c r="A705">
        <v>1704</v>
      </c>
      <c r="B705" t="s">
        <v>35</v>
      </c>
      <c r="D705" t="s">
        <v>22</v>
      </c>
      <c r="E705" t="s">
        <v>55</v>
      </c>
      <c r="F705" t="s">
        <v>33</v>
      </c>
      <c r="G705">
        <v>2</v>
      </c>
      <c r="H705">
        <v>-1000</v>
      </c>
      <c r="I705" t="s">
        <v>229</v>
      </c>
      <c r="J705" t="s">
        <v>20</v>
      </c>
    </row>
    <row r="706" spans="1:10" x14ac:dyDescent="0.3">
      <c r="A706">
        <v>1705</v>
      </c>
      <c r="B706" t="s">
        <v>59</v>
      </c>
      <c r="C706">
        <v>41</v>
      </c>
      <c r="D706" t="s">
        <v>26</v>
      </c>
      <c r="E706" t="s">
        <v>51</v>
      </c>
      <c r="F706" t="s">
        <v>13</v>
      </c>
      <c r="G706">
        <v>0</v>
      </c>
      <c r="H706">
        <v>-1000</v>
      </c>
      <c r="I706" t="s">
        <v>195</v>
      </c>
      <c r="J706" t="s">
        <v>43</v>
      </c>
    </row>
    <row r="707" spans="1:10" x14ac:dyDescent="0.3">
      <c r="A707">
        <v>1706</v>
      </c>
      <c r="B707" t="s">
        <v>54</v>
      </c>
      <c r="D707" t="s">
        <v>17</v>
      </c>
      <c r="E707" t="s">
        <v>12</v>
      </c>
      <c r="F707" t="s">
        <v>13</v>
      </c>
      <c r="G707">
        <v>0</v>
      </c>
      <c r="H707">
        <v>0</v>
      </c>
      <c r="I707" t="s">
        <v>97</v>
      </c>
      <c r="J707" t="s">
        <v>29</v>
      </c>
    </row>
    <row r="708" spans="1:10" x14ac:dyDescent="0.3">
      <c r="A708">
        <v>1707</v>
      </c>
      <c r="B708" t="s">
        <v>64</v>
      </c>
      <c r="D708" t="s">
        <v>17</v>
      </c>
      <c r="E708" t="s">
        <v>41</v>
      </c>
      <c r="F708" t="s">
        <v>33</v>
      </c>
      <c r="G708">
        <v>4</v>
      </c>
      <c r="H708">
        <v>8133</v>
      </c>
      <c r="I708" t="s">
        <v>103</v>
      </c>
      <c r="J708" t="s">
        <v>15</v>
      </c>
    </row>
    <row r="709" spans="1:10" x14ac:dyDescent="0.3">
      <c r="A709">
        <v>1708</v>
      </c>
      <c r="B709" t="s">
        <v>16</v>
      </c>
      <c r="C709">
        <v>19</v>
      </c>
      <c r="D709" t="s">
        <v>22</v>
      </c>
      <c r="E709" t="s">
        <v>12</v>
      </c>
      <c r="F709" t="s">
        <v>33</v>
      </c>
      <c r="G709">
        <v>0</v>
      </c>
      <c r="H709">
        <v>45544</v>
      </c>
      <c r="I709" t="s">
        <v>47</v>
      </c>
      <c r="J709" t="s">
        <v>15</v>
      </c>
    </row>
    <row r="710" spans="1:10" x14ac:dyDescent="0.3">
      <c r="A710">
        <v>1709</v>
      </c>
      <c r="B710" t="s">
        <v>69</v>
      </c>
      <c r="C710">
        <v>45</v>
      </c>
      <c r="D710" t="s">
        <v>26</v>
      </c>
      <c r="E710" t="s">
        <v>12</v>
      </c>
      <c r="F710" t="s">
        <v>13</v>
      </c>
      <c r="G710">
        <v>1</v>
      </c>
      <c r="H710">
        <v>30082</v>
      </c>
      <c r="I710" t="s">
        <v>75</v>
      </c>
      <c r="J710" t="s">
        <v>29</v>
      </c>
    </row>
    <row r="711" spans="1:10" x14ac:dyDescent="0.3">
      <c r="A711">
        <v>1710</v>
      </c>
      <c r="B711" t="s">
        <v>68</v>
      </c>
      <c r="C711">
        <v>26</v>
      </c>
      <c r="D711" t="s">
        <v>26</v>
      </c>
      <c r="E711" t="s">
        <v>51</v>
      </c>
      <c r="F711" t="s">
        <v>33</v>
      </c>
      <c r="G711">
        <v>0</v>
      </c>
      <c r="H711">
        <v>-1000</v>
      </c>
      <c r="I711" t="s">
        <v>98</v>
      </c>
      <c r="J711" t="s">
        <v>29</v>
      </c>
    </row>
    <row r="712" spans="1:10" x14ac:dyDescent="0.3">
      <c r="A712">
        <v>1711</v>
      </c>
      <c r="B712" t="s">
        <v>64</v>
      </c>
      <c r="D712" t="s">
        <v>40</v>
      </c>
      <c r="E712" t="s">
        <v>18</v>
      </c>
      <c r="F712" t="s">
        <v>33</v>
      </c>
      <c r="G712">
        <v>1</v>
      </c>
      <c r="H712">
        <v>16566</v>
      </c>
      <c r="I712" t="s">
        <v>207</v>
      </c>
      <c r="J712" t="s">
        <v>20</v>
      </c>
    </row>
    <row r="713" spans="1:10" x14ac:dyDescent="0.3">
      <c r="A713">
        <v>1712</v>
      </c>
      <c r="B713" t="s">
        <v>59</v>
      </c>
      <c r="D713" t="s">
        <v>17</v>
      </c>
      <c r="E713" t="s">
        <v>23</v>
      </c>
      <c r="F713" t="s">
        <v>36</v>
      </c>
      <c r="G713">
        <v>0</v>
      </c>
      <c r="H713">
        <v>0</v>
      </c>
      <c r="I713" t="s">
        <v>143</v>
      </c>
      <c r="J713" t="s">
        <v>29</v>
      </c>
    </row>
    <row r="714" spans="1:10" x14ac:dyDescent="0.3">
      <c r="A714">
        <v>1713</v>
      </c>
      <c r="B714" t="s">
        <v>68</v>
      </c>
      <c r="C714">
        <v>41</v>
      </c>
      <c r="D714" t="s">
        <v>11</v>
      </c>
      <c r="E714" t="s">
        <v>12</v>
      </c>
      <c r="F714" t="s">
        <v>13</v>
      </c>
      <c r="G714">
        <v>1</v>
      </c>
      <c r="H714">
        <v>49234</v>
      </c>
      <c r="I714" t="s">
        <v>170</v>
      </c>
      <c r="J714" t="s">
        <v>45</v>
      </c>
    </row>
    <row r="715" spans="1:10" x14ac:dyDescent="0.3">
      <c r="A715">
        <v>1714</v>
      </c>
      <c r="B715" t="s">
        <v>57</v>
      </c>
      <c r="C715">
        <v>27</v>
      </c>
      <c r="D715" t="s">
        <v>40</v>
      </c>
      <c r="E715" t="s">
        <v>23</v>
      </c>
      <c r="F715" t="s">
        <v>30</v>
      </c>
      <c r="G715">
        <v>0</v>
      </c>
      <c r="H715">
        <v>-1000</v>
      </c>
      <c r="I715" t="s">
        <v>195</v>
      </c>
      <c r="J715" t="s">
        <v>43</v>
      </c>
    </row>
    <row r="716" spans="1:10" x14ac:dyDescent="0.3">
      <c r="A716">
        <v>1715</v>
      </c>
      <c r="B716" t="s">
        <v>46</v>
      </c>
      <c r="D716" t="s">
        <v>26</v>
      </c>
      <c r="E716" t="s">
        <v>55</v>
      </c>
      <c r="F716" t="s">
        <v>33</v>
      </c>
      <c r="G716">
        <v>4</v>
      </c>
      <c r="H716">
        <v>-1000</v>
      </c>
      <c r="I716" t="s">
        <v>110</v>
      </c>
      <c r="J716" t="s">
        <v>29</v>
      </c>
    </row>
    <row r="717" spans="1:10" x14ac:dyDescent="0.3">
      <c r="A717">
        <v>1716</v>
      </c>
      <c r="B717" t="s">
        <v>73</v>
      </c>
      <c r="D717" t="s">
        <v>11</v>
      </c>
      <c r="E717" t="s">
        <v>41</v>
      </c>
      <c r="F717" t="s">
        <v>30</v>
      </c>
      <c r="G717">
        <v>4</v>
      </c>
      <c r="H717">
        <v>-1000</v>
      </c>
      <c r="I717" t="s">
        <v>158</v>
      </c>
      <c r="J717" t="s">
        <v>43</v>
      </c>
    </row>
    <row r="718" spans="1:10" x14ac:dyDescent="0.3">
      <c r="A718">
        <v>1717</v>
      </c>
      <c r="B718" t="s">
        <v>21</v>
      </c>
      <c r="C718">
        <v>45</v>
      </c>
      <c r="D718" t="s">
        <v>11</v>
      </c>
      <c r="E718" t="s">
        <v>23</v>
      </c>
      <c r="F718" t="s">
        <v>36</v>
      </c>
      <c r="G718">
        <v>2</v>
      </c>
      <c r="H718">
        <v>0</v>
      </c>
      <c r="I718" t="s">
        <v>160</v>
      </c>
      <c r="J718" t="s">
        <v>20</v>
      </c>
    </row>
    <row r="719" spans="1:10" x14ac:dyDescent="0.3">
      <c r="A719">
        <v>1718</v>
      </c>
      <c r="B719" t="s">
        <v>38</v>
      </c>
      <c r="D719" t="s">
        <v>40</v>
      </c>
      <c r="E719" t="s">
        <v>44</v>
      </c>
      <c r="F719" t="s">
        <v>33</v>
      </c>
      <c r="G719">
        <v>0</v>
      </c>
      <c r="H719">
        <v>-1000</v>
      </c>
      <c r="I719" t="s">
        <v>90</v>
      </c>
      <c r="J719" t="s">
        <v>45</v>
      </c>
    </row>
    <row r="720" spans="1:10" x14ac:dyDescent="0.3">
      <c r="A720">
        <v>1719</v>
      </c>
      <c r="B720" t="s">
        <v>64</v>
      </c>
      <c r="D720" t="s">
        <v>17</v>
      </c>
      <c r="E720" t="s">
        <v>27</v>
      </c>
      <c r="F720" t="s">
        <v>30</v>
      </c>
      <c r="G720">
        <v>0</v>
      </c>
      <c r="H720">
        <v>0</v>
      </c>
      <c r="I720" t="s">
        <v>93</v>
      </c>
      <c r="J720" t="s">
        <v>15</v>
      </c>
    </row>
    <row r="721" spans="1:10" x14ac:dyDescent="0.3">
      <c r="A721">
        <v>1720</v>
      </c>
      <c r="B721" t="s">
        <v>46</v>
      </c>
      <c r="D721" t="s">
        <v>17</v>
      </c>
      <c r="E721" t="s">
        <v>12</v>
      </c>
      <c r="F721" t="s">
        <v>30</v>
      </c>
      <c r="G721">
        <v>5</v>
      </c>
      <c r="H721">
        <v>-1000</v>
      </c>
      <c r="I721" t="s">
        <v>106</v>
      </c>
      <c r="J721" t="s">
        <v>15</v>
      </c>
    </row>
    <row r="722" spans="1:10" x14ac:dyDescent="0.3">
      <c r="A722">
        <v>1721</v>
      </c>
      <c r="B722" t="s">
        <v>64</v>
      </c>
      <c r="D722" t="s">
        <v>11</v>
      </c>
      <c r="E722" t="s">
        <v>18</v>
      </c>
      <c r="F722" t="s">
        <v>36</v>
      </c>
      <c r="G722">
        <v>0</v>
      </c>
      <c r="H722">
        <v>5557</v>
      </c>
      <c r="I722" t="s">
        <v>149</v>
      </c>
      <c r="J722" t="s">
        <v>43</v>
      </c>
    </row>
    <row r="723" spans="1:10" x14ac:dyDescent="0.3">
      <c r="A723">
        <v>1722</v>
      </c>
      <c r="B723" t="s">
        <v>46</v>
      </c>
      <c r="C723">
        <v>32</v>
      </c>
      <c r="D723" t="s">
        <v>11</v>
      </c>
      <c r="E723" t="s">
        <v>23</v>
      </c>
      <c r="F723" t="s">
        <v>30</v>
      </c>
      <c r="G723">
        <v>0</v>
      </c>
      <c r="H723">
        <v>25372</v>
      </c>
      <c r="I723" t="s">
        <v>104</v>
      </c>
      <c r="J723" t="s">
        <v>45</v>
      </c>
    </row>
    <row r="724" spans="1:10" x14ac:dyDescent="0.3">
      <c r="A724">
        <v>1723</v>
      </c>
      <c r="B724" t="s">
        <v>54</v>
      </c>
      <c r="D724" t="s">
        <v>40</v>
      </c>
      <c r="E724" t="s">
        <v>23</v>
      </c>
      <c r="F724" t="s">
        <v>13</v>
      </c>
      <c r="G724">
        <v>0</v>
      </c>
      <c r="H724">
        <v>-1000</v>
      </c>
      <c r="I724" t="s">
        <v>107</v>
      </c>
      <c r="J724" t="s">
        <v>43</v>
      </c>
    </row>
    <row r="725" spans="1:10" x14ac:dyDescent="0.3">
      <c r="A725">
        <v>1724</v>
      </c>
      <c r="B725" t="s">
        <v>48</v>
      </c>
      <c r="C725">
        <v>35</v>
      </c>
      <c r="D725" t="s">
        <v>11</v>
      </c>
      <c r="E725" t="s">
        <v>41</v>
      </c>
      <c r="F725" t="s">
        <v>36</v>
      </c>
      <c r="G725">
        <v>0</v>
      </c>
      <c r="H725">
        <v>0</v>
      </c>
      <c r="I725" t="s">
        <v>221</v>
      </c>
      <c r="J725" t="s">
        <v>45</v>
      </c>
    </row>
    <row r="726" spans="1:10" x14ac:dyDescent="0.3">
      <c r="A726">
        <v>1725</v>
      </c>
      <c r="B726" t="s">
        <v>68</v>
      </c>
      <c r="C726">
        <v>26</v>
      </c>
      <c r="D726" t="s">
        <v>22</v>
      </c>
      <c r="E726" t="s">
        <v>12</v>
      </c>
      <c r="F726" t="s">
        <v>33</v>
      </c>
      <c r="G726">
        <v>2</v>
      </c>
      <c r="H726">
        <v>0</v>
      </c>
      <c r="I726" t="s">
        <v>72</v>
      </c>
      <c r="J726" t="s">
        <v>45</v>
      </c>
    </row>
    <row r="727" spans="1:10" x14ac:dyDescent="0.3">
      <c r="A727">
        <v>1726</v>
      </c>
      <c r="B727" t="s">
        <v>35</v>
      </c>
      <c r="D727" t="s">
        <v>26</v>
      </c>
      <c r="E727" t="s">
        <v>41</v>
      </c>
      <c r="F727" t="s">
        <v>30</v>
      </c>
      <c r="G727">
        <v>4</v>
      </c>
      <c r="H727">
        <v>12653</v>
      </c>
      <c r="I727" t="s">
        <v>50</v>
      </c>
      <c r="J727" t="s">
        <v>20</v>
      </c>
    </row>
    <row r="728" spans="1:10" x14ac:dyDescent="0.3">
      <c r="A728">
        <v>1727</v>
      </c>
      <c r="B728" t="s">
        <v>48</v>
      </c>
      <c r="C728">
        <v>30</v>
      </c>
      <c r="D728" t="s">
        <v>26</v>
      </c>
      <c r="E728" t="s">
        <v>44</v>
      </c>
      <c r="F728" t="s">
        <v>36</v>
      </c>
      <c r="G728">
        <v>5</v>
      </c>
      <c r="H728">
        <v>-1000</v>
      </c>
      <c r="I728" t="s">
        <v>103</v>
      </c>
      <c r="J728" t="s">
        <v>29</v>
      </c>
    </row>
    <row r="729" spans="1:10" x14ac:dyDescent="0.3">
      <c r="A729">
        <v>1728</v>
      </c>
      <c r="B729" t="s">
        <v>35</v>
      </c>
      <c r="C729">
        <v>45</v>
      </c>
      <c r="D729" t="s">
        <v>22</v>
      </c>
      <c r="E729" t="s">
        <v>41</v>
      </c>
      <c r="F729" t="s">
        <v>36</v>
      </c>
      <c r="G729">
        <v>0</v>
      </c>
      <c r="H729">
        <v>48378</v>
      </c>
      <c r="I729" t="s">
        <v>209</v>
      </c>
      <c r="J729" t="s">
        <v>20</v>
      </c>
    </row>
    <row r="730" spans="1:10" x14ac:dyDescent="0.3">
      <c r="A730">
        <v>1729</v>
      </c>
      <c r="B730" t="s">
        <v>46</v>
      </c>
      <c r="D730" t="s">
        <v>22</v>
      </c>
      <c r="E730" t="s">
        <v>44</v>
      </c>
      <c r="F730" t="s">
        <v>33</v>
      </c>
      <c r="G730">
        <v>0</v>
      </c>
      <c r="H730">
        <v>0</v>
      </c>
      <c r="I730" t="s">
        <v>97</v>
      </c>
      <c r="J730" t="s">
        <v>15</v>
      </c>
    </row>
    <row r="731" spans="1:10" x14ac:dyDescent="0.3">
      <c r="A731">
        <v>1730</v>
      </c>
      <c r="B731" t="s">
        <v>68</v>
      </c>
      <c r="D731" t="s">
        <v>40</v>
      </c>
      <c r="E731" t="s">
        <v>44</v>
      </c>
      <c r="F731" t="s">
        <v>30</v>
      </c>
      <c r="G731">
        <v>0</v>
      </c>
      <c r="H731">
        <v>0</v>
      </c>
      <c r="I731" t="s">
        <v>104</v>
      </c>
      <c r="J731" t="s">
        <v>29</v>
      </c>
    </row>
    <row r="732" spans="1:10" x14ac:dyDescent="0.3">
      <c r="A732">
        <v>1731</v>
      </c>
      <c r="B732" t="s">
        <v>38</v>
      </c>
      <c r="D732" t="s">
        <v>11</v>
      </c>
      <c r="E732" t="s">
        <v>44</v>
      </c>
      <c r="F732" t="s">
        <v>30</v>
      </c>
      <c r="G732">
        <v>0</v>
      </c>
      <c r="H732">
        <v>0</v>
      </c>
      <c r="I732" t="s">
        <v>131</v>
      </c>
      <c r="J732" t="s">
        <v>20</v>
      </c>
    </row>
    <row r="733" spans="1:10" x14ac:dyDescent="0.3">
      <c r="A733">
        <v>1732</v>
      </c>
      <c r="B733" t="s">
        <v>35</v>
      </c>
      <c r="D733" t="s">
        <v>26</v>
      </c>
      <c r="E733" t="s">
        <v>44</v>
      </c>
      <c r="F733" t="s">
        <v>33</v>
      </c>
      <c r="G733">
        <v>0</v>
      </c>
      <c r="H733">
        <v>-1000</v>
      </c>
      <c r="I733" t="s">
        <v>198</v>
      </c>
      <c r="J733" t="s">
        <v>20</v>
      </c>
    </row>
    <row r="734" spans="1:10" x14ac:dyDescent="0.3">
      <c r="A734">
        <v>1733</v>
      </c>
      <c r="B734" t="s">
        <v>48</v>
      </c>
      <c r="D734" t="s">
        <v>26</v>
      </c>
      <c r="E734" t="s">
        <v>41</v>
      </c>
      <c r="F734" t="s">
        <v>36</v>
      </c>
      <c r="G734">
        <v>0</v>
      </c>
      <c r="H734">
        <v>0</v>
      </c>
      <c r="I734" t="s">
        <v>190</v>
      </c>
      <c r="J734" t="s">
        <v>20</v>
      </c>
    </row>
    <row r="735" spans="1:10" x14ac:dyDescent="0.3">
      <c r="A735">
        <v>1734</v>
      </c>
      <c r="B735" t="s">
        <v>46</v>
      </c>
      <c r="C735">
        <v>24</v>
      </c>
      <c r="D735" t="s">
        <v>22</v>
      </c>
      <c r="E735" t="s">
        <v>18</v>
      </c>
      <c r="F735" t="s">
        <v>36</v>
      </c>
      <c r="G735">
        <v>0</v>
      </c>
      <c r="H735">
        <v>-1000</v>
      </c>
      <c r="I735" t="s">
        <v>113</v>
      </c>
      <c r="J735" t="s">
        <v>45</v>
      </c>
    </row>
    <row r="736" spans="1:10" x14ac:dyDescent="0.3">
      <c r="A736">
        <v>1735</v>
      </c>
      <c r="B736" t="s">
        <v>78</v>
      </c>
      <c r="C736">
        <v>31</v>
      </c>
      <c r="D736" t="s">
        <v>17</v>
      </c>
      <c r="E736" t="s">
        <v>12</v>
      </c>
      <c r="F736" t="s">
        <v>33</v>
      </c>
      <c r="G736">
        <v>0</v>
      </c>
      <c r="H736">
        <v>0</v>
      </c>
      <c r="I736" t="s">
        <v>143</v>
      </c>
      <c r="J736" t="s">
        <v>29</v>
      </c>
    </row>
    <row r="737" spans="1:10" x14ac:dyDescent="0.3">
      <c r="A737">
        <v>1736</v>
      </c>
      <c r="B737" t="s">
        <v>32</v>
      </c>
      <c r="D737" t="s">
        <v>17</v>
      </c>
      <c r="E737" t="s">
        <v>51</v>
      </c>
      <c r="F737" t="s">
        <v>30</v>
      </c>
      <c r="G737">
        <v>2</v>
      </c>
      <c r="H737">
        <v>-1000</v>
      </c>
      <c r="I737" t="s">
        <v>129</v>
      </c>
      <c r="J737" t="s">
        <v>43</v>
      </c>
    </row>
    <row r="738" spans="1:10" x14ac:dyDescent="0.3">
      <c r="A738">
        <v>1737</v>
      </c>
      <c r="B738" t="s">
        <v>59</v>
      </c>
      <c r="D738" t="s">
        <v>22</v>
      </c>
      <c r="E738" t="s">
        <v>51</v>
      </c>
      <c r="F738" t="s">
        <v>30</v>
      </c>
      <c r="G738">
        <v>0</v>
      </c>
      <c r="H738">
        <v>-1000</v>
      </c>
      <c r="I738" t="s">
        <v>100</v>
      </c>
      <c r="J738" t="s">
        <v>20</v>
      </c>
    </row>
    <row r="739" spans="1:10" x14ac:dyDescent="0.3">
      <c r="A739">
        <v>1738</v>
      </c>
      <c r="B739" t="s">
        <v>68</v>
      </c>
      <c r="D739" t="s">
        <v>17</v>
      </c>
      <c r="E739" t="s">
        <v>27</v>
      </c>
      <c r="F739" t="s">
        <v>33</v>
      </c>
      <c r="G739">
        <v>5</v>
      </c>
      <c r="H739">
        <v>0</v>
      </c>
      <c r="I739" t="s">
        <v>96</v>
      </c>
      <c r="J739" t="s">
        <v>15</v>
      </c>
    </row>
    <row r="740" spans="1:10" x14ac:dyDescent="0.3">
      <c r="A740">
        <v>1739</v>
      </c>
      <c r="B740" t="s">
        <v>35</v>
      </c>
      <c r="D740" t="s">
        <v>40</v>
      </c>
      <c r="E740" t="s">
        <v>23</v>
      </c>
      <c r="F740" t="s">
        <v>33</v>
      </c>
      <c r="G740">
        <v>1</v>
      </c>
      <c r="H740">
        <v>-1000</v>
      </c>
      <c r="I740" t="s">
        <v>221</v>
      </c>
      <c r="J740" t="s">
        <v>15</v>
      </c>
    </row>
    <row r="741" spans="1:10" x14ac:dyDescent="0.3">
      <c r="A741">
        <v>1740</v>
      </c>
      <c r="B741" t="s">
        <v>78</v>
      </c>
      <c r="D741" t="s">
        <v>17</v>
      </c>
      <c r="E741" t="s">
        <v>51</v>
      </c>
      <c r="F741" t="s">
        <v>13</v>
      </c>
      <c r="G741">
        <v>3</v>
      </c>
      <c r="H741">
        <v>-1000</v>
      </c>
      <c r="I741" t="s">
        <v>203</v>
      </c>
      <c r="J741" t="s">
        <v>15</v>
      </c>
    </row>
    <row r="742" spans="1:10" x14ac:dyDescent="0.3">
      <c r="A742">
        <v>1741</v>
      </c>
      <c r="B742" t="s">
        <v>62</v>
      </c>
      <c r="C742">
        <v>22</v>
      </c>
      <c r="D742" t="s">
        <v>26</v>
      </c>
      <c r="E742" t="s">
        <v>18</v>
      </c>
      <c r="F742" t="s">
        <v>13</v>
      </c>
      <c r="G742">
        <v>1</v>
      </c>
      <c r="H742">
        <v>29755</v>
      </c>
      <c r="I742" t="s">
        <v>230</v>
      </c>
      <c r="J742" t="s">
        <v>20</v>
      </c>
    </row>
    <row r="743" spans="1:10" x14ac:dyDescent="0.3">
      <c r="A743">
        <v>1742</v>
      </c>
      <c r="B743" t="s">
        <v>16</v>
      </c>
      <c r="C743">
        <v>21</v>
      </c>
      <c r="D743" t="s">
        <v>11</v>
      </c>
      <c r="E743" t="s">
        <v>41</v>
      </c>
      <c r="F743" t="s">
        <v>36</v>
      </c>
      <c r="G743">
        <v>1</v>
      </c>
      <c r="H743">
        <v>47253</v>
      </c>
      <c r="I743" t="s">
        <v>220</v>
      </c>
      <c r="J743" t="s">
        <v>20</v>
      </c>
    </row>
    <row r="744" spans="1:10" x14ac:dyDescent="0.3">
      <c r="A744">
        <v>1743</v>
      </c>
      <c r="B744" t="s">
        <v>32</v>
      </c>
      <c r="C744">
        <v>33</v>
      </c>
      <c r="D744" t="s">
        <v>17</v>
      </c>
      <c r="E744" t="s">
        <v>41</v>
      </c>
      <c r="F744" t="s">
        <v>13</v>
      </c>
      <c r="G744">
        <v>0</v>
      </c>
      <c r="H744">
        <v>-1000</v>
      </c>
      <c r="I744" t="s">
        <v>52</v>
      </c>
      <c r="J744" t="s">
        <v>43</v>
      </c>
    </row>
    <row r="745" spans="1:10" x14ac:dyDescent="0.3">
      <c r="A745">
        <v>1744</v>
      </c>
      <c r="B745" t="s">
        <v>16</v>
      </c>
      <c r="D745" t="s">
        <v>26</v>
      </c>
      <c r="E745" t="s">
        <v>41</v>
      </c>
      <c r="F745" t="s">
        <v>30</v>
      </c>
      <c r="G745">
        <v>0</v>
      </c>
      <c r="H745">
        <v>-1000</v>
      </c>
      <c r="I745" t="s">
        <v>156</v>
      </c>
      <c r="J745" t="s">
        <v>20</v>
      </c>
    </row>
    <row r="746" spans="1:10" x14ac:dyDescent="0.3">
      <c r="A746">
        <v>1745</v>
      </c>
      <c r="B746" t="s">
        <v>59</v>
      </c>
      <c r="D746" t="s">
        <v>17</v>
      </c>
      <c r="E746" t="s">
        <v>23</v>
      </c>
      <c r="F746" t="s">
        <v>13</v>
      </c>
      <c r="G746">
        <v>2</v>
      </c>
      <c r="H746">
        <v>-1000</v>
      </c>
      <c r="I746" t="s">
        <v>143</v>
      </c>
      <c r="J746" t="s">
        <v>45</v>
      </c>
    </row>
    <row r="747" spans="1:10" x14ac:dyDescent="0.3">
      <c r="A747">
        <v>1746</v>
      </c>
      <c r="B747" t="s">
        <v>10</v>
      </c>
      <c r="C747">
        <v>22</v>
      </c>
      <c r="D747" t="s">
        <v>40</v>
      </c>
      <c r="E747" t="s">
        <v>41</v>
      </c>
      <c r="F747" t="s">
        <v>30</v>
      </c>
      <c r="G747">
        <v>1</v>
      </c>
      <c r="H747">
        <v>0</v>
      </c>
      <c r="I747" t="s">
        <v>88</v>
      </c>
      <c r="J747" t="s">
        <v>15</v>
      </c>
    </row>
    <row r="748" spans="1:10" x14ac:dyDescent="0.3">
      <c r="A748">
        <v>1747</v>
      </c>
      <c r="B748" t="s">
        <v>57</v>
      </c>
      <c r="C748">
        <v>39</v>
      </c>
      <c r="D748" t="s">
        <v>11</v>
      </c>
      <c r="E748" t="s">
        <v>44</v>
      </c>
      <c r="F748" t="s">
        <v>33</v>
      </c>
      <c r="G748">
        <v>0</v>
      </c>
      <c r="H748">
        <v>0</v>
      </c>
      <c r="I748" t="s">
        <v>131</v>
      </c>
      <c r="J748" t="s">
        <v>29</v>
      </c>
    </row>
    <row r="749" spans="1:10" x14ac:dyDescent="0.3">
      <c r="A749">
        <v>1748</v>
      </c>
      <c r="B749" t="s">
        <v>32</v>
      </c>
      <c r="C749">
        <v>32</v>
      </c>
      <c r="D749" t="s">
        <v>22</v>
      </c>
      <c r="E749" t="s">
        <v>18</v>
      </c>
      <c r="F749" t="s">
        <v>13</v>
      </c>
      <c r="G749">
        <v>1</v>
      </c>
      <c r="H749">
        <v>17270</v>
      </c>
      <c r="I749" t="s">
        <v>207</v>
      </c>
      <c r="J749" t="s">
        <v>43</v>
      </c>
    </row>
    <row r="750" spans="1:10" x14ac:dyDescent="0.3">
      <c r="A750">
        <v>1749</v>
      </c>
      <c r="B750" t="s">
        <v>35</v>
      </c>
      <c r="C750">
        <v>28</v>
      </c>
      <c r="D750" t="s">
        <v>22</v>
      </c>
      <c r="E750" t="s">
        <v>55</v>
      </c>
      <c r="F750" t="s">
        <v>33</v>
      </c>
      <c r="G750">
        <v>1</v>
      </c>
      <c r="H750">
        <v>-1000</v>
      </c>
      <c r="I750" t="s">
        <v>166</v>
      </c>
      <c r="J750" t="s">
        <v>20</v>
      </c>
    </row>
    <row r="751" spans="1:10" x14ac:dyDescent="0.3">
      <c r="A751">
        <v>1750</v>
      </c>
      <c r="B751" t="s">
        <v>59</v>
      </c>
      <c r="C751">
        <v>50</v>
      </c>
      <c r="D751" t="s">
        <v>26</v>
      </c>
      <c r="E751" t="s">
        <v>23</v>
      </c>
      <c r="F751" t="s">
        <v>36</v>
      </c>
      <c r="G751">
        <v>0</v>
      </c>
      <c r="H751">
        <v>-1000</v>
      </c>
      <c r="I751" t="s">
        <v>217</v>
      </c>
      <c r="J751" t="s">
        <v>15</v>
      </c>
    </row>
    <row r="752" spans="1:10" x14ac:dyDescent="0.3">
      <c r="A752">
        <v>1751</v>
      </c>
      <c r="B752" t="s">
        <v>48</v>
      </c>
      <c r="D752" t="s">
        <v>22</v>
      </c>
      <c r="E752" t="s">
        <v>27</v>
      </c>
      <c r="F752" t="s">
        <v>33</v>
      </c>
      <c r="G752">
        <v>1</v>
      </c>
      <c r="H752">
        <v>-1000</v>
      </c>
      <c r="I752" t="s">
        <v>113</v>
      </c>
      <c r="J752" t="s">
        <v>15</v>
      </c>
    </row>
    <row r="753" spans="1:10" x14ac:dyDescent="0.3">
      <c r="A753">
        <v>1752</v>
      </c>
      <c r="B753" t="s">
        <v>54</v>
      </c>
      <c r="C753">
        <v>25</v>
      </c>
      <c r="D753" t="s">
        <v>22</v>
      </c>
      <c r="E753" t="s">
        <v>12</v>
      </c>
      <c r="F753" t="s">
        <v>30</v>
      </c>
      <c r="G753">
        <v>0</v>
      </c>
      <c r="H753">
        <v>0</v>
      </c>
      <c r="I753" t="s">
        <v>194</v>
      </c>
      <c r="J753" t="s">
        <v>20</v>
      </c>
    </row>
    <row r="754" spans="1:10" x14ac:dyDescent="0.3">
      <c r="A754">
        <v>1753</v>
      </c>
      <c r="B754" t="s">
        <v>64</v>
      </c>
      <c r="C754">
        <v>33</v>
      </c>
      <c r="D754" t="s">
        <v>11</v>
      </c>
      <c r="E754" t="s">
        <v>51</v>
      </c>
      <c r="F754" t="s">
        <v>33</v>
      </c>
      <c r="G754">
        <v>2</v>
      </c>
      <c r="H754">
        <v>-1000</v>
      </c>
      <c r="I754" t="s">
        <v>214</v>
      </c>
      <c r="J754" t="s">
        <v>29</v>
      </c>
    </row>
    <row r="755" spans="1:10" x14ac:dyDescent="0.3">
      <c r="A755">
        <v>1754</v>
      </c>
      <c r="B755" t="s">
        <v>73</v>
      </c>
      <c r="C755">
        <v>38</v>
      </c>
      <c r="D755" t="s">
        <v>17</v>
      </c>
      <c r="E755" t="s">
        <v>12</v>
      </c>
      <c r="F755" t="s">
        <v>36</v>
      </c>
      <c r="G755">
        <v>5</v>
      </c>
      <c r="H755">
        <v>-1000</v>
      </c>
      <c r="I755" t="s">
        <v>107</v>
      </c>
      <c r="J755" t="s">
        <v>45</v>
      </c>
    </row>
    <row r="756" spans="1:10" x14ac:dyDescent="0.3">
      <c r="A756">
        <v>1755</v>
      </c>
      <c r="B756" t="s">
        <v>69</v>
      </c>
      <c r="D756" t="s">
        <v>22</v>
      </c>
      <c r="E756" t="s">
        <v>51</v>
      </c>
      <c r="F756" t="s">
        <v>36</v>
      </c>
      <c r="G756">
        <v>1</v>
      </c>
      <c r="H756">
        <v>-1000</v>
      </c>
      <c r="I756" t="s">
        <v>215</v>
      </c>
      <c r="J756" t="s">
        <v>45</v>
      </c>
    </row>
    <row r="757" spans="1:10" x14ac:dyDescent="0.3">
      <c r="A757">
        <v>1756</v>
      </c>
      <c r="B757" t="s">
        <v>62</v>
      </c>
      <c r="C757">
        <v>34</v>
      </c>
      <c r="D757" t="s">
        <v>40</v>
      </c>
      <c r="E757" t="s">
        <v>55</v>
      </c>
      <c r="F757" t="s">
        <v>30</v>
      </c>
      <c r="G757">
        <v>5</v>
      </c>
      <c r="H757">
        <v>0</v>
      </c>
      <c r="I757" t="s">
        <v>47</v>
      </c>
      <c r="J757" t="s">
        <v>43</v>
      </c>
    </row>
    <row r="758" spans="1:10" x14ac:dyDescent="0.3">
      <c r="A758">
        <v>1757</v>
      </c>
      <c r="B758" t="s">
        <v>32</v>
      </c>
      <c r="C758">
        <v>49</v>
      </c>
      <c r="D758" t="s">
        <v>22</v>
      </c>
      <c r="E758" t="s">
        <v>41</v>
      </c>
      <c r="F758" t="s">
        <v>30</v>
      </c>
      <c r="G758">
        <v>5</v>
      </c>
      <c r="H758">
        <v>-1000</v>
      </c>
      <c r="I758" t="s">
        <v>147</v>
      </c>
      <c r="J758" t="s">
        <v>15</v>
      </c>
    </row>
    <row r="759" spans="1:10" x14ac:dyDescent="0.3">
      <c r="A759">
        <v>1758</v>
      </c>
      <c r="B759" t="s">
        <v>16</v>
      </c>
      <c r="D759" t="s">
        <v>17</v>
      </c>
      <c r="E759" t="s">
        <v>27</v>
      </c>
      <c r="F759" t="s">
        <v>33</v>
      </c>
      <c r="G759">
        <v>4</v>
      </c>
      <c r="H759">
        <v>8876</v>
      </c>
      <c r="I759" t="s">
        <v>94</v>
      </c>
      <c r="J759" t="s">
        <v>43</v>
      </c>
    </row>
    <row r="760" spans="1:10" x14ac:dyDescent="0.3">
      <c r="A760">
        <v>1759</v>
      </c>
      <c r="B760" t="s">
        <v>59</v>
      </c>
      <c r="D760" t="s">
        <v>22</v>
      </c>
      <c r="E760" t="s">
        <v>23</v>
      </c>
      <c r="F760" t="s">
        <v>30</v>
      </c>
      <c r="G760">
        <v>3</v>
      </c>
      <c r="H760">
        <v>37864</v>
      </c>
      <c r="I760" t="s">
        <v>139</v>
      </c>
      <c r="J760" t="s">
        <v>20</v>
      </c>
    </row>
    <row r="761" spans="1:10" x14ac:dyDescent="0.3">
      <c r="A761">
        <v>1760</v>
      </c>
      <c r="B761" t="s">
        <v>62</v>
      </c>
      <c r="C761">
        <v>48</v>
      </c>
      <c r="D761" t="s">
        <v>22</v>
      </c>
      <c r="E761" t="s">
        <v>44</v>
      </c>
      <c r="F761" t="s">
        <v>30</v>
      </c>
      <c r="G761">
        <v>2</v>
      </c>
      <c r="H761">
        <v>0</v>
      </c>
      <c r="I761" t="s">
        <v>107</v>
      </c>
      <c r="J761" t="s">
        <v>43</v>
      </c>
    </row>
    <row r="762" spans="1:10" x14ac:dyDescent="0.3">
      <c r="A762">
        <v>1761</v>
      </c>
      <c r="B762" t="s">
        <v>10</v>
      </c>
      <c r="C762">
        <v>43</v>
      </c>
      <c r="D762" t="s">
        <v>11</v>
      </c>
      <c r="E762" t="s">
        <v>55</v>
      </c>
      <c r="F762" t="s">
        <v>33</v>
      </c>
      <c r="G762">
        <v>5</v>
      </c>
      <c r="H762">
        <v>26837</v>
      </c>
      <c r="I762" t="s">
        <v>208</v>
      </c>
      <c r="J762" t="s">
        <v>15</v>
      </c>
    </row>
    <row r="763" spans="1:10" x14ac:dyDescent="0.3">
      <c r="A763">
        <v>1762</v>
      </c>
      <c r="B763" t="s">
        <v>32</v>
      </c>
      <c r="D763" t="s">
        <v>11</v>
      </c>
      <c r="E763" t="s">
        <v>27</v>
      </c>
      <c r="F763" t="s">
        <v>13</v>
      </c>
      <c r="G763">
        <v>0</v>
      </c>
      <c r="H763">
        <v>-1000</v>
      </c>
      <c r="I763" t="s">
        <v>89</v>
      </c>
      <c r="J763" t="s">
        <v>15</v>
      </c>
    </row>
    <row r="764" spans="1:10" x14ac:dyDescent="0.3">
      <c r="A764">
        <v>1763</v>
      </c>
      <c r="B764" t="s">
        <v>32</v>
      </c>
      <c r="D764" t="s">
        <v>26</v>
      </c>
      <c r="E764" t="s">
        <v>27</v>
      </c>
      <c r="F764" t="s">
        <v>36</v>
      </c>
      <c r="G764">
        <v>1</v>
      </c>
      <c r="H764">
        <v>29263</v>
      </c>
      <c r="I764" t="s">
        <v>193</v>
      </c>
      <c r="J764" t="s">
        <v>15</v>
      </c>
    </row>
    <row r="765" spans="1:10" x14ac:dyDescent="0.3">
      <c r="A765">
        <v>1764</v>
      </c>
      <c r="B765" t="s">
        <v>62</v>
      </c>
      <c r="C765">
        <v>49</v>
      </c>
      <c r="D765" t="s">
        <v>26</v>
      </c>
      <c r="E765" t="s">
        <v>12</v>
      </c>
      <c r="F765" t="s">
        <v>33</v>
      </c>
      <c r="G765">
        <v>0</v>
      </c>
      <c r="H765">
        <v>-1000</v>
      </c>
      <c r="I765" t="s">
        <v>65</v>
      </c>
      <c r="J765" t="s">
        <v>43</v>
      </c>
    </row>
    <row r="766" spans="1:10" x14ac:dyDescent="0.3">
      <c r="A766">
        <v>1765</v>
      </c>
      <c r="B766" t="s">
        <v>68</v>
      </c>
      <c r="C766">
        <v>48</v>
      </c>
      <c r="D766" t="s">
        <v>40</v>
      </c>
      <c r="E766" t="s">
        <v>51</v>
      </c>
      <c r="F766" t="s">
        <v>30</v>
      </c>
      <c r="G766">
        <v>2</v>
      </c>
      <c r="H766">
        <v>5959</v>
      </c>
      <c r="I766" t="s">
        <v>229</v>
      </c>
      <c r="J766" t="s">
        <v>20</v>
      </c>
    </row>
    <row r="767" spans="1:10" x14ac:dyDescent="0.3">
      <c r="A767">
        <v>1766</v>
      </c>
      <c r="B767" t="s">
        <v>38</v>
      </c>
      <c r="C767">
        <v>32</v>
      </c>
      <c r="D767" t="s">
        <v>26</v>
      </c>
      <c r="E767" t="s">
        <v>12</v>
      </c>
      <c r="F767" t="s">
        <v>13</v>
      </c>
      <c r="G767">
        <v>4</v>
      </c>
      <c r="H767">
        <v>0</v>
      </c>
      <c r="I767" t="s">
        <v>31</v>
      </c>
      <c r="J767" t="s">
        <v>20</v>
      </c>
    </row>
    <row r="768" spans="1:10" x14ac:dyDescent="0.3">
      <c r="A768">
        <v>1767</v>
      </c>
      <c r="B768" t="s">
        <v>35</v>
      </c>
      <c r="D768" t="s">
        <v>17</v>
      </c>
      <c r="E768" t="s">
        <v>41</v>
      </c>
      <c r="F768" t="s">
        <v>13</v>
      </c>
      <c r="G768">
        <v>0</v>
      </c>
      <c r="H768">
        <v>1277</v>
      </c>
      <c r="I768" t="s">
        <v>229</v>
      </c>
      <c r="J768" t="s">
        <v>43</v>
      </c>
    </row>
    <row r="769" spans="1:10" x14ac:dyDescent="0.3">
      <c r="A769">
        <v>1768</v>
      </c>
      <c r="B769" t="s">
        <v>16</v>
      </c>
      <c r="C769">
        <v>31</v>
      </c>
      <c r="D769" t="s">
        <v>17</v>
      </c>
      <c r="E769" t="s">
        <v>27</v>
      </c>
      <c r="F769" t="s">
        <v>13</v>
      </c>
      <c r="G769">
        <v>3</v>
      </c>
      <c r="H769">
        <v>0</v>
      </c>
      <c r="I769" t="s">
        <v>94</v>
      </c>
      <c r="J769" t="s">
        <v>45</v>
      </c>
    </row>
    <row r="770" spans="1:10" x14ac:dyDescent="0.3">
      <c r="A770">
        <v>1769</v>
      </c>
      <c r="B770" t="s">
        <v>57</v>
      </c>
      <c r="D770" t="s">
        <v>17</v>
      </c>
      <c r="E770" t="s">
        <v>12</v>
      </c>
      <c r="F770" t="s">
        <v>13</v>
      </c>
      <c r="G770">
        <v>4</v>
      </c>
      <c r="H770">
        <v>-1000</v>
      </c>
      <c r="I770" t="s">
        <v>105</v>
      </c>
      <c r="J770" t="s">
        <v>43</v>
      </c>
    </row>
    <row r="771" spans="1:10" x14ac:dyDescent="0.3">
      <c r="A771">
        <v>1770</v>
      </c>
      <c r="B771" t="s">
        <v>48</v>
      </c>
      <c r="C771">
        <v>46</v>
      </c>
      <c r="D771" t="s">
        <v>17</v>
      </c>
      <c r="E771" t="s">
        <v>55</v>
      </c>
      <c r="F771" t="s">
        <v>33</v>
      </c>
      <c r="G771">
        <v>4</v>
      </c>
      <c r="H771">
        <v>22909</v>
      </c>
      <c r="I771" t="s">
        <v>135</v>
      </c>
      <c r="J771" t="s">
        <v>45</v>
      </c>
    </row>
    <row r="772" spans="1:10" x14ac:dyDescent="0.3">
      <c r="A772">
        <v>1771</v>
      </c>
      <c r="B772" t="s">
        <v>57</v>
      </c>
      <c r="C772">
        <v>39</v>
      </c>
      <c r="D772" t="s">
        <v>22</v>
      </c>
      <c r="E772" t="s">
        <v>44</v>
      </c>
      <c r="F772" t="s">
        <v>33</v>
      </c>
      <c r="G772">
        <v>0</v>
      </c>
      <c r="H772">
        <v>-1000</v>
      </c>
      <c r="I772" t="s">
        <v>212</v>
      </c>
      <c r="J772" t="s">
        <v>20</v>
      </c>
    </row>
    <row r="773" spans="1:10" x14ac:dyDescent="0.3">
      <c r="A773">
        <v>1772</v>
      </c>
      <c r="B773" t="s">
        <v>68</v>
      </c>
      <c r="C773">
        <v>19</v>
      </c>
      <c r="D773" t="s">
        <v>26</v>
      </c>
      <c r="E773" t="s">
        <v>12</v>
      </c>
      <c r="F773" t="s">
        <v>13</v>
      </c>
      <c r="G773">
        <v>0</v>
      </c>
      <c r="H773">
        <v>-1000</v>
      </c>
      <c r="I773" t="s">
        <v>144</v>
      </c>
      <c r="J773" t="s">
        <v>15</v>
      </c>
    </row>
    <row r="774" spans="1:10" x14ac:dyDescent="0.3">
      <c r="A774">
        <v>1773</v>
      </c>
      <c r="B774" t="s">
        <v>38</v>
      </c>
      <c r="C774">
        <v>21</v>
      </c>
      <c r="D774" t="s">
        <v>11</v>
      </c>
      <c r="E774" t="s">
        <v>51</v>
      </c>
      <c r="F774" t="s">
        <v>30</v>
      </c>
      <c r="G774">
        <v>0</v>
      </c>
      <c r="H774">
        <v>-1000</v>
      </c>
      <c r="I774" t="s">
        <v>95</v>
      </c>
      <c r="J774" t="s">
        <v>20</v>
      </c>
    </row>
    <row r="775" spans="1:10" x14ac:dyDescent="0.3">
      <c r="A775">
        <v>1774</v>
      </c>
      <c r="B775" t="s">
        <v>69</v>
      </c>
      <c r="D775" t="s">
        <v>17</v>
      </c>
      <c r="E775" t="s">
        <v>12</v>
      </c>
      <c r="F775" t="s">
        <v>30</v>
      </c>
      <c r="G775">
        <v>0</v>
      </c>
      <c r="H775">
        <v>-1000</v>
      </c>
      <c r="I775" t="s">
        <v>128</v>
      </c>
      <c r="J775" t="s">
        <v>43</v>
      </c>
    </row>
    <row r="776" spans="1:10" x14ac:dyDescent="0.3">
      <c r="A776">
        <v>1775</v>
      </c>
      <c r="B776" t="s">
        <v>21</v>
      </c>
      <c r="C776">
        <v>25</v>
      </c>
      <c r="D776" t="s">
        <v>26</v>
      </c>
      <c r="E776" t="s">
        <v>51</v>
      </c>
      <c r="F776" t="s">
        <v>36</v>
      </c>
      <c r="G776">
        <v>0</v>
      </c>
      <c r="H776">
        <v>0</v>
      </c>
      <c r="I776" t="s">
        <v>206</v>
      </c>
      <c r="J776" t="s">
        <v>20</v>
      </c>
    </row>
    <row r="777" spans="1:10" x14ac:dyDescent="0.3">
      <c r="A777">
        <v>1776</v>
      </c>
      <c r="B777" t="s">
        <v>32</v>
      </c>
      <c r="D777" t="s">
        <v>26</v>
      </c>
      <c r="E777" t="s">
        <v>55</v>
      </c>
      <c r="F777" t="s">
        <v>30</v>
      </c>
      <c r="G777">
        <v>0</v>
      </c>
      <c r="H777">
        <v>5491</v>
      </c>
      <c r="I777" t="s">
        <v>39</v>
      </c>
      <c r="J777" t="s">
        <v>15</v>
      </c>
    </row>
    <row r="778" spans="1:10" x14ac:dyDescent="0.3">
      <c r="A778">
        <v>1777</v>
      </c>
      <c r="B778" t="s">
        <v>46</v>
      </c>
      <c r="D778" t="s">
        <v>26</v>
      </c>
      <c r="E778" t="s">
        <v>23</v>
      </c>
      <c r="F778" t="s">
        <v>30</v>
      </c>
      <c r="G778">
        <v>5</v>
      </c>
      <c r="H778">
        <v>0</v>
      </c>
      <c r="I778" t="s">
        <v>220</v>
      </c>
      <c r="J778" t="s">
        <v>29</v>
      </c>
    </row>
    <row r="779" spans="1:10" x14ac:dyDescent="0.3">
      <c r="A779">
        <v>1778</v>
      </c>
      <c r="B779" t="s">
        <v>54</v>
      </c>
      <c r="D779" t="s">
        <v>26</v>
      </c>
      <c r="E779" t="s">
        <v>12</v>
      </c>
      <c r="F779" t="s">
        <v>36</v>
      </c>
      <c r="G779">
        <v>1</v>
      </c>
      <c r="H779">
        <v>0</v>
      </c>
      <c r="I779" t="s">
        <v>225</v>
      </c>
      <c r="J779" t="s">
        <v>15</v>
      </c>
    </row>
    <row r="780" spans="1:10" x14ac:dyDescent="0.3">
      <c r="A780">
        <v>1779</v>
      </c>
      <c r="B780" t="s">
        <v>10</v>
      </c>
      <c r="C780">
        <v>36</v>
      </c>
      <c r="D780" t="s">
        <v>22</v>
      </c>
      <c r="E780" t="s">
        <v>44</v>
      </c>
      <c r="F780" t="s">
        <v>30</v>
      </c>
      <c r="G780">
        <v>0</v>
      </c>
      <c r="H780">
        <v>0</v>
      </c>
      <c r="I780" t="s">
        <v>138</v>
      </c>
      <c r="J780" t="s">
        <v>20</v>
      </c>
    </row>
    <row r="781" spans="1:10" x14ac:dyDescent="0.3">
      <c r="A781">
        <v>1780</v>
      </c>
      <c r="B781" t="s">
        <v>38</v>
      </c>
      <c r="C781">
        <v>27</v>
      </c>
      <c r="D781" t="s">
        <v>11</v>
      </c>
      <c r="E781" t="s">
        <v>44</v>
      </c>
      <c r="F781" t="s">
        <v>36</v>
      </c>
      <c r="G781">
        <v>0</v>
      </c>
      <c r="H781">
        <v>0</v>
      </c>
      <c r="I781" t="s">
        <v>150</v>
      </c>
      <c r="J781" t="s">
        <v>15</v>
      </c>
    </row>
    <row r="782" spans="1:10" x14ac:dyDescent="0.3">
      <c r="A782">
        <v>1781</v>
      </c>
      <c r="B782" t="s">
        <v>16</v>
      </c>
      <c r="D782" t="s">
        <v>40</v>
      </c>
      <c r="E782" t="s">
        <v>23</v>
      </c>
      <c r="F782" t="s">
        <v>13</v>
      </c>
      <c r="G782">
        <v>1</v>
      </c>
      <c r="H782">
        <v>29555</v>
      </c>
      <c r="I782" t="s">
        <v>190</v>
      </c>
      <c r="J782" t="s">
        <v>20</v>
      </c>
    </row>
    <row r="783" spans="1:10" x14ac:dyDescent="0.3">
      <c r="A783">
        <v>1782</v>
      </c>
      <c r="B783" t="s">
        <v>10</v>
      </c>
      <c r="D783" t="s">
        <v>17</v>
      </c>
      <c r="E783" t="s">
        <v>44</v>
      </c>
      <c r="F783" t="s">
        <v>33</v>
      </c>
      <c r="G783">
        <v>3</v>
      </c>
      <c r="H783">
        <v>0</v>
      </c>
      <c r="I783" t="s">
        <v>145</v>
      </c>
      <c r="J783" t="s">
        <v>15</v>
      </c>
    </row>
    <row r="784" spans="1:10" x14ac:dyDescent="0.3">
      <c r="A784">
        <v>1783</v>
      </c>
      <c r="B784" t="s">
        <v>21</v>
      </c>
      <c r="C784">
        <v>39</v>
      </c>
      <c r="D784" t="s">
        <v>22</v>
      </c>
      <c r="E784" t="s">
        <v>23</v>
      </c>
      <c r="F784" t="s">
        <v>13</v>
      </c>
      <c r="G784">
        <v>0</v>
      </c>
      <c r="H784">
        <v>25716</v>
      </c>
      <c r="I784" t="s">
        <v>116</v>
      </c>
      <c r="J784" t="s">
        <v>29</v>
      </c>
    </row>
    <row r="785" spans="1:10" x14ac:dyDescent="0.3">
      <c r="A785">
        <v>1784</v>
      </c>
      <c r="B785" t="s">
        <v>62</v>
      </c>
      <c r="D785" t="s">
        <v>22</v>
      </c>
      <c r="E785" t="s">
        <v>18</v>
      </c>
      <c r="F785" t="s">
        <v>30</v>
      </c>
      <c r="G785">
        <v>2</v>
      </c>
      <c r="H785">
        <v>0</v>
      </c>
      <c r="I785" t="s">
        <v>135</v>
      </c>
      <c r="J785" t="s">
        <v>20</v>
      </c>
    </row>
    <row r="786" spans="1:10" x14ac:dyDescent="0.3">
      <c r="A786">
        <v>1785</v>
      </c>
      <c r="B786" t="s">
        <v>68</v>
      </c>
      <c r="D786" t="s">
        <v>17</v>
      </c>
      <c r="E786" t="s">
        <v>41</v>
      </c>
      <c r="F786" t="s">
        <v>30</v>
      </c>
      <c r="G786">
        <v>1</v>
      </c>
      <c r="H786">
        <v>-1000</v>
      </c>
      <c r="I786" t="s">
        <v>153</v>
      </c>
      <c r="J786" t="s">
        <v>15</v>
      </c>
    </row>
    <row r="787" spans="1:10" x14ac:dyDescent="0.3">
      <c r="A787">
        <v>1786</v>
      </c>
      <c r="B787" t="s">
        <v>46</v>
      </c>
      <c r="C787">
        <v>45</v>
      </c>
      <c r="D787" t="s">
        <v>26</v>
      </c>
      <c r="E787" t="s">
        <v>41</v>
      </c>
      <c r="F787" t="s">
        <v>30</v>
      </c>
      <c r="G787">
        <v>0</v>
      </c>
      <c r="H787">
        <v>0</v>
      </c>
      <c r="I787" t="s">
        <v>206</v>
      </c>
      <c r="J787" t="s">
        <v>43</v>
      </c>
    </row>
    <row r="788" spans="1:10" x14ac:dyDescent="0.3">
      <c r="A788">
        <v>1787</v>
      </c>
      <c r="B788" t="s">
        <v>21</v>
      </c>
      <c r="C788">
        <v>33</v>
      </c>
      <c r="D788" t="s">
        <v>40</v>
      </c>
      <c r="E788" t="s">
        <v>51</v>
      </c>
      <c r="F788" t="s">
        <v>33</v>
      </c>
      <c r="G788">
        <v>0</v>
      </c>
      <c r="H788">
        <v>-1000</v>
      </c>
      <c r="I788" t="s">
        <v>114</v>
      </c>
      <c r="J788" t="s">
        <v>45</v>
      </c>
    </row>
    <row r="789" spans="1:10" x14ac:dyDescent="0.3">
      <c r="A789">
        <v>1788</v>
      </c>
      <c r="B789" t="s">
        <v>57</v>
      </c>
      <c r="D789" t="s">
        <v>22</v>
      </c>
      <c r="E789" t="s">
        <v>12</v>
      </c>
      <c r="F789" t="s">
        <v>30</v>
      </c>
      <c r="G789">
        <v>4</v>
      </c>
      <c r="H789">
        <v>0</v>
      </c>
      <c r="I789" t="s">
        <v>101</v>
      </c>
      <c r="J789" t="s">
        <v>45</v>
      </c>
    </row>
    <row r="790" spans="1:10" x14ac:dyDescent="0.3">
      <c r="A790">
        <v>1789</v>
      </c>
      <c r="B790" t="s">
        <v>16</v>
      </c>
      <c r="C790">
        <v>43</v>
      </c>
      <c r="D790" t="s">
        <v>26</v>
      </c>
      <c r="E790" t="s">
        <v>23</v>
      </c>
      <c r="F790" t="s">
        <v>33</v>
      </c>
      <c r="G790">
        <v>3</v>
      </c>
      <c r="H790">
        <v>9565</v>
      </c>
      <c r="I790" t="s">
        <v>160</v>
      </c>
      <c r="J790" t="s">
        <v>43</v>
      </c>
    </row>
    <row r="791" spans="1:10" x14ac:dyDescent="0.3">
      <c r="A791">
        <v>1790</v>
      </c>
      <c r="B791" t="s">
        <v>16</v>
      </c>
      <c r="D791" t="s">
        <v>26</v>
      </c>
      <c r="E791" t="s">
        <v>55</v>
      </c>
      <c r="F791" t="s">
        <v>30</v>
      </c>
      <c r="G791">
        <v>0</v>
      </c>
      <c r="H791">
        <v>-1000</v>
      </c>
      <c r="I791" t="s">
        <v>152</v>
      </c>
      <c r="J791" t="s">
        <v>20</v>
      </c>
    </row>
    <row r="792" spans="1:10" x14ac:dyDescent="0.3">
      <c r="A792">
        <v>1791</v>
      </c>
      <c r="B792" t="s">
        <v>25</v>
      </c>
      <c r="C792">
        <v>32</v>
      </c>
      <c r="D792" t="s">
        <v>11</v>
      </c>
      <c r="E792" t="s">
        <v>51</v>
      </c>
      <c r="F792" t="s">
        <v>36</v>
      </c>
      <c r="G792">
        <v>3</v>
      </c>
      <c r="H792">
        <v>-1000</v>
      </c>
      <c r="I792" t="s">
        <v>200</v>
      </c>
      <c r="J792" t="s">
        <v>45</v>
      </c>
    </row>
    <row r="793" spans="1:10" x14ac:dyDescent="0.3">
      <c r="A793">
        <v>1792</v>
      </c>
      <c r="B793" t="s">
        <v>78</v>
      </c>
      <c r="C793">
        <v>31</v>
      </c>
      <c r="D793" t="s">
        <v>40</v>
      </c>
      <c r="E793" t="s">
        <v>27</v>
      </c>
      <c r="F793" t="s">
        <v>13</v>
      </c>
      <c r="G793">
        <v>0</v>
      </c>
      <c r="H793">
        <v>13908</v>
      </c>
      <c r="I793" t="s">
        <v>83</v>
      </c>
      <c r="J793" t="s">
        <v>20</v>
      </c>
    </row>
    <row r="794" spans="1:10" x14ac:dyDescent="0.3">
      <c r="A794">
        <v>1793</v>
      </c>
      <c r="B794" t="s">
        <v>68</v>
      </c>
      <c r="D794" t="s">
        <v>11</v>
      </c>
      <c r="E794" t="s">
        <v>55</v>
      </c>
      <c r="F794" t="s">
        <v>30</v>
      </c>
      <c r="G794">
        <v>0</v>
      </c>
      <c r="H794">
        <v>-1000</v>
      </c>
      <c r="I794" t="s">
        <v>90</v>
      </c>
      <c r="J794" t="s">
        <v>20</v>
      </c>
    </row>
    <row r="795" spans="1:10" x14ac:dyDescent="0.3">
      <c r="A795">
        <v>1794</v>
      </c>
      <c r="B795" t="s">
        <v>62</v>
      </c>
      <c r="C795">
        <v>25</v>
      </c>
      <c r="D795" t="s">
        <v>26</v>
      </c>
      <c r="E795" t="s">
        <v>51</v>
      </c>
      <c r="F795" t="s">
        <v>30</v>
      </c>
      <c r="G795">
        <v>3</v>
      </c>
      <c r="H795">
        <v>-1000</v>
      </c>
      <c r="I795" t="s">
        <v>76</v>
      </c>
      <c r="J795" t="s">
        <v>29</v>
      </c>
    </row>
    <row r="796" spans="1:10" x14ac:dyDescent="0.3">
      <c r="A796">
        <v>1795</v>
      </c>
      <c r="B796" t="s">
        <v>32</v>
      </c>
      <c r="C796">
        <v>45</v>
      </c>
      <c r="D796" t="s">
        <v>40</v>
      </c>
      <c r="E796" t="s">
        <v>18</v>
      </c>
      <c r="F796" t="s">
        <v>33</v>
      </c>
      <c r="G796">
        <v>0</v>
      </c>
      <c r="H796">
        <v>0</v>
      </c>
      <c r="I796" t="s">
        <v>119</v>
      </c>
      <c r="J796" t="s">
        <v>43</v>
      </c>
    </row>
    <row r="797" spans="1:10" x14ac:dyDescent="0.3">
      <c r="A797">
        <v>1796</v>
      </c>
      <c r="B797" t="s">
        <v>48</v>
      </c>
      <c r="C797">
        <v>30</v>
      </c>
      <c r="D797" t="s">
        <v>17</v>
      </c>
      <c r="E797" t="s">
        <v>44</v>
      </c>
      <c r="F797" t="s">
        <v>33</v>
      </c>
      <c r="G797">
        <v>2</v>
      </c>
      <c r="H797">
        <v>3949</v>
      </c>
      <c r="I797" t="s">
        <v>201</v>
      </c>
      <c r="J797" t="s">
        <v>15</v>
      </c>
    </row>
    <row r="798" spans="1:10" x14ac:dyDescent="0.3">
      <c r="A798">
        <v>1797</v>
      </c>
      <c r="B798" t="s">
        <v>35</v>
      </c>
      <c r="D798" t="s">
        <v>40</v>
      </c>
      <c r="E798" t="s">
        <v>12</v>
      </c>
      <c r="F798" t="s">
        <v>30</v>
      </c>
      <c r="G798">
        <v>3</v>
      </c>
      <c r="H798">
        <v>0</v>
      </c>
      <c r="I798" t="s">
        <v>221</v>
      </c>
      <c r="J798" t="s">
        <v>20</v>
      </c>
    </row>
    <row r="799" spans="1:10" x14ac:dyDescent="0.3">
      <c r="A799">
        <v>1798</v>
      </c>
      <c r="B799" t="s">
        <v>21</v>
      </c>
      <c r="D799" t="s">
        <v>17</v>
      </c>
      <c r="E799" t="s">
        <v>27</v>
      </c>
      <c r="F799" t="s">
        <v>33</v>
      </c>
      <c r="G799">
        <v>3</v>
      </c>
      <c r="H799">
        <v>45816</v>
      </c>
      <c r="I799" t="s">
        <v>102</v>
      </c>
      <c r="J799" t="s">
        <v>15</v>
      </c>
    </row>
    <row r="800" spans="1:10" x14ac:dyDescent="0.3">
      <c r="A800">
        <v>1799</v>
      </c>
      <c r="B800" t="s">
        <v>78</v>
      </c>
      <c r="D800" t="s">
        <v>40</v>
      </c>
      <c r="E800" t="s">
        <v>51</v>
      </c>
      <c r="F800" t="s">
        <v>33</v>
      </c>
      <c r="G800">
        <v>2</v>
      </c>
      <c r="H800">
        <v>47345</v>
      </c>
      <c r="I800" t="s">
        <v>65</v>
      </c>
      <c r="J800" t="s">
        <v>20</v>
      </c>
    </row>
    <row r="801" spans="1:10" x14ac:dyDescent="0.3">
      <c r="A801">
        <v>1800</v>
      </c>
      <c r="B801" t="s">
        <v>78</v>
      </c>
      <c r="D801" t="s">
        <v>11</v>
      </c>
      <c r="E801" t="s">
        <v>23</v>
      </c>
      <c r="F801" t="s">
        <v>30</v>
      </c>
      <c r="G801">
        <v>1</v>
      </c>
      <c r="H801">
        <v>0</v>
      </c>
      <c r="I801" t="s">
        <v>81</v>
      </c>
      <c r="J801" t="s">
        <v>20</v>
      </c>
    </row>
    <row r="802" spans="1:10" x14ac:dyDescent="0.3">
      <c r="A802">
        <v>1801</v>
      </c>
      <c r="B802" t="s">
        <v>21</v>
      </c>
      <c r="D802" t="s">
        <v>26</v>
      </c>
      <c r="E802" t="s">
        <v>18</v>
      </c>
      <c r="F802" t="s">
        <v>36</v>
      </c>
      <c r="G802">
        <v>4</v>
      </c>
      <c r="H802">
        <v>45321</v>
      </c>
      <c r="I802" t="s">
        <v>49</v>
      </c>
      <c r="J802" t="s">
        <v>45</v>
      </c>
    </row>
    <row r="803" spans="1:10" x14ac:dyDescent="0.3">
      <c r="A803">
        <v>1802</v>
      </c>
      <c r="B803" t="s">
        <v>25</v>
      </c>
      <c r="C803">
        <v>31</v>
      </c>
      <c r="D803" t="s">
        <v>17</v>
      </c>
      <c r="E803" t="s">
        <v>55</v>
      </c>
      <c r="F803" t="s">
        <v>33</v>
      </c>
      <c r="G803">
        <v>5</v>
      </c>
      <c r="H803">
        <v>-1000</v>
      </c>
      <c r="I803" t="s">
        <v>123</v>
      </c>
      <c r="J803" t="s">
        <v>15</v>
      </c>
    </row>
    <row r="804" spans="1:10" x14ac:dyDescent="0.3">
      <c r="A804">
        <v>1803</v>
      </c>
      <c r="B804" t="s">
        <v>25</v>
      </c>
      <c r="D804" t="s">
        <v>26</v>
      </c>
      <c r="E804" t="s">
        <v>55</v>
      </c>
      <c r="F804" t="s">
        <v>36</v>
      </c>
      <c r="G804">
        <v>2</v>
      </c>
      <c r="H804">
        <v>0</v>
      </c>
      <c r="I804" t="s">
        <v>19</v>
      </c>
      <c r="J804" t="s">
        <v>43</v>
      </c>
    </row>
    <row r="805" spans="1:10" x14ac:dyDescent="0.3">
      <c r="A805">
        <v>1804</v>
      </c>
      <c r="B805" t="s">
        <v>73</v>
      </c>
      <c r="C805">
        <v>36</v>
      </c>
      <c r="D805" t="s">
        <v>40</v>
      </c>
      <c r="E805" t="s">
        <v>27</v>
      </c>
      <c r="F805" t="s">
        <v>36</v>
      </c>
      <c r="G805">
        <v>4</v>
      </c>
      <c r="H805">
        <v>0</v>
      </c>
      <c r="I805" t="s">
        <v>160</v>
      </c>
      <c r="J805" t="s">
        <v>15</v>
      </c>
    </row>
    <row r="806" spans="1:10" x14ac:dyDescent="0.3">
      <c r="A806">
        <v>1805</v>
      </c>
      <c r="B806" t="s">
        <v>25</v>
      </c>
      <c r="D806" t="s">
        <v>17</v>
      </c>
      <c r="E806" t="s">
        <v>44</v>
      </c>
      <c r="F806" t="s">
        <v>13</v>
      </c>
      <c r="G806">
        <v>0</v>
      </c>
      <c r="H806">
        <v>-1000</v>
      </c>
      <c r="I806" t="s">
        <v>179</v>
      </c>
      <c r="J806" t="s">
        <v>20</v>
      </c>
    </row>
    <row r="807" spans="1:10" x14ac:dyDescent="0.3">
      <c r="A807">
        <v>1806</v>
      </c>
      <c r="B807" t="s">
        <v>64</v>
      </c>
      <c r="C807">
        <v>23</v>
      </c>
      <c r="D807" t="s">
        <v>22</v>
      </c>
      <c r="E807" t="s">
        <v>51</v>
      </c>
      <c r="F807" t="s">
        <v>13</v>
      </c>
      <c r="G807">
        <v>2</v>
      </c>
      <c r="H807">
        <v>0</v>
      </c>
      <c r="I807" t="s">
        <v>88</v>
      </c>
      <c r="J807" t="s">
        <v>43</v>
      </c>
    </row>
    <row r="808" spans="1:10" x14ac:dyDescent="0.3">
      <c r="A808">
        <v>1807</v>
      </c>
      <c r="B808" t="s">
        <v>54</v>
      </c>
      <c r="C808">
        <v>43</v>
      </c>
      <c r="D808" t="s">
        <v>11</v>
      </c>
      <c r="E808" t="s">
        <v>44</v>
      </c>
      <c r="F808" t="s">
        <v>30</v>
      </c>
      <c r="G808">
        <v>0</v>
      </c>
      <c r="H808">
        <v>0</v>
      </c>
      <c r="I808" t="s">
        <v>77</v>
      </c>
      <c r="J808" t="s">
        <v>45</v>
      </c>
    </row>
    <row r="809" spans="1:10" x14ac:dyDescent="0.3">
      <c r="A809">
        <v>1808</v>
      </c>
      <c r="B809" t="s">
        <v>10</v>
      </c>
      <c r="D809" t="s">
        <v>22</v>
      </c>
      <c r="E809" t="s">
        <v>55</v>
      </c>
      <c r="F809" t="s">
        <v>36</v>
      </c>
      <c r="G809">
        <v>5</v>
      </c>
      <c r="H809">
        <v>0</v>
      </c>
      <c r="I809" t="s">
        <v>28</v>
      </c>
      <c r="J809" t="s">
        <v>43</v>
      </c>
    </row>
    <row r="810" spans="1:10" x14ac:dyDescent="0.3">
      <c r="A810">
        <v>1809</v>
      </c>
      <c r="B810" t="s">
        <v>35</v>
      </c>
      <c r="C810">
        <v>39</v>
      </c>
      <c r="D810" t="s">
        <v>22</v>
      </c>
      <c r="E810" t="s">
        <v>41</v>
      </c>
      <c r="F810" t="s">
        <v>36</v>
      </c>
      <c r="G810">
        <v>4</v>
      </c>
      <c r="H810">
        <v>21811</v>
      </c>
      <c r="I810" t="s">
        <v>60</v>
      </c>
      <c r="J810" t="s">
        <v>20</v>
      </c>
    </row>
    <row r="811" spans="1:10" x14ac:dyDescent="0.3">
      <c r="A811">
        <v>1810</v>
      </c>
      <c r="B811" t="s">
        <v>35</v>
      </c>
      <c r="C811">
        <v>49</v>
      </c>
      <c r="D811" t="s">
        <v>11</v>
      </c>
      <c r="E811" t="s">
        <v>12</v>
      </c>
      <c r="F811" t="s">
        <v>33</v>
      </c>
      <c r="G811">
        <v>0</v>
      </c>
      <c r="H811">
        <v>0</v>
      </c>
      <c r="I811" t="s">
        <v>210</v>
      </c>
      <c r="J811" t="s">
        <v>15</v>
      </c>
    </row>
    <row r="812" spans="1:10" x14ac:dyDescent="0.3">
      <c r="A812">
        <v>1811</v>
      </c>
      <c r="B812" t="s">
        <v>10</v>
      </c>
      <c r="C812">
        <v>20</v>
      </c>
      <c r="D812" t="s">
        <v>17</v>
      </c>
      <c r="E812" t="s">
        <v>12</v>
      </c>
      <c r="F812" t="s">
        <v>36</v>
      </c>
      <c r="G812">
        <v>1</v>
      </c>
      <c r="H812">
        <v>0</v>
      </c>
      <c r="I812" t="s">
        <v>179</v>
      </c>
      <c r="J812" t="s">
        <v>29</v>
      </c>
    </row>
    <row r="813" spans="1:10" x14ac:dyDescent="0.3">
      <c r="A813">
        <v>1812</v>
      </c>
      <c r="B813" t="s">
        <v>73</v>
      </c>
      <c r="C813">
        <v>20</v>
      </c>
      <c r="D813" t="s">
        <v>26</v>
      </c>
      <c r="E813" t="s">
        <v>44</v>
      </c>
      <c r="F813" t="s">
        <v>36</v>
      </c>
      <c r="G813">
        <v>2</v>
      </c>
      <c r="H813">
        <v>0</v>
      </c>
      <c r="I813" t="s">
        <v>75</v>
      </c>
      <c r="J813" t="s">
        <v>20</v>
      </c>
    </row>
    <row r="814" spans="1:10" x14ac:dyDescent="0.3">
      <c r="A814">
        <v>1813</v>
      </c>
      <c r="B814" t="s">
        <v>62</v>
      </c>
      <c r="C814">
        <v>42</v>
      </c>
      <c r="D814" t="s">
        <v>22</v>
      </c>
      <c r="E814" t="s">
        <v>55</v>
      </c>
      <c r="F814" t="s">
        <v>33</v>
      </c>
      <c r="G814">
        <v>0</v>
      </c>
      <c r="H814">
        <v>0</v>
      </c>
      <c r="I814" t="s">
        <v>224</v>
      </c>
      <c r="J814" t="s">
        <v>15</v>
      </c>
    </row>
    <row r="815" spans="1:10" x14ac:dyDescent="0.3">
      <c r="A815">
        <v>1814</v>
      </c>
      <c r="B815" t="s">
        <v>16</v>
      </c>
      <c r="D815" t="s">
        <v>22</v>
      </c>
      <c r="E815" t="s">
        <v>23</v>
      </c>
      <c r="F815" t="s">
        <v>13</v>
      </c>
      <c r="G815">
        <v>0</v>
      </c>
      <c r="H815">
        <v>-1000</v>
      </c>
      <c r="I815" t="s">
        <v>229</v>
      </c>
      <c r="J815" t="s">
        <v>43</v>
      </c>
    </row>
    <row r="816" spans="1:10" x14ac:dyDescent="0.3">
      <c r="A816">
        <v>1815</v>
      </c>
      <c r="B816" t="s">
        <v>10</v>
      </c>
      <c r="C816">
        <v>19</v>
      </c>
      <c r="D816" t="s">
        <v>26</v>
      </c>
      <c r="E816" t="s">
        <v>18</v>
      </c>
      <c r="F816" t="s">
        <v>36</v>
      </c>
      <c r="G816">
        <v>5</v>
      </c>
      <c r="H816">
        <v>-1000</v>
      </c>
      <c r="I816" t="s">
        <v>58</v>
      </c>
      <c r="J816" t="s">
        <v>43</v>
      </c>
    </row>
    <row r="817" spans="1:10" x14ac:dyDescent="0.3">
      <c r="A817">
        <v>1816</v>
      </c>
      <c r="B817" t="s">
        <v>59</v>
      </c>
      <c r="C817">
        <v>33</v>
      </c>
      <c r="D817" t="s">
        <v>17</v>
      </c>
      <c r="E817" t="s">
        <v>51</v>
      </c>
      <c r="F817" t="s">
        <v>30</v>
      </c>
      <c r="G817">
        <v>4</v>
      </c>
      <c r="H817">
        <v>0</v>
      </c>
      <c r="I817" t="s">
        <v>49</v>
      </c>
      <c r="J817" t="s">
        <v>45</v>
      </c>
    </row>
    <row r="818" spans="1:10" x14ac:dyDescent="0.3">
      <c r="A818">
        <v>1817</v>
      </c>
      <c r="B818" t="s">
        <v>32</v>
      </c>
      <c r="C818">
        <v>37</v>
      </c>
      <c r="D818" t="s">
        <v>22</v>
      </c>
      <c r="E818" t="s">
        <v>41</v>
      </c>
      <c r="F818" t="s">
        <v>30</v>
      </c>
      <c r="G818">
        <v>5</v>
      </c>
      <c r="H818">
        <v>2673</v>
      </c>
      <c r="I818" t="s">
        <v>230</v>
      </c>
      <c r="J818" t="s">
        <v>20</v>
      </c>
    </row>
    <row r="819" spans="1:10" x14ac:dyDescent="0.3">
      <c r="A819">
        <v>1818</v>
      </c>
      <c r="B819" t="s">
        <v>32</v>
      </c>
      <c r="D819" t="s">
        <v>26</v>
      </c>
      <c r="E819" t="s">
        <v>27</v>
      </c>
      <c r="F819" t="s">
        <v>13</v>
      </c>
      <c r="G819">
        <v>2</v>
      </c>
      <c r="H819">
        <v>37938</v>
      </c>
      <c r="I819" t="s">
        <v>89</v>
      </c>
      <c r="J819" t="s">
        <v>29</v>
      </c>
    </row>
    <row r="820" spans="1:10" x14ac:dyDescent="0.3">
      <c r="A820">
        <v>1819</v>
      </c>
      <c r="B820" t="s">
        <v>21</v>
      </c>
      <c r="C820">
        <v>27</v>
      </c>
      <c r="D820" t="s">
        <v>17</v>
      </c>
      <c r="E820" t="s">
        <v>23</v>
      </c>
      <c r="F820" t="s">
        <v>36</v>
      </c>
      <c r="G820">
        <v>1</v>
      </c>
      <c r="H820">
        <v>0</v>
      </c>
      <c r="I820" t="s">
        <v>153</v>
      </c>
      <c r="J820" t="s">
        <v>45</v>
      </c>
    </row>
    <row r="821" spans="1:10" x14ac:dyDescent="0.3">
      <c r="A821">
        <v>1820</v>
      </c>
      <c r="B821" t="s">
        <v>68</v>
      </c>
      <c r="C821">
        <v>37</v>
      </c>
      <c r="D821" t="s">
        <v>11</v>
      </c>
      <c r="E821" t="s">
        <v>51</v>
      </c>
      <c r="F821" t="s">
        <v>36</v>
      </c>
      <c r="G821">
        <v>0</v>
      </c>
      <c r="H821">
        <v>-1000</v>
      </c>
      <c r="I821" t="s">
        <v>162</v>
      </c>
      <c r="J821" t="s">
        <v>45</v>
      </c>
    </row>
    <row r="822" spans="1:10" x14ac:dyDescent="0.3">
      <c r="A822">
        <v>1821</v>
      </c>
      <c r="B822" t="s">
        <v>25</v>
      </c>
      <c r="C822">
        <v>50</v>
      </c>
      <c r="D822" t="s">
        <v>17</v>
      </c>
      <c r="E822" t="s">
        <v>51</v>
      </c>
      <c r="F822" t="s">
        <v>13</v>
      </c>
      <c r="G822">
        <v>2</v>
      </c>
      <c r="H822">
        <v>-1000</v>
      </c>
      <c r="I822" t="s">
        <v>79</v>
      </c>
      <c r="J822" t="s">
        <v>20</v>
      </c>
    </row>
    <row r="823" spans="1:10" x14ac:dyDescent="0.3">
      <c r="A823">
        <v>1822</v>
      </c>
      <c r="B823" t="s">
        <v>57</v>
      </c>
      <c r="C823">
        <v>34</v>
      </c>
      <c r="D823" t="s">
        <v>17</v>
      </c>
      <c r="E823" t="s">
        <v>44</v>
      </c>
      <c r="F823" t="s">
        <v>36</v>
      </c>
      <c r="G823">
        <v>0</v>
      </c>
      <c r="H823">
        <v>-1000</v>
      </c>
      <c r="I823" t="s">
        <v>124</v>
      </c>
      <c r="J823" t="s">
        <v>29</v>
      </c>
    </row>
    <row r="824" spans="1:10" x14ac:dyDescent="0.3">
      <c r="A824">
        <v>1823</v>
      </c>
      <c r="B824" t="s">
        <v>10</v>
      </c>
      <c r="D824" t="s">
        <v>40</v>
      </c>
      <c r="E824" t="s">
        <v>51</v>
      </c>
      <c r="F824" t="s">
        <v>33</v>
      </c>
      <c r="G824">
        <v>0</v>
      </c>
      <c r="H824">
        <v>-1000</v>
      </c>
      <c r="I824" t="s">
        <v>188</v>
      </c>
      <c r="J824" t="s">
        <v>20</v>
      </c>
    </row>
    <row r="825" spans="1:10" x14ac:dyDescent="0.3">
      <c r="A825">
        <v>1824</v>
      </c>
      <c r="B825" t="s">
        <v>69</v>
      </c>
      <c r="C825">
        <v>24</v>
      </c>
      <c r="D825" t="s">
        <v>26</v>
      </c>
      <c r="E825" t="s">
        <v>23</v>
      </c>
      <c r="F825" t="s">
        <v>36</v>
      </c>
      <c r="G825">
        <v>0</v>
      </c>
      <c r="H825">
        <v>10076</v>
      </c>
      <c r="I825" t="s">
        <v>110</v>
      </c>
      <c r="J825" t="s">
        <v>43</v>
      </c>
    </row>
    <row r="826" spans="1:10" x14ac:dyDescent="0.3">
      <c r="A826">
        <v>1825</v>
      </c>
      <c r="B826" t="s">
        <v>32</v>
      </c>
      <c r="C826">
        <v>42</v>
      </c>
      <c r="D826" t="s">
        <v>26</v>
      </c>
      <c r="E826" t="s">
        <v>27</v>
      </c>
      <c r="F826" t="s">
        <v>33</v>
      </c>
      <c r="G826">
        <v>0</v>
      </c>
      <c r="H826">
        <v>-1000</v>
      </c>
      <c r="I826" t="s">
        <v>56</v>
      </c>
      <c r="J826" t="s">
        <v>29</v>
      </c>
    </row>
    <row r="827" spans="1:10" x14ac:dyDescent="0.3">
      <c r="A827">
        <v>1826</v>
      </c>
      <c r="B827" t="s">
        <v>59</v>
      </c>
      <c r="C827">
        <v>29</v>
      </c>
      <c r="D827" t="s">
        <v>22</v>
      </c>
      <c r="E827" t="s">
        <v>41</v>
      </c>
      <c r="F827" t="s">
        <v>13</v>
      </c>
      <c r="G827">
        <v>0</v>
      </c>
      <c r="H827">
        <v>0</v>
      </c>
      <c r="I827" t="s">
        <v>72</v>
      </c>
      <c r="J827" t="s">
        <v>15</v>
      </c>
    </row>
    <row r="828" spans="1:10" x14ac:dyDescent="0.3">
      <c r="A828">
        <v>1827</v>
      </c>
      <c r="B828" t="s">
        <v>78</v>
      </c>
      <c r="C828">
        <v>34</v>
      </c>
      <c r="D828" t="s">
        <v>17</v>
      </c>
      <c r="E828" t="s">
        <v>55</v>
      </c>
      <c r="F828" t="s">
        <v>13</v>
      </c>
      <c r="G828">
        <v>2</v>
      </c>
      <c r="H828">
        <v>-1000</v>
      </c>
      <c r="I828" t="s">
        <v>31</v>
      </c>
      <c r="J828" t="s">
        <v>43</v>
      </c>
    </row>
    <row r="829" spans="1:10" x14ac:dyDescent="0.3">
      <c r="A829">
        <v>1828</v>
      </c>
      <c r="B829" t="s">
        <v>54</v>
      </c>
      <c r="D829" t="s">
        <v>11</v>
      </c>
      <c r="E829" t="s">
        <v>51</v>
      </c>
      <c r="F829" t="s">
        <v>30</v>
      </c>
      <c r="G829">
        <v>2</v>
      </c>
      <c r="H829">
        <v>6820</v>
      </c>
      <c r="I829" t="s">
        <v>126</v>
      </c>
      <c r="J829" t="s">
        <v>29</v>
      </c>
    </row>
    <row r="830" spans="1:10" x14ac:dyDescent="0.3">
      <c r="A830">
        <v>1829</v>
      </c>
      <c r="B830" t="s">
        <v>62</v>
      </c>
      <c r="D830" t="s">
        <v>26</v>
      </c>
      <c r="E830" t="s">
        <v>12</v>
      </c>
      <c r="F830" t="s">
        <v>30</v>
      </c>
      <c r="G830">
        <v>0</v>
      </c>
      <c r="H830">
        <v>41447</v>
      </c>
      <c r="I830" t="s">
        <v>174</v>
      </c>
      <c r="J830" t="s">
        <v>43</v>
      </c>
    </row>
    <row r="831" spans="1:10" x14ac:dyDescent="0.3">
      <c r="A831">
        <v>1830</v>
      </c>
      <c r="B831" t="s">
        <v>46</v>
      </c>
      <c r="C831">
        <v>47</v>
      </c>
      <c r="D831" t="s">
        <v>11</v>
      </c>
      <c r="E831" t="s">
        <v>23</v>
      </c>
      <c r="F831" t="s">
        <v>13</v>
      </c>
      <c r="G831">
        <v>0</v>
      </c>
      <c r="H831">
        <v>-1000</v>
      </c>
      <c r="I831" t="s">
        <v>218</v>
      </c>
      <c r="J831" t="s">
        <v>20</v>
      </c>
    </row>
    <row r="832" spans="1:10" x14ac:dyDescent="0.3">
      <c r="A832">
        <v>1831</v>
      </c>
      <c r="B832" t="s">
        <v>68</v>
      </c>
      <c r="C832">
        <v>49</v>
      </c>
      <c r="D832" t="s">
        <v>17</v>
      </c>
      <c r="E832" t="s">
        <v>44</v>
      </c>
      <c r="F832" t="s">
        <v>30</v>
      </c>
      <c r="G832">
        <v>5</v>
      </c>
      <c r="H832">
        <v>-1000</v>
      </c>
      <c r="I832" t="s">
        <v>134</v>
      </c>
      <c r="J832" t="s">
        <v>20</v>
      </c>
    </row>
    <row r="833" spans="1:10" x14ac:dyDescent="0.3">
      <c r="A833">
        <v>1832</v>
      </c>
      <c r="B833" t="s">
        <v>54</v>
      </c>
      <c r="D833" t="s">
        <v>40</v>
      </c>
      <c r="E833" t="s">
        <v>23</v>
      </c>
      <c r="F833" t="s">
        <v>36</v>
      </c>
      <c r="G833">
        <v>0</v>
      </c>
      <c r="H833">
        <v>43953</v>
      </c>
      <c r="I833" t="s">
        <v>197</v>
      </c>
      <c r="J833" t="s">
        <v>43</v>
      </c>
    </row>
    <row r="834" spans="1:10" x14ac:dyDescent="0.3">
      <c r="A834">
        <v>1833</v>
      </c>
      <c r="B834" t="s">
        <v>38</v>
      </c>
      <c r="C834">
        <v>39</v>
      </c>
      <c r="D834" t="s">
        <v>22</v>
      </c>
      <c r="E834" t="s">
        <v>51</v>
      </c>
      <c r="F834" t="s">
        <v>33</v>
      </c>
      <c r="G834">
        <v>5</v>
      </c>
      <c r="H834">
        <v>0</v>
      </c>
      <c r="I834" t="s">
        <v>138</v>
      </c>
      <c r="J834" t="s">
        <v>15</v>
      </c>
    </row>
    <row r="835" spans="1:10" x14ac:dyDescent="0.3">
      <c r="A835">
        <v>1834</v>
      </c>
      <c r="B835" t="s">
        <v>38</v>
      </c>
      <c r="C835">
        <v>32</v>
      </c>
      <c r="D835" t="s">
        <v>40</v>
      </c>
      <c r="E835" t="s">
        <v>27</v>
      </c>
      <c r="F835" t="s">
        <v>13</v>
      </c>
      <c r="G835">
        <v>2</v>
      </c>
      <c r="H835">
        <v>32322</v>
      </c>
      <c r="I835" t="s">
        <v>101</v>
      </c>
      <c r="J835" t="s">
        <v>29</v>
      </c>
    </row>
    <row r="836" spans="1:10" x14ac:dyDescent="0.3">
      <c r="A836">
        <v>1835</v>
      </c>
      <c r="B836" t="s">
        <v>68</v>
      </c>
      <c r="C836">
        <v>37</v>
      </c>
      <c r="D836" t="s">
        <v>11</v>
      </c>
      <c r="E836" t="s">
        <v>51</v>
      </c>
      <c r="F836" t="s">
        <v>13</v>
      </c>
      <c r="G836">
        <v>0</v>
      </c>
      <c r="H836">
        <v>-1000</v>
      </c>
      <c r="I836" t="s">
        <v>94</v>
      </c>
      <c r="J836" t="s">
        <v>45</v>
      </c>
    </row>
    <row r="837" spans="1:10" x14ac:dyDescent="0.3">
      <c r="A837">
        <v>1836</v>
      </c>
      <c r="B837" t="s">
        <v>57</v>
      </c>
      <c r="D837" t="s">
        <v>22</v>
      </c>
      <c r="E837" t="s">
        <v>18</v>
      </c>
      <c r="F837" t="s">
        <v>36</v>
      </c>
      <c r="G837">
        <v>1</v>
      </c>
      <c r="H837">
        <v>-1000</v>
      </c>
      <c r="I837" t="s">
        <v>144</v>
      </c>
      <c r="J837" t="s">
        <v>20</v>
      </c>
    </row>
    <row r="838" spans="1:10" x14ac:dyDescent="0.3">
      <c r="A838">
        <v>1837</v>
      </c>
      <c r="B838" t="s">
        <v>32</v>
      </c>
      <c r="D838" t="s">
        <v>40</v>
      </c>
      <c r="E838" t="s">
        <v>27</v>
      </c>
      <c r="F838" t="s">
        <v>33</v>
      </c>
      <c r="G838">
        <v>3</v>
      </c>
      <c r="H838">
        <v>40566</v>
      </c>
      <c r="I838" t="s">
        <v>103</v>
      </c>
      <c r="J838" t="s">
        <v>29</v>
      </c>
    </row>
    <row r="839" spans="1:10" x14ac:dyDescent="0.3">
      <c r="A839">
        <v>1838</v>
      </c>
      <c r="B839" t="s">
        <v>38</v>
      </c>
      <c r="C839">
        <v>44</v>
      </c>
      <c r="D839" t="s">
        <v>26</v>
      </c>
      <c r="E839" t="s">
        <v>27</v>
      </c>
      <c r="F839" t="s">
        <v>13</v>
      </c>
      <c r="G839">
        <v>0</v>
      </c>
      <c r="H839">
        <v>0</v>
      </c>
      <c r="I839" t="s">
        <v>215</v>
      </c>
      <c r="J839" t="s">
        <v>43</v>
      </c>
    </row>
    <row r="840" spans="1:10" x14ac:dyDescent="0.3">
      <c r="A840">
        <v>1839</v>
      </c>
      <c r="B840" t="s">
        <v>46</v>
      </c>
      <c r="C840">
        <v>50</v>
      </c>
      <c r="D840" t="s">
        <v>40</v>
      </c>
      <c r="E840" t="s">
        <v>41</v>
      </c>
      <c r="F840" t="s">
        <v>36</v>
      </c>
      <c r="G840">
        <v>5</v>
      </c>
      <c r="H840">
        <v>-1000</v>
      </c>
      <c r="I840" t="s">
        <v>19</v>
      </c>
      <c r="J840" t="s">
        <v>43</v>
      </c>
    </row>
    <row r="841" spans="1:10" x14ac:dyDescent="0.3">
      <c r="A841">
        <v>1840</v>
      </c>
      <c r="B841" t="s">
        <v>73</v>
      </c>
      <c r="D841" t="s">
        <v>40</v>
      </c>
      <c r="E841" t="s">
        <v>41</v>
      </c>
      <c r="F841" t="s">
        <v>36</v>
      </c>
      <c r="G841">
        <v>0</v>
      </c>
      <c r="H841">
        <v>-1000</v>
      </c>
      <c r="I841" t="s">
        <v>187</v>
      </c>
      <c r="J841" t="s">
        <v>45</v>
      </c>
    </row>
    <row r="842" spans="1:10" x14ac:dyDescent="0.3">
      <c r="A842">
        <v>1841</v>
      </c>
      <c r="B842" t="s">
        <v>21</v>
      </c>
      <c r="C842">
        <v>18</v>
      </c>
      <c r="D842" t="s">
        <v>17</v>
      </c>
      <c r="E842" t="s">
        <v>27</v>
      </c>
      <c r="F842" t="s">
        <v>13</v>
      </c>
      <c r="G842">
        <v>3</v>
      </c>
      <c r="H842">
        <v>-1000</v>
      </c>
      <c r="I842" t="s">
        <v>205</v>
      </c>
      <c r="J842" t="s">
        <v>15</v>
      </c>
    </row>
    <row r="843" spans="1:10" x14ac:dyDescent="0.3">
      <c r="A843">
        <v>1842</v>
      </c>
      <c r="B843" t="s">
        <v>21</v>
      </c>
      <c r="C843">
        <v>20</v>
      </c>
      <c r="D843" t="s">
        <v>40</v>
      </c>
      <c r="E843" t="s">
        <v>51</v>
      </c>
      <c r="F843" t="s">
        <v>13</v>
      </c>
      <c r="G843">
        <v>0</v>
      </c>
      <c r="H843">
        <v>-1000</v>
      </c>
      <c r="I843" t="s">
        <v>56</v>
      </c>
      <c r="J843" t="s">
        <v>43</v>
      </c>
    </row>
    <row r="844" spans="1:10" x14ac:dyDescent="0.3">
      <c r="A844">
        <v>1843</v>
      </c>
      <c r="B844" t="s">
        <v>16</v>
      </c>
      <c r="D844" t="s">
        <v>26</v>
      </c>
      <c r="E844" t="s">
        <v>12</v>
      </c>
      <c r="F844" t="s">
        <v>33</v>
      </c>
      <c r="G844">
        <v>0</v>
      </c>
      <c r="H844">
        <v>30368</v>
      </c>
      <c r="I844" t="s">
        <v>174</v>
      </c>
      <c r="J844" t="s">
        <v>29</v>
      </c>
    </row>
    <row r="845" spans="1:10" x14ac:dyDescent="0.3">
      <c r="A845">
        <v>1844</v>
      </c>
      <c r="B845" t="s">
        <v>16</v>
      </c>
      <c r="C845">
        <v>23</v>
      </c>
      <c r="D845" t="s">
        <v>40</v>
      </c>
      <c r="E845" t="s">
        <v>27</v>
      </c>
      <c r="F845" t="s">
        <v>13</v>
      </c>
      <c r="G845">
        <v>0</v>
      </c>
      <c r="H845">
        <v>1125</v>
      </c>
      <c r="I845" t="s">
        <v>60</v>
      </c>
      <c r="J845" t="s">
        <v>45</v>
      </c>
    </row>
    <row r="846" spans="1:10" x14ac:dyDescent="0.3">
      <c r="A846">
        <v>1845</v>
      </c>
      <c r="B846" t="s">
        <v>69</v>
      </c>
      <c r="C846">
        <v>19</v>
      </c>
      <c r="D846" t="s">
        <v>22</v>
      </c>
      <c r="E846" t="s">
        <v>55</v>
      </c>
      <c r="F846" t="s">
        <v>13</v>
      </c>
      <c r="G846">
        <v>0</v>
      </c>
      <c r="H846">
        <v>0</v>
      </c>
      <c r="I846" t="s">
        <v>172</v>
      </c>
      <c r="J846" t="s">
        <v>43</v>
      </c>
    </row>
    <row r="847" spans="1:10" x14ac:dyDescent="0.3">
      <c r="A847">
        <v>1846</v>
      </c>
      <c r="B847" t="s">
        <v>78</v>
      </c>
      <c r="C847">
        <v>42</v>
      </c>
      <c r="D847" t="s">
        <v>26</v>
      </c>
      <c r="E847" t="s">
        <v>51</v>
      </c>
      <c r="F847" t="s">
        <v>30</v>
      </c>
      <c r="G847">
        <v>0</v>
      </c>
      <c r="H847">
        <v>0</v>
      </c>
      <c r="I847" t="s">
        <v>208</v>
      </c>
      <c r="J847" t="s">
        <v>15</v>
      </c>
    </row>
    <row r="848" spans="1:10" x14ac:dyDescent="0.3">
      <c r="A848">
        <v>1847</v>
      </c>
      <c r="B848" t="s">
        <v>73</v>
      </c>
      <c r="C848">
        <v>32</v>
      </c>
      <c r="D848" t="s">
        <v>17</v>
      </c>
      <c r="E848" t="s">
        <v>18</v>
      </c>
      <c r="F848" t="s">
        <v>13</v>
      </c>
      <c r="G848">
        <v>1</v>
      </c>
      <c r="H848">
        <v>0</v>
      </c>
      <c r="I848" t="s">
        <v>102</v>
      </c>
      <c r="J848" t="s">
        <v>45</v>
      </c>
    </row>
    <row r="849" spans="1:10" x14ac:dyDescent="0.3">
      <c r="A849">
        <v>1848</v>
      </c>
      <c r="B849" t="s">
        <v>25</v>
      </c>
      <c r="C849">
        <v>30</v>
      </c>
      <c r="D849" t="s">
        <v>11</v>
      </c>
      <c r="E849" t="s">
        <v>41</v>
      </c>
      <c r="F849" t="s">
        <v>36</v>
      </c>
      <c r="G849">
        <v>0</v>
      </c>
      <c r="H849">
        <v>16126</v>
      </c>
      <c r="I849" t="s">
        <v>63</v>
      </c>
      <c r="J849" t="s">
        <v>20</v>
      </c>
    </row>
    <row r="850" spans="1:10" x14ac:dyDescent="0.3">
      <c r="A850">
        <v>1849</v>
      </c>
      <c r="B850" t="s">
        <v>78</v>
      </c>
      <c r="C850">
        <v>36</v>
      </c>
      <c r="D850" t="s">
        <v>11</v>
      </c>
      <c r="E850" t="s">
        <v>23</v>
      </c>
      <c r="F850" t="s">
        <v>36</v>
      </c>
      <c r="G850">
        <v>4</v>
      </c>
      <c r="H850">
        <v>-1000</v>
      </c>
      <c r="I850" t="s">
        <v>218</v>
      </c>
      <c r="J850" t="s">
        <v>29</v>
      </c>
    </row>
    <row r="851" spans="1:10" x14ac:dyDescent="0.3">
      <c r="A851">
        <v>1850</v>
      </c>
      <c r="B851" t="s">
        <v>59</v>
      </c>
      <c r="C851">
        <v>38</v>
      </c>
      <c r="D851" t="s">
        <v>17</v>
      </c>
      <c r="E851" t="s">
        <v>51</v>
      </c>
      <c r="F851" t="s">
        <v>33</v>
      </c>
      <c r="G851">
        <v>3</v>
      </c>
      <c r="H851">
        <v>0</v>
      </c>
      <c r="I851" t="s">
        <v>194</v>
      </c>
      <c r="J851" t="s">
        <v>15</v>
      </c>
    </row>
    <row r="852" spans="1:10" x14ac:dyDescent="0.3">
      <c r="A852">
        <v>1851</v>
      </c>
      <c r="B852" t="s">
        <v>10</v>
      </c>
      <c r="D852" t="s">
        <v>17</v>
      </c>
      <c r="E852" t="s">
        <v>55</v>
      </c>
      <c r="F852" t="s">
        <v>33</v>
      </c>
      <c r="G852">
        <v>1</v>
      </c>
      <c r="H852">
        <v>7915</v>
      </c>
      <c r="I852" t="s">
        <v>92</v>
      </c>
      <c r="J852" t="s">
        <v>29</v>
      </c>
    </row>
    <row r="853" spans="1:10" x14ac:dyDescent="0.3">
      <c r="A853">
        <v>1852</v>
      </c>
      <c r="B853" t="s">
        <v>48</v>
      </c>
      <c r="C853">
        <v>19</v>
      </c>
      <c r="D853" t="s">
        <v>40</v>
      </c>
      <c r="E853" t="s">
        <v>41</v>
      </c>
      <c r="F853" t="s">
        <v>36</v>
      </c>
      <c r="G853">
        <v>5</v>
      </c>
      <c r="H853">
        <v>23339</v>
      </c>
      <c r="I853" t="s">
        <v>66</v>
      </c>
      <c r="J853" t="s">
        <v>29</v>
      </c>
    </row>
    <row r="854" spans="1:10" x14ac:dyDescent="0.3">
      <c r="A854">
        <v>1853</v>
      </c>
      <c r="B854" t="s">
        <v>32</v>
      </c>
      <c r="D854" t="s">
        <v>11</v>
      </c>
      <c r="E854" t="s">
        <v>27</v>
      </c>
      <c r="F854" t="s">
        <v>36</v>
      </c>
      <c r="G854">
        <v>0</v>
      </c>
      <c r="H854">
        <v>0</v>
      </c>
      <c r="I854" t="s">
        <v>211</v>
      </c>
      <c r="J854" t="s">
        <v>43</v>
      </c>
    </row>
    <row r="855" spans="1:10" x14ac:dyDescent="0.3">
      <c r="A855">
        <v>1854</v>
      </c>
      <c r="B855" t="s">
        <v>46</v>
      </c>
      <c r="D855" t="s">
        <v>22</v>
      </c>
      <c r="E855" t="s">
        <v>18</v>
      </c>
      <c r="F855" t="s">
        <v>33</v>
      </c>
      <c r="G855">
        <v>1</v>
      </c>
      <c r="H855">
        <v>7973</v>
      </c>
      <c r="I855" t="s">
        <v>172</v>
      </c>
      <c r="J855" t="s">
        <v>43</v>
      </c>
    </row>
    <row r="856" spans="1:10" x14ac:dyDescent="0.3">
      <c r="A856">
        <v>1855</v>
      </c>
      <c r="B856" t="s">
        <v>69</v>
      </c>
      <c r="D856" t="s">
        <v>17</v>
      </c>
      <c r="E856" t="s">
        <v>41</v>
      </c>
      <c r="F856" t="s">
        <v>13</v>
      </c>
      <c r="G856">
        <v>0</v>
      </c>
      <c r="H856">
        <v>-1000</v>
      </c>
      <c r="I856" t="s">
        <v>158</v>
      </c>
      <c r="J856" t="s">
        <v>20</v>
      </c>
    </row>
    <row r="857" spans="1:10" x14ac:dyDescent="0.3">
      <c r="A857">
        <v>1856</v>
      </c>
      <c r="B857" t="s">
        <v>46</v>
      </c>
      <c r="C857">
        <v>29</v>
      </c>
      <c r="D857" t="s">
        <v>40</v>
      </c>
      <c r="E857" t="s">
        <v>41</v>
      </c>
      <c r="F857" t="s">
        <v>33</v>
      </c>
      <c r="G857">
        <v>4</v>
      </c>
      <c r="H857">
        <v>39084</v>
      </c>
      <c r="I857" t="s">
        <v>79</v>
      </c>
      <c r="J857" t="s">
        <v>15</v>
      </c>
    </row>
    <row r="858" spans="1:10" x14ac:dyDescent="0.3">
      <c r="A858">
        <v>1857</v>
      </c>
      <c r="B858" t="s">
        <v>68</v>
      </c>
      <c r="C858">
        <v>27</v>
      </c>
      <c r="D858" t="s">
        <v>17</v>
      </c>
      <c r="E858" t="s">
        <v>18</v>
      </c>
      <c r="F858" t="s">
        <v>30</v>
      </c>
      <c r="G858">
        <v>0</v>
      </c>
      <c r="H858">
        <v>-1000</v>
      </c>
      <c r="I858" t="s">
        <v>135</v>
      </c>
      <c r="J858" t="s">
        <v>15</v>
      </c>
    </row>
    <row r="859" spans="1:10" x14ac:dyDescent="0.3">
      <c r="A859">
        <v>1858</v>
      </c>
      <c r="B859" t="s">
        <v>16</v>
      </c>
      <c r="D859" t="s">
        <v>17</v>
      </c>
      <c r="E859" t="s">
        <v>27</v>
      </c>
      <c r="F859" t="s">
        <v>33</v>
      </c>
      <c r="G859">
        <v>0</v>
      </c>
      <c r="H859">
        <v>0</v>
      </c>
      <c r="I859" t="s">
        <v>161</v>
      </c>
      <c r="J859" t="s">
        <v>15</v>
      </c>
    </row>
    <row r="860" spans="1:10" x14ac:dyDescent="0.3">
      <c r="A860">
        <v>1859</v>
      </c>
      <c r="B860" t="s">
        <v>78</v>
      </c>
      <c r="D860" t="s">
        <v>40</v>
      </c>
      <c r="E860" t="s">
        <v>12</v>
      </c>
      <c r="F860" t="s">
        <v>30</v>
      </c>
      <c r="G860">
        <v>4</v>
      </c>
      <c r="H860">
        <v>-1000</v>
      </c>
      <c r="I860" t="s">
        <v>228</v>
      </c>
      <c r="J860" t="s">
        <v>43</v>
      </c>
    </row>
    <row r="861" spans="1:10" x14ac:dyDescent="0.3">
      <c r="A861">
        <v>1860</v>
      </c>
      <c r="B861" t="s">
        <v>73</v>
      </c>
      <c r="C861">
        <v>25</v>
      </c>
      <c r="D861" t="s">
        <v>26</v>
      </c>
      <c r="E861" t="s">
        <v>55</v>
      </c>
      <c r="F861" t="s">
        <v>36</v>
      </c>
      <c r="G861">
        <v>2</v>
      </c>
      <c r="H861">
        <v>0</v>
      </c>
      <c r="I861" t="s">
        <v>156</v>
      </c>
      <c r="J861" t="s">
        <v>29</v>
      </c>
    </row>
    <row r="862" spans="1:10" x14ac:dyDescent="0.3">
      <c r="A862">
        <v>1861</v>
      </c>
      <c r="B862" t="s">
        <v>35</v>
      </c>
      <c r="C862">
        <v>28</v>
      </c>
      <c r="D862" t="s">
        <v>40</v>
      </c>
      <c r="E862" t="s">
        <v>55</v>
      </c>
      <c r="F862" t="s">
        <v>30</v>
      </c>
      <c r="G862">
        <v>0</v>
      </c>
      <c r="H862">
        <v>0</v>
      </c>
      <c r="I862" t="s">
        <v>211</v>
      </c>
      <c r="J862" t="s">
        <v>45</v>
      </c>
    </row>
    <row r="863" spans="1:10" x14ac:dyDescent="0.3">
      <c r="A863">
        <v>1862</v>
      </c>
      <c r="B863" t="s">
        <v>38</v>
      </c>
      <c r="D863" t="s">
        <v>11</v>
      </c>
      <c r="E863" t="s">
        <v>27</v>
      </c>
      <c r="F863" t="s">
        <v>30</v>
      </c>
      <c r="G863">
        <v>5</v>
      </c>
      <c r="H863">
        <v>0</v>
      </c>
      <c r="I863" t="s">
        <v>161</v>
      </c>
      <c r="J863" t="s">
        <v>20</v>
      </c>
    </row>
    <row r="864" spans="1:10" x14ac:dyDescent="0.3">
      <c r="A864">
        <v>1863</v>
      </c>
      <c r="B864" t="s">
        <v>68</v>
      </c>
      <c r="D864" t="s">
        <v>40</v>
      </c>
      <c r="E864" t="s">
        <v>27</v>
      </c>
      <c r="F864" t="s">
        <v>33</v>
      </c>
      <c r="G864">
        <v>0</v>
      </c>
      <c r="H864">
        <v>0</v>
      </c>
      <c r="I864" t="s">
        <v>203</v>
      </c>
      <c r="J864" t="s">
        <v>29</v>
      </c>
    </row>
    <row r="865" spans="1:10" x14ac:dyDescent="0.3">
      <c r="A865">
        <v>1864</v>
      </c>
      <c r="B865" t="s">
        <v>38</v>
      </c>
      <c r="C865">
        <v>26</v>
      </c>
      <c r="D865" t="s">
        <v>22</v>
      </c>
      <c r="E865" t="s">
        <v>55</v>
      </c>
      <c r="F865" t="s">
        <v>33</v>
      </c>
      <c r="G865">
        <v>3</v>
      </c>
      <c r="H865">
        <v>-1000</v>
      </c>
      <c r="I865" t="s">
        <v>174</v>
      </c>
      <c r="J865" t="s">
        <v>45</v>
      </c>
    </row>
    <row r="866" spans="1:10" x14ac:dyDescent="0.3">
      <c r="A866">
        <v>1865</v>
      </c>
      <c r="B866" t="s">
        <v>69</v>
      </c>
      <c r="C866">
        <v>46</v>
      </c>
      <c r="D866" t="s">
        <v>40</v>
      </c>
      <c r="E866" t="s">
        <v>44</v>
      </c>
      <c r="F866" t="s">
        <v>30</v>
      </c>
      <c r="G866">
        <v>3</v>
      </c>
      <c r="H866">
        <v>47507</v>
      </c>
      <c r="I866" t="s">
        <v>134</v>
      </c>
      <c r="J866" t="s">
        <v>45</v>
      </c>
    </row>
    <row r="867" spans="1:10" x14ac:dyDescent="0.3">
      <c r="A867">
        <v>1866</v>
      </c>
      <c r="B867" t="s">
        <v>35</v>
      </c>
      <c r="D867" t="s">
        <v>26</v>
      </c>
      <c r="E867" t="s">
        <v>23</v>
      </c>
      <c r="F867" t="s">
        <v>30</v>
      </c>
      <c r="G867">
        <v>4</v>
      </c>
      <c r="H867">
        <v>-1000</v>
      </c>
      <c r="I867" t="s">
        <v>80</v>
      </c>
      <c r="J867" t="s">
        <v>15</v>
      </c>
    </row>
    <row r="868" spans="1:10" x14ac:dyDescent="0.3">
      <c r="A868">
        <v>1867</v>
      </c>
      <c r="B868" t="s">
        <v>35</v>
      </c>
      <c r="D868" t="s">
        <v>40</v>
      </c>
      <c r="E868" t="s">
        <v>27</v>
      </c>
      <c r="F868" t="s">
        <v>13</v>
      </c>
      <c r="G868">
        <v>0</v>
      </c>
      <c r="H868">
        <v>13603</v>
      </c>
      <c r="I868" t="s">
        <v>193</v>
      </c>
      <c r="J868" t="s">
        <v>43</v>
      </c>
    </row>
    <row r="869" spans="1:10" x14ac:dyDescent="0.3">
      <c r="A869">
        <v>1868</v>
      </c>
      <c r="B869" t="s">
        <v>38</v>
      </c>
      <c r="C869">
        <v>26</v>
      </c>
      <c r="D869" t="s">
        <v>11</v>
      </c>
      <c r="E869" t="s">
        <v>27</v>
      </c>
      <c r="F869" t="s">
        <v>13</v>
      </c>
      <c r="G869">
        <v>0</v>
      </c>
      <c r="H869">
        <v>0</v>
      </c>
      <c r="I869" t="s">
        <v>28</v>
      </c>
      <c r="J869" t="s">
        <v>15</v>
      </c>
    </row>
    <row r="870" spans="1:10" x14ac:dyDescent="0.3">
      <c r="A870">
        <v>1869</v>
      </c>
      <c r="B870" t="s">
        <v>10</v>
      </c>
      <c r="D870" t="s">
        <v>17</v>
      </c>
      <c r="E870" t="s">
        <v>27</v>
      </c>
      <c r="F870" t="s">
        <v>13</v>
      </c>
      <c r="G870">
        <v>0</v>
      </c>
      <c r="H870">
        <v>1372</v>
      </c>
      <c r="I870" t="s">
        <v>102</v>
      </c>
      <c r="J870" t="s">
        <v>20</v>
      </c>
    </row>
    <row r="871" spans="1:10" x14ac:dyDescent="0.3">
      <c r="A871">
        <v>1870</v>
      </c>
      <c r="B871" t="s">
        <v>54</v>
      </c>
      <c r="D871" t="s">
        <v>26</v>
      </c>
      <c r="E871" t="s">
        <v>51</v>
      </c>
      <c r="F871" t="s">
        <v>30</v>
      </c>
      <c r="G871">
        <v>3</v>
      </c>
      <c r="H871">
        <v>10074</v>
      </c>
      <c r="I871" t="s">
        <v>172</v>
      </c>
      <c r="J871" t="s">
        <v>43</v>
      </c>
    </row>
    <row r="872" spans="1:10" x14ac:dyDescent="0.3">
      <c r="A872">
        <v>1871</v>
      </c>
      <c r="B872" t="s">
        <v>54</v>
      </c>
      <c r="D872" t="s">
        <v>40</v>
      </c>
      <c r="E872" t="s">
        <v>55</v>
      </c>
      <c r="F872" t="s">
        <v>33</v>
      </c>
      <c r="G872">
        <v>3</v>
      </c>
      <c r="H872">
        <v>-1000</v>
      </c>
      <c r="I872" t="s">
        <v>231</v>
      </c>
      <c r="J872" t="s">
        <v>15</v>
      </c>
    </row>
    <row r="873" spans="1:10" x14ac:dyDescent="0.3">
      <c r="A873">
        <v>1872</v>
      </c>
      <c r="B873" t="s">
        <v>25</v>
      </c>
      <c r="D873" t="s">
        <v>22</v>
      </c>
      <c r="E873" t="s">
        <v>23</v>
      </c>
      <c r="F873" t="s">
        <v>13</v>
      </c>
      <c r="G873">
        <v>5</v>
      </c>
      <c r="H873">
        <v>-1000</v>
      </c>
      <c r="I873" t="s">
        <v>107</v>
      </c>
      <c r="J873" t="s">
        <v>20</v>
      </c>
    </row>
    <row r="874" spans="1:10" x14ac:dyDescent="0.3">
      <c r="A874">
        <v>1873</v>
      </c>
      <c r="B874" t="s">
        <v>64</v>
      </c>
      <c r="D874" t="s">
        <v>22</v>
      </c>
      <c r="E874" t="s">
        <v>51</v>
      </c>
      <c r="F874" t="s">
        <v>13</v>
      </c>
      <c r="G874">
        <v>2</v>
      </c>
      <c r="H874">
        <v>-1000</v>
      </c>
      <c r="I874" t="s">
        <v>56</v>
      </c>
      <c r="J874" t="s">
        <v>43</v>
      </c>
    </row>
    <row r="875" spans="1:10" x14ac:dyDescent="0.3">
      <c r="A875">
        <v>1874</v>
      </c>
      <c r="B875" t="s">
        <v>54</v>
      </c>
      <c r="D875" t="s">
        <v>26</v>
      </c>
      <c r="E875" t="s">
        <v>27</v>
      </c>
      <c r="F875" t="s">
        <v>36</v>
      </c>
      <c r="G875">
        <v>0</v>
      </c>
      <c r="H875">
        <v>48082</v>
      </c>
      <c r="I875" t="s">
        <v>110</v>
      </c>
      <c r="J875" t="s">
        <v>20</v>
      </c>
    </row>
    <row r="876" spans="1:10" x14ac:dyDescent="0.3">
      <c r="A876">
        <v>1875</v>
      </c>
      <c r="B876" t="s">
        <v>32</v>
      </c>
      <c r="D876" t="s">
        <v>17</v>
      </c>
      <c r="E876" t="s">
        <v>55</v>
      </c>
      <c r="F876" t="s">
        <v>13</v>
      </c>
      <c r="G876">
        <v>5</v>
      </c>
      <c r="H876">
        <v>-1000</v>
      </c>
      <c r="I876" t="s">
        <v>56</v>
      </c>
      <c r="J876" t="s">
        <v>43</v>
      </c>
    </row>
    <row r="877" spans="1:10" x14ac:dyDescent="0.3">
      <c r="A877">
        <v>1876</v>
      </c>
      <c r="B877" t="s">
        <v>64</v>
      </c>
      <c r="D877" t="s">
        <v>40</v>
      </c>
      <c r="E877" t="s">
        <v>41</v>
      </c>
      <c r="F877" t="s">
        <v>36</v>
      </c>
      <c r="G877">
        <v>0</v>
      </c>
      <c r="H877">
        <v>0</v>
      </c>
      <c r="I877" t="s">
        <v>140</v>
      </c>
      <c r="J877" t="s">
        <v>15</v>
      </c>
    </row>
    <row r="878" spans="1:10" x14ac:dyDescent="0.3">
      <c r="A878">
        <v>1877</v>
      </c>
      <c r="B878" t="s">
        <v>59</v>
      </c>
      <c r="C878">
        <v>45</v>
      </c>
      <c r="D878" t="s">
        <v>26</v>
      </c>
      <c r="E878" t="s">
        <v>41</v>
      </c>
      <c r="F878" t="s">
        <v>36</v>
      </c>
      <c r="G878">
        <v>3</v>
      </c>
      <c r="H878">
        <v>0</v>
      </c>
      <c r="I878" t="s">
        <v>171</v>
      </c>
      <c r="J878" t="s">
        <v>20</v>
      </c>
    </row>
    <row r="879" spans="1:10" x14ac:dyDescent="0.3">
      <c r="A879">
        <v>1878</v>
      </c>
      <c r="B879" t="s">
        <v>16</v>
      </c>
      <c r="C879">
        <v>32</v>
      </c>
      <c r="D879" t="s">
        <v>17</v>
      </c>
      <c r="E879" t="s">
        <v>12</v>
      </c>
      <c r="F879" t="s">
        <v>33</v>
      </c>
      <c r="G879">
        <v>1</v>
      </c>
      <c r="H879">
        <v>-1000</v>
      </c>
      <c r="I879" t="s">
        <v>129</v>
      </c>
      <c r="J879" t="s">
        <v>29</v>
      </c>
    </row>
    <row r="880" spans="1:10" x14ac:dyDescent="0.3">
      <c r="A880">
        <v>1879</v>
      </c>
      <c r="B880" t="s">
        <v>59</v>
      </c>
      <c r="C880">
        <v>49</v>
      </c>
      <c r="D880" t="s">
        <v>17</v>
      </c>
      <c r="E880" t="s">
        <v>18</v>
      </c>
      <c r="F880" t="s">
        <v>33</v>
      </c>
      <c r="G880">
        <v>0</v>
      </c>
      <c r="H880">
        <v>0</v>
      </c>
      <c r="I880" t="s">
        <v>116</v>
      </c>
      <c r="J880" t="s">
        <v>29</v>
      </c>
    </row>
    <row r="881" spans="1:10" x14ac:dyDescent="0.3">
      <c r="A881">
        <v>1880</v>
      </c>
      <c r="B881" t="s">
        <v>57</v>
      </c>
      <c r="C881">
        <v>47</v>
      </c>
      <c r="D881" t="s">
        <v>40</v>
      </c>
      <c r="E881" t="s">
        <v>12</v>
      </c>
      <c r="F881" t="s">
        <v>33</v>
      </c>
      <c r="G881">
        <v>4</v>
      </c>
      <c r="H881">
        <v>-1000</v>
      </c>
      <c r="I881" t="s">
        <v>162</v>
      </c>
      <c r="J881" t="s">
        <v>29</v>
      </c>
    </row>
    <row r="882" spans="1:10" x14ac:dyDescent="0.3">
      <c r="A882">
        <v>1881</v>
      </c>
      <c r="B882" t="s">
        <v>46</v>
      </c>
      <c r="C882">
        <v>23</v>
      </c>
      <c r="D882" t="s">
        <v>22</v>
      </c>
      <c r="E882" t="s">
        <v>23</v>
      </c>
      <c r="F882" t="s">
        <v>30</v>
      </c>
      <c r="G882">
        <v>4</v>
      </c>
      <c r="H882">
        <v>31358</v>
      </c>
      <c r="I882" t="s">
        <v>99</v>
      </c>
      <c r="J882" t="s">
        <v>20</v>
      </c>
    </row>
    <row r="883" spans="1:10" x14ac:dyDescent="0.3">
      <c r="A883">
        <v>1882</v>
      </c>
      <c r="B883" t="s">
        <v>16</v>
      </c>
      <c r="D883" t="s">
        <v>40</v>
      </c>
      <c r="E883" t="s">
        <v>23</v>
      </c>
      <c r="F883" t="s">
        <v>36</v>
      </c>
      <c r="G883">
        <v>0</v>
      </c>
      <c r="H883">
        <v>34555</v>
      </c>
      <c r="I883" t="s">
        <v>96</v>
      </c>
      <c r="J883" t="s">
        <v>29</v>
      </c>
    </row>
    <row r="884" spans="1:10" x14ac:dyDescent="0.3">
      <c r="A884">
        <v>1883</v>
      </c>
      <c r="B884" t="s">
        <v>32</v>
      </c>
      <c r="C884">
        <v>47</v>
      </c>
      <c r="D884" t="s">
        <v>11</v>
      </c>
      <c r="E884" t="s">
        <v>44</v>
      </c>
      <c r="F884" t="s">
        <v>30</v>
      </c>
      <c r="G884">
        <v>0</v>
      </c>
      <c r="H884">
        <v>-1000</v>
      </c>
      <c r="I884" t="s">
        <v>60</v>
      </c>
      <c r="J884" t="s">
        <v>20</v>
      </c>
    </row>
    <row r="885" spans="1:10" x14ac:dyDescent="0.3">
      <c r="A885">
        <v>1884</v>
      </c>
      <c r="B885" t="s">
        <v>38</v>
      </c>
      <c r="C885">
        <v>38</v>
      </c>
      <c r="D885" t="s">
        <v>17</v>
      </c>
      <c r="E885" t="s">
        <v>51</v>
      </c>
      <c r="F885" t="s">
        <v>36</v>
      </c>
      <c r="G885">
        <v>0</v>
      </c>
      <c r="H885">
        <v>-1000</v>
      </c>
      <c r="I885" t="s">
        <v>164</v>
      </c>
      <c r="J885" t="s">
        <v>20</v>
      </c>
    </row>
    <row r="886" spans="1:10" x14ac:dyDescent="0.3">
      <c r="A886">
        <v>1885</v>
      </c>
      <c r="B886" t="s">
        <v>38</v>
      </c>
      <c r="D886" t="s">
        <v>26</v>
      </c>
      <c r="E886" t="s">
        <v>23</v>
      </c>
      <c r="F886" t="s">
        <v>30</v>
      </c>
      <c r="G886">
        <v>1</v>
      </c>
      <c r="H886">
        <v>-1000</v>
      </c>
      <c r="I886" t="s">
        <v>231</v>
      </c>
      <c r="J886" t="s">
        <v>20</v>
      </c>
    </row>
    <row r="887" spans="1:10" x14ac:dyDescent="0.3">
      <c r="A887">
        <v>1886</v>
      </c>
      <c r="B887" t="s">
        <v>62</v>
      </c>
      <c r="D887" t="s">
        <v>26</v>
      </c>
      <c r="E887" t="s">
        <v>23</v>
      </c>
      <c r="F887" t="s">
        <v>13</v>
      </c>
      <c r="G887">
        <v>0</v>
      </c>
      <c r="H887">
        <v>0</v>
      </c>
      <c r="I887" t="s">
        <v>139</v>
      </c>
      <c r="J887" t="s">
        <v>15</v>
      </c>
    </row>
    <row r="888" spans="1:10" x14ac:dyDescent="0.3">
      <c r="A888">
        <v>1887</v>
      </c>
      <c r="B888" t="s">
        <v>25</v>
      </c>
      <c r="C888">
        <v>23</v>
      </c>
      <c r="D888" t="s">
        <v>17</v>
      </c>
      <c r="E888" t="s">
        <v>27</v>
      </c>
      <c r="F888" t="s">
        <v>13</v>
      </c>
      <c r="G888">
        <v>0</v>
      </c>
      <c r="H888">
        <v>-1000</v>
      </c>
      <c r="I888" t="s">
        <v>87</v>
      </c>
      <c r="J888" t="s">
        <v>15</v>
      </c>
    </row>
    <row r="889" spans="1:10" x14ac:dyDescent="0.3">
      <c r="A889">
        <v>1888</v>
      </c>
      <c r="B889" t="s">
        <v>38</v>
      </c>
      <c r="D889" t="s">
        <v>22</v>
      </c>
      <c r="E889" t="s">
        <v>55</v>
      </c>
      <c r="F889" t="s">
        <v>30</v>
      </c>
      <c r="G889">
        <v>4</v>
      </c>
      <c r="H889">
        <v>40092</v>
      </c>
      <c r="I889" t="s">
        <v>47</v>
      </c>
      <c r="J889" t="s">
        <v>15</v>
      </c>
    </row>
    <row r="890" spans="1:10" x14ac:dyDescent="0.3">
      <c r="A890">
        <v>1889</v>
      </c>
      <c r="B890" t="s">
        <v>10</v>
      </c>
      <c r="C890">
        <v>24</v>
      </c>
      <c r="D890" t="s">
        <v>22</v>
      </c>
      <c r="E890" t="s">
        <v>23</v>
      </c>
      <c r="F890" t="s">
        <v>36</v>
      </c>
      <c r="G890">
        <v>0</v>
      </c>
      <c r="H890">
        <v>27457</v>
      </c>
      <c r="I890" t="s">
        <v>170</v>
      </c>
      <c r="J890" t="s">
        <v>45</v>
      </c>
    </row>
    <row r="891" spans="1:10" x14ac:dyDescent="0.3">
      <c r="A891">
        <v>1890</v>
      </c>
      <c r="B891" t="s">
        <v>48</v>
      </c>
      <c r="C891">
        <v>35</v>
      </c>
      <c r="D891" t="s">
        <v>11</v>
      </c>
      <c r="E891" t="s">
        <v>41</v>
      </c>
      <c r="F891" t="s">
        <v>36</v>
      </c>
      <c r="G891">
        <v>1</v>
      </c>
      <c r="H891">
        <v>15025</v>
      </c>
      <c r="I891" t="s">
        <v>95</v>
      </c>
      <c r="J891" t="s">
        <v>15</v>
      </c>
    </row>
    <row r="892" spans="1:10" x14ac:dyDescent="0.3">
      <c r="A892">
        <v>1891</v>
      </c>
      <c r="B892" t="s">
        <v>25</v>
      </c>
      <c r="D892" t="s">
        <v>11</v>
      </c>
      <c r="E892" t="s">
        <v>12</v>
      </c>
      <c r="F892" t="s">
        <v>36</v>
      </c>
      <c r="G892">
        <v>4</v>
      </c>
      <c r="H892">
        <v>0</v>
      </c>
      <c r="I892" t="s">
        <v>19</v>
      </c>
      <c r="J892" t="s">
        <v>15</v>
      </c>
    </row>
    <row r="893" spans="1:10" x14ac:dyDescent="0.3">
      <c r="A893">
        <v>1892</v>
      </c>
      <c r="B893" t="s">
        <v>35</v>
      </c>
      <c r="C893">
        <v>26</v>
      </c>
      <c r="D893" t="s">
        <v>22</v>
      </c>
      <c r="E893" t="s">
        <v>55</v>
      </c>
      <c r="F893" t="s">
        <v>30</v>
      </c>
      <c r="G893">
        <v>4</v>
      </c>
      <c r="H893">
        <v>27071</v>
      </c>
      <c r="I893" t="s">
        <v>114</v>
      </c>
      <c r="J893" t="s">
        <v>15</v>
      </c>
    </row>
    <row r="894" spans="1:10" x14ac:dyDescent="0.3">
      <c r="A894">
        <v>1893</v>
      </c>
      <c r="B894" t="s">
        <v>57</v>
      </c>
      <c r="C894">
        <v>26</v>
      </c>
      <c r="D894" t="s">
        <v>40</v>
      </c>
      <c r="E894" t="s">
        <v>55</v>
      </c>
      <c r="F894" t="s">
        <v>13</v>
      </c>
      <c r="G894">
        <v>3</v>
      </c>
      <c r="H894">
        <v>0</v>
      </c>
      <c r="I894" t="s">
        <v>116</v>
      </c>
      <c r="J894" t="s">
        <v>29</v>
      </c>
    </row>
    <row r="895" spans="1:10" x14ac:dyDescent="0.3">
      <c r="A895">
        <v>1894</v>
      </c>
      <c r="B895" t="s">
        <v>48</v>
      </c>
      <c r="D895" t="s">
        <v>11</v>
      </c>
      <c r="E895" t="s">
        <v>18</v>
      </c>
      <c r="F895" t="s">
        <v>13</v>
      </c>
      <c r="G895">
        <v>0</v>
      </c>
      <c r="H895">
        <v>-1000</v>
      </c>
      <c r="I895" t="s">
        <v>160</v>
      </c>
      <c r="J895" t="s">
        <v>15</v>
      </c>
    </row>
    <row r="896" spans="1:10" x14ac:dyDescent="0.3">
      <c r="A896">
        <v>1895</v>
      </c>
      <c r="B896" t="s">
        <v>38</v>
      </c>
      <c r="C896">
        <v>47</v>
      </c>
      <c r="D896" t="s">
        <v>11</v>
      </c>
      <c r="E896" t="s">
        <v>18</v>
      </c>
      <c r="F896" t="s">
        <v>36</v>
      </c>
      <c r="G896">
        <v>2</v>
      </c>
      <c r="H896">
        <v>16538</v>
      </c>
      <c r="I896" t="s">
        <v>125</v>
      </c>
      <c r="J896" t="s">
        <v>29</v>
      </c>
    </row>
    <row r="897" spans="1:10" x14ac:dyDescent="0.3">
      <c r="A897">
        <v>1896</v>
      </c>
      <c r="B897" t="s">
        <v>21</v>
      </c>
      <c r="D897" t="s">
        <v>40</v>
      </c>
      <c r="E897" t="s">
        <v>23</v>
      </c>
      <c r="F897" t="s">
        <v>36</v>
      </c>
      <c r="G897">
        <v>3</v>
      </c>
      <c r="H897">
        <v>-1000</v>
      </c>
      <c r="I897" t="s">
        <v>226</v>
      </c>
      <c r="J897" t="s">
        <v>20</v>
      </c>
    </row>
    <row r="898" spans="1:10" x14ac:dyDescent="0.3">
      <c r="A898">
        <v>1897</v>
      </c>
      <c r="B898" t="s">
        <v>25</v>
      </c>
      <c r="D898" t="s">
        <v>40</v>
      </c>
      <c r="E898" t="s">
        <v>55</v>
      </c>
      <c r="F898" t="s">
        <v>13</v>
      </c>
      <c r="G898">
        <v>2</v>
      </c>
      <c r="H898">
        <v>0</v>
      </c>
      <c r="I898" t="s">
        <v>199</v>
      </c>
      <c r="J898" t="s">
        <v>29</v>
      </c>
    </row>
    <row r="899" spans="1:10" x14ac:dyDescent="0.3">
      <c r="A899">
        <v>1898</v>
      </c>
      <c r="B899" t="s">
        <v>32</v>
      </c>
      <c r="C899">
        <v>47</v>
      </c>
      <c r="D899" t="s">
        <v>26</v>
      </c>
      <c r="E899" t="s">
        <v>51</v>
      </c>
      <c r="F899" t="s">
        <v>36</v>
      </c>
      <c r="G899">
        <v>0</v>
      </c>
      <c r="H899">
        <v>40388</v>
      </c>
      <c r="I899" t="s">
        <v>135</v>
      </c>
      <c r="J899" t="s">
        <v>45</v>
      </c>
    </row>
    <row r="900" spans="1:10" x14ac:dyDescent="0.3">
      <c r="A900">
        <v>1899</v>
      </c>
      <c r="B900" t="s">
        <v>21</v>
      </c>
      <c r="D900" t="s">
        <v>11</v>
      </c>
      <c r="E900" t="s">
        <v>12</v>
      </c>
      <c r="F900" t="s">
        <v>33</v>
      </c>
      <c r="G900">
        <v>0</v>
      </c>
      <c r="H900">
        <v>0</v>
      </c>
      <c r="I900" t="s">
        <v>140</v>
      </c>
      <c r="J900" t="s">
        <v>43</v>
      </c>
    </row>
    <row r="901" spans="1:10" x14ac:dyDescent="0.3">
      <c r="A901">
        <v>1900</v>
      </c>
      <c r="B901" t="s">
        <v>16</v>
      </c>
      <c r="C901">
        <v>39</v>
      </c>
      <c r="D901" t="s">
        <v>40</v>
      </c>
      <c r="E901" t="s">
        <v>12</v>
      </c>
      <c r="F901" t="s">
        <v>30</v>
      </c>
      <c r="G901">
        <v>2</v>
      </c>
      <c r="H901">
        <v>0</v>
      </c>
      <c r="I901" t="s">
        <v>14</v>
      </c>
      <c r="J901" t="s">
        <v>29</v>
      </c>
    </row>
    <row r="902" spans="1:10" x14ac:dyDescent="0.3">
      <c r="A902">
        <v>1901</v>
      </c>
      <c r="B902" t="s">
        <v>10</v>
      </c>
      <c r="D902" t="s">
        <v>26</v>
      </c>
      <c r="E902" t="s">
        <v>23</v>
      </c>
      <c r="F902" t="s">
        <v>30</v>
      </c>
      <c r="G902">
        <v>4</v>
      </c>
      <c r="H902">
        <v>15732</v>
      </c>
      <c r="I902" t="s">
        <v>117</v>
      </c>
      <c r="J902" t="s">
        <v>20</v>
      </c>
    </row>
    <row r="903" spans="1:10" x14ac:dyDescent="0.3">
      <c r="A903">
        <v>1902</v>
      </c>
      <c r="B903" t="s">
        <v>69</v>
      </c>
      <c r="C903">
        <v>36</v>
      </c>
      <c r="D903" t="s">
        <v>40</v>
      </c>
      <c r="E903" t="s">
        <v>239</v>
      </c>
      <c r="F903" t="s">
        <v>36</v>
      </c>
      <c r="G903">
        <v>4</v>
      </c>
      <c r="H903">
        <v>-1000</v>
      </c>
      <c r="I903" t="s">
        <v>225</v>
      </c>
      <c r="J903" t="s">
        <v>29</v>
      </c>
    </row>
    <row r="904" spans="1:10" x14ac:dyDescent="0.3">
      <c r="A904">
        <v>1903</v>
      </c>
      <c r="B904" t="s">
        <v>69</v>
      </c>
      <c r="D904" t="s">
        <v>22</v>
      </c>
      <c r="E904" t="s">
        <v>44</v>
      </c>
      <c r="F904" t="s">
        <v>36</v>
      </c>
      <c r="G904">
        <v>2</v>
      </c>
      <c r="H904">
        <v>-1000</v>
      </c>
      <c r="I904" t="s">
        <v>216</v>
      </c>
      <c r="J904" t="s">
        <v>20</v>
      </c>
    </row>
    <row r="905" spans="1:10" x14ac:dyDescent="0.3">
      <c r="A905">
        <v>1904</v>
      </c>
      <c r="B905" t="s">
        <v>25</v>
      </c>
      <c r="C905">
        <v>37</v>
      </c>
      <c r="D905" t="s">
        <v>11</v>
      </c>
      <c r="E905" t="s">
        <v>12</v>
      </c>
      <c r="F905" t="s">
        <v>33</v>
      </c>
      <c r="G905">
        <v>0</v>
      </c>
      <c r="H905">
        <v>30878</v>
      </c>
      <c r="I905" t="s">
        <v>171</v>
      </c>
      <c r="J905" t="s">
        <v>29</v>
      </c>
    </row>
    <row r="906" spans="1:10" x14ac:dyDescent="0.3">
      <c r="A906">
        <v>1905</v>
      </c>
      <c r="B906" t="s">
        <v>78</v>
      </c>
      <c r="C906">
        <v>28</v>
      </c>
      <c r="D906" t="s">
        <v>22</v>
      </c>
      <c r="E906" t="s">
        <v>238</v>
      </c>
      <c r="F906" t="s">
        <v>33</v>
      </c>
      <c r="G906">
        <v>1</v>
      </c>
      <c r="H906">
        <v>0</v>
      </c>
      <c r="I906" t="s">
        <v>123</v>
      </c>
      <c r="J906" t="s">
        <v>29</v>
      </c>
    </row>
    <row r="907" spans="1:10" x14ac:dyDescent="0.3">
      <c r="A907">
        <v>1906</v>
      </c>
      <c r="B907" t="s">
        <v>48</v>
      </c>
      <c r="C907">
        <v>28</v>
      </c>
      <c r="D907" t="s">
        <v>11</v>
      </c>
      <c r="E907" t="s">
        <v>51</v>
      </c>
      <c r="F907" t="s">
        <v>30</v>
      </c>
      <c r="G907">
        <v>0</v>
      </c>
      <c r="H907">
        <v>-1000</v>
      </c>
      <c r="I907" t="s">
        <v>196</v>
      </c>
      <c r="J907" t="s">
        <v>20</v>
      </c>
    </row>
    <row r="908" spans="1:10" x14ac:dyDescent="0.3">
      <c r="A908">
        <v>1907</v>
      </c>
      <c r="B908" t="s">
        <v>10</v>
      </c>
      <c r="C908">
        <v>48</v>
      </c>
      <c r="D908" t="s">
        <v>11</v>
      </c>
      <c r="E908" t="s">
        <v>55</v>
      </c>
      <c r="F908" t="s">
        <v>33</v>
      </c>
      <c r="G908">
        <v>0</v>
      </c>
      <c r="H908">
        <v>0</v>
      </c>
      <c r="I908" t="s">
        <v>210</v>
      </c>
      <c r="J908" t="s">
        <v>45</v>
      </c>
    </row>
    <row r="909" spans="1:10" x14ac:dyDescent="0.3">
      <c r="A909">
        <v>1908</v>
      </c>
      <c r="B909" t="s">
        <v>16</v>
      </c>
      <c r="C909">
        <v>22</v>
      </c>
      <c r="D909" t="s">
        <v>17</v>
      </c>
      <c r="E909" t="s">
        <v>18</v>
      </c>
      <c r="F909" t="s">
        <v>30</v>
      </c>
      <c r="G909">
        <v>0</v>
      </c>
      <c r="H909">
        <v>-1000</v>
      </c>
      <c r="I909" t="s">
        <v>149</v>
      </c>
      <c r="J909" t="s">
        <v>29</v>
      </c>
    </row>
    <row r="910" spans="1:10" x14ac:dyDescent="0.3">
      <c r="A910">
        <v>1909</v>
      </c>
      <c r="B910" t="s">
        <v>64</v>
      </c>
      <c r="D910" t="s">
        <v>40</v>
      </c>
      <c r="E910" t="s">
        <v>41</v>
      </c>
      <c r="F910" t="s">
        <v>36</v>
      </c>
      <c r="G910">
        <v>0</v>
      </c>
      <c r="H910">
        <v>0</v>
      </c>
      <c r="I910" t="s">
        <v>81</v>
      </c>
      <c r="J910" t="s">
        <v>45</v>
      </c>
    </row>
    <row r="911" spans="1:10" x14ac:dyDescent="0.3">
      <c r="A911">
        <v>1910</v>
      </c>
      <c r="B911" t="s">
        <v>25</v>
      </c>
      <c r="D911" t="s">
        <v>26</v>
      </c>
      <c r="E911" t="s">
        <v>27</v>
      </c>
      <c r="F911" t="s">
        <v>36</v>
      </c>
      <c r="G911">
        <v>1</v>
      </c>
      <c r="H911">
        <v>19029</v>
      </c>
      <c r="I911" t="s">
        <v>114</v>
      </c>
      <c r="J911" t="s">
        <v>29</v>
      </c>
    </row>
    <row r="912" spans="1:10" x14ac:dyDescent="0.3">
      <c r="A912">
        <v>1911</v>
      </c>
      <c r="B912" t="s">
        <v>59</v>
      </c>
      <c r="C912">
        <v>38</v>
      </c>
      <c r="D912" t="s">
        <v>40</v>
      </c>
      <c r="E912" t="s">
        <v>23</v>
      </c>
      <c r="F912" t="s">
        <v>33</v>
      </c>
      <c r="G912">
        <v>3</v>
      </c>
      <c r="H912">
        <v>11657</v>
      </c>
      <c r="I912" t="s">
        <v>79</v>
      </c>
      <c r="J912" t="s">
        <v>43</v>
      </c>
    </row>
    <row r="913" spans="1:10" x14ac:dyDescent="0.3">
      <c r="A913">
        <v>1912</v>
      </c>
      <c r="B913" t="s">
        <v>73</v>
      </c>
      <c r="C913">
        <v>43</v>
      </c>
      <c r="D913" t="s">
        <v>22</v>
      </c>
      <c r="E913" t="s">
        <v>44</v>
      </c>
      <c r="F913" t="s">
        <v>33</v>
      </c>
      <c r="G913">
        <v>5</v>
      </c>
      <c r="H913">
        <v>12286</v>
      </c>
      <c r="I913" t="s">
        <v>224</v>
      </c>
      <c r="J913" t="s">
        <v>15</v>
      </c>
    </row>
    <row r="914" spans="1:10" x14ac:dyDescent="0.3">
      <c r="A914">
        <v>1913</v>
      </c>
      <c r="B914" t="s">
        <v>59</v>
      </c>
      <c r="D914" t="s">
        <v>11</v>
      </c>
      <c r="E914" t="s">
        <v>18</v>
      </c>
      <c r="F914" t="s">
        <v>36</v>
      </c>
      <c r="G914">
        <v>5</v>
      </c>
      <c r="H914">
        <v>-1000</v>
      </c>
      <c r="I914" t="s">
        <v>177</v>
      </c>
      <c r="J914" t="s">
        <v>29</v>
      </c>
    </row>
    <row r="915" spans="1:10" x14ac:dyDescent="0.3">
      <c r="A915">
        <v>1914</v>
      </c>
      <c r="B915" t="s">
        <v>25</v>
      </c>
      <c r="D915" t="s">
        <v>22</v>
      </c>
      <c r="E915" t="s">
        <v>27</v>
      </c>
      <c r="F915" t="s">
        <v>30</v>
      </c>
      <c r="G915">
        <v>0</v>
      </c>
      <c r="H915">
        <v>1227</v>
      </c>
      <c r="I915" t="s">
        <v>170</v>
      </c>
      <c r="J915" t="s">
        <v>45</v>
      </c>
    </row>
    <row r="916" spans="1:10" x14ac:dyDescent="0.3">
      <c r="A916">
        <v>1915</v>
      </c>
      <c r="B916" t="s">
        <v>25</v>
      </c>
      <c r="D916" t="s">
        <v>26</v>
      </c>
      <c r="E916" t="s">
        <v>18</v>
      </c>
      <c r="F916" t="s">
        <v>30</v>
      </c>
      <c r="G916">
        <v>0</v>
      </c>
      <c r="H916">
        <v>-1000</v>
      </c>
      <c r="I916" t="s">
        <v>67</v>
      </c>
      <c r="J916" t="s">
        <v>43</v>
      </c>
    </row>
    <row r="917" spans="1:10" x14ac:dyDescent="0.3">
      <c r="A917">
        <v>1916</v>
      </c>
      <c r="B917" t="s">
        <v>16</v>
      </c>
      <c r="D917" t="s">
        <v>22</v>
      </c>
      <c r="E917" t="s">
        <v>27</v>
      </c>
      <c r="F917" t="s">
        <v>36</v>
      </c>
      <c r="G917">
        <v>2</v>
      </c>
      <c r="H917">
        <v>25176</v>
      </c>
      <c r="I917" t="s">
        <v>209</v>
      </c>
      <c r="J917" t="s">
        <v>45</v>
      </c>
    </row>
    <row r="918" spans="1:10" x14ac:dyDescent="0.3">
      <c r="A918">
        <v>1917</v>
      </c>
      <c r="B918" t="s">
        <v>62</v>
      </c>
      <c r="D918" t="s">
        <v>11</v>
      </c>
      <c r="E918" t="s">
        <v>44</v>
      </c>
      <c r="F918" t="s">
        <v>33</v>
      </c>
      <c r="G918">
        <v>0</v>
      </c>
      <c r="H918">
        <v>0</v>
      </c>
      <c r="I918" t="s">
        <v>72</v>
      </c>
      <c r="J918" t="s">
        <v>29</v>
      </c>
    </row>
    <row r="919" spans="1:10" x14ac:dyDescent="0.3">
      <c r="A919">
        <v>1918</v>
      </c>
      <c r="B919" t="s">
        <v>68</v>
      </c>
      <c r="C919">
        <v>35</v>
      </c>
      <c r="D919" t="s">
        <v>11</v>
      </c>
      <c r="E919" t="s">
        <v>55</v>
      </c>
      <c r="F919" t="s">
        <v>36</v>
      </c>
      <c r="G919">
        <v>0</v>
      </c>
      <c r="H919">
        <v>-1000</v>
      </c>
      <c r="I919" t="s">
        <v>75</v>
      </c>
      <c r="J919" t="s">
        <v>15</v>
      </c>
    </row>
    <row r="920" spans="1:10" x14ac:dyDescent="0.3">
      <c r="A920">
        <v>1919</v>
      </c>
      <c r="B920" t="s">
        <v>16</v>
      </c>
      <c r="C920">
        <v>27</v>
      </c>
      <c r="D920" t="s">
        <v>26</v>
      </c>
      <c r="E920" t="s">
        <v>55</v>
      </c>
      <c r="F920" t="s">
        <v>30</v>
      </c>
      <c r="G920">
        <v>4</v>
      </c>
      <c r="H920">
        <v>-1000</v>
      </c>
      <c r="I920" t="s">
        <v>96</v>
      </c>
      <c r="J920" t="s">
        <v>43</v>
      </c>
    </row>
    <row r="921" spans="1:10" x14ac:dyDescent="0.3">
      <c r="A921">
        <v>1920</v>
      </c>
      <c r="B921" t="s">
        <v>62</v>
      </c>
      <c r="D921" t="s">
        <v>22</v>
      </c>
      <c r="E921" t="s">
        <v>41</v>
      </c>
      <c r="F921" t="s">
        <v>30</v>
      </c>
      <c r="G921">
        <v>0</v>
      </c>
      <c r="H921">
        <v>-1000</v>
      </c>
      <c r="I921" t="s">
        <v>155</v>
      </c>
      <c r="J921" t="s">
        <v>20</v>
      </c>
    </row>
    <row r="922" spans="1:10" x14ac:dyDescent="0.3">
      <c r="A922">
        <v>1921</v>
      </c>
      <c r="B922" t="s">
        <v>57</v>
      </c>
      <c r="C922">
        <v>36</v>
      </c>
      <c r="D922" t="s">
        <v>40</v>
      </c>
      <c r="E922" t="s">
        <v>27</v>
      </c>
      <c r="F922" t="s">
        <v>33</v>
      </c>
      <c r="G922">
        <v>4</v>
      </c>
      <c r="H922">
        <v>8036</v>
      </c>
      <c r="I922" t="s">
        <v>114</v>
      </c>
      <c r="J922" t="s">
        <v>45</v>
      </c>
    </row>
    <row r="923" spans="1:10" x14ac:dyDescent="0.3">
      <c r="A923">
        <v>1922</v>
      </c>
      <c r="B923" t="s">
        <v>10</v>
      </c>
      <c r="D923" t="s">
        <v>26</v>
      </c>
      <c r="E923" t="s">
        <v>41</v>
      </c>
      <c r="F923" t="s">
        <v>30</v>
      </c>
      <c r="G923">
        <v>3</v>
      </c>
      <c r="H923">
        <v>2888</v>
      </c>
      <c r="I923" t="s">
        <v>112</v>
      </c>
      <c r="J923" t="s">
        <v>15</v>
      </c>
    </row>
    <row r="924" spans="1:10" x14ac:dyDescent="0.3">
      <c r="A924">
        <v>1923</v>
      </c>
      <c r="B924" t="s">
        <v>21</v>
      </c>
      <c r="D924" t="s">
        <v>40</v>
      </c>
      <c r="E924" t="s">
        <v>237</v>
      </c>
      <c r="F924" t="s">
        <v>36</v>
      </c>
      <c r="G924">
        <v>5</v>
      </c>
      <c r="H924">
        <v>3265</v>
      </c>
      <c r="I924" t="s">
        <v>192</v>
      </c>
      <c r="J924" t="s">
        <v>15</v>
      </c>
    </row>
    <row r="925" spans="1:10" x14ac:dyDescent="0.3">
      <c r="A925">
        <v>1924</v>
      </c>
      <c r="B925" t="s">
        <v>25</v>
      </c>
      <c r="C925">
        <v>18</v>
      </c>
      <c r="D925" t="s">
        <v>11</v>
      </c>
      <c r="E925" t="s">
        <v>12</v>
      </c>
      <c r="F925" t="s">
        <v>33</v>
      </c>
      <c r="G925">
        <v>1</v>
      </c>
      <c r="H925">
        <v>16007</v>
      </c>
      <c r="I925" t="s">
        <v>216</v>
      </c>
      <c r="J925" t="s">
        <v>45</v>
      </c>
    </row>
    <row r="926" spans="1:10" x14ac:dyDescent="0.3">
      <c r="A926">
        <v>1925</v>
      </c>
      <c r="B926" t="s">
        <v>69</v>
      </c>
      <c r="D926" t="s">
        <v>40</v>
      </c>
      <c r="E926" t="s">
        <v>27</v>
      </c>
      <c r="F926" t="s">
        <v>13</v>
      </c>
      <c r="G926">
        <v>1</v>
      </c>
      <c r="H926">
        <v>-1000</v>
      </c>
      <c r="I926" t="s">
        <v>167</v>
      </c>
      <c r="J926" t="s">
        <v>15</v>
      </c>
    </row>
    <row r="927" spans="1:10" x14ac:dyDescent="0.3">
      <c r="A927">
        <v>1926</v>
      </c>
      <c r="B927" t="s">
        <v>48</v>
      </c>
      <c r="D927" t="s">
        <v>17</v>
      </c>
      <c r="E927" t="s">
        <v>51</v>
      </c>
      <c r="F927" t="s">
        <v>36</v>
      </c>
      <c r="G927">
        <v>0</v>
      </c>
      <c r="H927">
        <v>0</v>
      </c>
      <c r="I927" t="s">
        <v>178</v>
      </c>
      <c r="J927" t="s">
        <v>43</v>
      </c>
    </row>
    <row r="928" spans="1:10" x14ac:dyDescent="0.3">
      <c r="A928">
        <v>1927</v>
      </c>
      <c r="B928" t="s">
        <v>16</v>
      </c>
      <c r="D928" t="s">
        <v>17</v>
      </c>
      <c r="E928" t="s">
        <v>23</v>
      </c>
      <c r="F928" t="s">
        <v>36</v>
      </c>
      <c r="G928">
        <v>0</v>
      </c>
      <c r="H928">
        <v>0</v>
      </c>
      <c r="I928" t="s">
        <v>222</v>
      </c>
      <c r="J928" t="s">
        <v>15</v>
      </c>
    </row>
    <row r="929" spans="1:10" x14ac:dyDescent="0.3">
      <c r="A929">
        <v>1928</v>
      </c>
      <c r="B929" t="s">
        <v>68</v>
      </c>
      <c r="C929">
        <v>42</v>
      </c>
      <c r="D929" t="s">
        <v>17</v>
      </c>
      <c r="E929" t="s">
        <v>237</v>
      </c>
      <c r="F929" t="s">
        <v>36</v>
      </c>
      <c r="G929">
        <v>0</v>
      </c>
      <c r="H929">
        <v>0</v>
      </c>
      <c r="I929" t="s">
        <v>50</v>
      </c>
      <c r="J929" t="s">
        <v>43</v>
      </c>
    </row>
    <row r="930" spans="1:10" x14ac:dyDescent="0.3">
      <c r="A930">
        <v>1929</v>
      </c>
      <c r="B930" t="s">
        <v>10</v>
      </c>
      <c r="D930" t="s">
        <v>22</v>
      </c>
      <c r="E930" t="s">
        <v>55</v>
      </c>
      <c r="F930" t="s">
        <v>30</v>
      </c>
      <c r="G930">
        <v>4</v>
      </c>
      <c r="H930">
        <v>0</v>
      </c>
      <c r="I930" t="s">
        <v>215</v>
      </c>
      <c r="J930" t="s">
        <v>15</v>
      </c>
    </row>
    <row r="931" spans="1:10" x14ac:dyDescent="0.3">
      <c r="A931">
        <v>1930</v>
      </c>
      <c r="B931" t="s">
        <v>73</v>
      </c>
      <c r="D931" t="s">
        <v>26</v>
      </c>
      <c r="E931" t="s">
        <v>12</v>
      </c>
      <c r="F931" t="s">
        <v>13</v>
      </c>
      <c r="G931">
        <v>0</v>
      </c>
      <c r="H931">
        <v>-1000</v>
      </c>
      <c r="I931" t="s">
        <v>150</v>
      </c>
      <c r="J931" t="s">
        <v>15</v>
      </c>
    </row>
    <row r="932" spans="1:10" x14ac:dyDescent="0.3">
      <c r="A932">
        <v>1931</v>
      </c>
      <c r="B932" t="s">
        <v>10</v>
      </c>
      <c r="D932" t="s">
        <v>17</v>
      </c>
      <c r="E932" t="s">
        <v>51</v>
      </c>
      <c r="F932" t="s">
        <v>30</v>
      </c>
      <c r="G932">
        <v>3</v>
      </c>
      <c r="H932">
        <v>0</v>
      </c>
      <c r="I932" t="s">
        <v>224</v>
      </c>
      <c r="J932" t="s">
        <v>20</v>
      </c>
    </row>
    <row r="933" spans="1:10" x14ac:dyDescent="0.3">
      <c r="A933">
        <v>1932</v>
      </c>
      <c r="B933" t="s">
        <v>10</v>
      </c>
      <c r="C933">
        <v>21</v>
      </c>
      <c r="D933" t="s">
        <v>40</v>
      </c>
      <c r="E933" t="s">
        <v>18</v>
      </c>
      <c r="F933" t="s">
        <v>13</v>
      </c>
      <c r="G933">
        <v>3</v>
      </c>
      <c r="H933">
        <v>0</v>
      </c>
      <c r="I933" t="s">
        <v>80</v>
      </c>
      <c r="J933" t="s">
        <v>43</v>
      </c>
    </row>
    <row r="934" spans="1:10" x14ac:dyDescent="0.3">
      <c r="A934">
        <v>1933</v>
      </c>
      <c r="B934" t="s">
        <v>59</v>
      </c>
      <c r="C934">
        <v>32</v>
      </c>
      <c r="D934" t="s">
        <v>22</v>
      </c>
      <c r="E934" t="s">
        <v>18</v>
      </c>
      <c r="F934" t="s">
        <v>13</v>
      </c>
      <c r="G934">
        <v>0</v>
      </c>
      <c r="H934">
        <v>-1000</v>
      </c>
      <c r="I934" t="s">
        <v>136</v>
      </c>
      <c r="J934" t="s">
        <v>45</v>
      </c>
    </row>
    <row r="935" spans="1:10" x14ac:dyDescent="0.3">
      <c r="A935">
        <v>1934</v>
      </c>
      <c r="B935" t="s">
        <v>57</v>
      </c>
      <c r="C935">
        <v>22</v>
      </c>
      <c r="D935" t="s">
        <v>11</v>
      </c>
      <c r="E935" t="s">
        <v>55</v>
      </c>
      <c r="F935" t="s">
        <v>30</v>
      </c>
      <c r="G935">
        <v>3</v>
      </c>
      <c r="H935">
        <v>20838</v>
      </c>
      <c r="I935" t="s">
        <v>164</v>
      </c>
      <c r="J935" t="s">
        <v>45</v>
      </c>
    </row>
    <row r="936" spans="1:10" x14ac:dyDescent="0.3">
      <c r="A936">
        <v>1935</v>
      </c>
      <c r="B936" t="s">
        <v>62</v>
      </c>
      <c r="C936">
        <v>44</v>
      </c>
      <c r="D936" t="s">
        <v>17</v>
      </c>
      <c r="E936" t="s">
        <v>41</v>
      </c>
      <c r="F936" t="s">
        <v>30</v>
      </c>
      <c r="G936">
        <v>1</v>
      </c>
      <c r="H936">
        <v>0</v>
      </c>
      <c r="I936" t="s">
        <v>84</v>
      </c>
      <c r="J936" t="s">
        <v>43</v>
      </c>
    </row>
    <row r="937" spans="1:10" x14ac:dyDescent="0.3">
      <c r="A937">
        <v>1936</v>
      </c>
      <c r="B937" t="s">
        <v>35</v>
      </c>
      <c r="C937">
        <v>37</v>
      </c>
      <c r="D937" t="s">
        <v>11</v>
      </c>
      <c r="E937" t="s">
        <v>23</v>
      </c>
      <c r="F937" t="s">
        <v>30</v>
      </c>
      <c r="G937">
        <v>3</v>
      </c>
      <c r="H937">
        <v>-1000</v>
      </c>
      <c r="I937" t="s">
        <v>92</v>
      </c>
      <c r="J937" t="s">
        <v>29</v>
      </c>
    </row>
    <row r="938" spans="1:10" x14ac:dyDescent="0.3">
      <c r="A938">
        <v>1937</v>
      </c>
      <c r="B938" t="s">
        <v>59</v>
      </c>
      <c r="C938">
        <v>26</v>
      </c>
      <c r="D938" t="s">
        <v>11</v>
      </c>
      <c r="E938" t="s">
        <v>23</v>
      </c>
      <c r="F938" t="s">
        <v>33</v>
      </c>
      <c r="G938">
        <v>2</v>
      </c>
      <c r="H938">
        <v>-1000</v>
      </c>
      <c r="I938" t="s">
        <v>148</v>
      </c>
      <c r="J938" t="s">
        <v>20</v>
      </c>
    </row>
    <row r="939" spans="1:10" x14ac:dyDescent="0.3">
      <c r="A939">
        <v>1938</v>
      </c>
      <c r="B939" t="s">
        <v>46</v>
      </c>
      <c r="D939" t="s">
        <v>22</v>
      </c>
      <c r="E939" t="s">
        <v>41</v>
      </c>
      <c r="F939" t="s">
        <v>36</v>
      </c>
      <c r="G939">
        <v>0</v>
      </c>
      <c r="H939">
        <v>0</v>
      </c>
      <c r="I939" t="s">
        <v>106</v>
      </c>
      <c r="J939" t="s">
        <v>43</v>
      </c>
    </row>
    <row r="940" spans="1:10" x14ac:dyDescent="0.3">
      <c r="A940">
        <v>1939</v>
      </c>
      <c r="B940" t="s">
        <v>68</v>
      </c>
      <c r="D940" t="s">
        <v>26</v>
      </c>
      <c r="E940" t="s">
        <v>41</v>
      </c>
      <c r="F940" t="s">
        <v>33</v>
      </c>
      <c r="G940">
        <v>0</v>
      </c>
      <c r="H940">
        <v>0</v>
      </c>
      <c r="I940" t="s">
        <v>152</v>
      </c>
      <c r="J940" t="s">
        <v>15</v>
      </c>
    </row>
    <row r="941" spans="1:10" x14ac:dyDescent="0.3">
      <c r="A941">
        <v>1940</v>
      </c>
      <c r="B941" t="s">
        <v>78</v>
      </c>
      <c r="D941" t="s">
        <v>26</v>
      </c>
      <c r="E941" t="s">
        <v>18</v>
      </c>
      <c r="F941" t="s">
        <v>13</v>
      </c>
      <c r="G941">
        <v>5</v>
      </c>
      <c r="H941">
        <v>0</v>
      </c>
      <c r="I941" t="s">
        <v>100</v>
      </c>
      <c r="J941" t="s">
        <v>43</v>
      </c>
    </row>
    <row r="942" spans="1:10" x14ac:dyDescent="0.3">
      <c r="A942">
        <v>1941</v>
      </c>
      <c r="B942" t="s">
        <v>69</v>
      </c>
      <c r="C942">
        <v>43</v>
      </c>
      <c r="D942" t="s">
        <v>26</v>
      </c>
      <c r="E942" t="s">
        <v>51</v>
      </c>
      <c r="F942" t="s">
        <v>30</v>
      </c>
      <c r="G942">
        <v>0</v>
      </c>
      <c r="H942">
        <v>18103</v>
      </c>
      <c r="I942" t="s">
        <v>125</v>
      </c>
      <c r="J942" t="s">
        <v>15</v>
      </c>
    </row>
    <row r="943" spans="1:10" x14ac:dyDescent="0.3">
      <c r="A943">
        <v>1942</v>
      </c>
      <c r="B943" t="s">
        <v>78</v>
      </c>
      <c r="D943" t="s">
        <v>22</v>
      </c>
      <c r="E943" t="s">
        <v>27</v>
      </c>
      <c r="F943" t="s">
        <v>36</v>
      </c>
      <c r="G943">
        <v>4</v>
      </c>
      <c r="H943">
        <v>0</v>
      </c>
      <c r="I943" t="s">
        <v>182</v>
      </c>
      <c r="J943" t="s">
        <v>29</v>
      </c>
    </row>
    <row r="944" spans="1:10" x14ac:dyDescent="0.3">
      <c r="A944">
        <v>1943</v>
      </c>
      <c r="B944" t="s">
        <v>62</v>
      </c>
      <c r="D944" t="s">
        <v>11</v>
      </c>
      <c r="E944" t="s">
        <v>55</v>
      </c>
      <c r="F944" t="s">
        <v>13</v>
      </c>
      <c r="G944">
        <v>0</v>
      </c>
      <c r="H944">
        <v>0</v>
      </c>
      <c r="I944" t="s">
        <v>231</v>
      </c>
      <c r="J944" t="s">
        <v>20</v>
      </c>
    </row>
    <row r="945" spans="1:10" x14ac:dyDescent="0.3">
      <c r="A945">
        <v>1944</v>
      </c>
      <c r="B945" t="s">
        <v>73</v>
      </c>
      <c r="C945">
        <v>35</v>
      </c>
      <c r="D945" t="s">
        <v>11</v>
      </c>
      <c r="E945" t="s">
        <v>12</v>
      </c>
      <c r="F945" t="s">
        <v>33</v>
      </c>
      <c r="G945">
        <v>5</v>
      </c>
      <c r="H945">
        <v>39043</v>
      </c>
      <c r="I945" t="s">
        <v>208</v>
      </c>
      <c r="J945" t="s">
        <v>29</v>
      </c>
    </row>
    <row r="946" spans="1:10" x14ac:dyDescent="0.3">
      <c r="A946">
        <v>1945</v>
      </c>
      <c r="B946" t="s">
        <v>32</v>
      </c>
      <c r="D946" t="s">
        <v>17</v>
      </c>
      <c r="E946" t="s">
        <v>41</v>
      </c>
      <c r="F946" t="s">
        <v>13</v>
      </c>
      <c r="G946">
        <v>0</v>
      </c>
      <c r="H946">
        <v>23442</v>
      </c>
      <c r="I946" t="s">
        <v>128</v>
      </c>
      <c r="J946" t="s">
        <v>45</v>
      </c>
    </row>
    <row r="947" spans="1:10" x14ac:dyDescent="0.3">
      <c r="A947">
        <v>1946</v>
      </c>
      <c r="B947" t="s">
        <v>57</v>
      </c>
      <c r="D947" t="s">
        <v>22</v>
      </c>
      <c r="E947" t="s">
        <v>55</v>
      </c>
      <c r="F947" t="s">
        <v>13</v>
      </c>
      <c r="G947">
        <v>0</v>
      </c>
      <c r="H947">
        <v>38297</v>
      </c>
      <c r="I947" t="s">
        <v>89</v>
      </c>
      <c r="J947" t="s">
        <v>43</v>
      </c>
    </row>
    <row r="948" spans="1:10" x14ac:dyDescent="0.3">
      <c r="A948">
        <v>1947</v>
      </c>
      <c r="B948" t="s">
        <v>78</v>
      </c>
      <c r="C948">
        <v>42</v>
      </c>
      <c r="D948" t="s">
        <v>11</v>
      </c>
      <c r="E948" t="s">
        <v>23</v>
      </c>
      <c r="F948" t="s">
        <v>36</v>
      </c>
      <c r="G948">
        <v>5</v>
      </c>
      <c r="H948">
        <v>42911</v>
      </c>
      <c r="I948" t="s">
        <v>14</v>
      </c>
      <c r="J948" t="s">
        <v>29</v>
      </c>
    </row>
    <row r="949" spans="1:10" x14ac:dyDescent="0.3">
      <c r="A949">
        <v>1948</v>
      </c>
      <c r="B949" t="s">
        <v>48</v>
      </c>
      <c r="D949" t="s">
        <v>11</v>
      </c>
      <c r="E949" t="s">
        <v>27</v>
      </c>
      <c r="F949" t="s">
        <v>30</v>
      </c>
      <c r="G949">
        <v>1</v>
      </c>
      <c r="H949">
        <v>37415</v>
      </c>
      <c r="I949" t="s">
        <v>194</v>
      </c>
      <c r="J949" t="s">
        <v>15</v>
      </c>
    </row>
    <row r="950" spans="1:10" x14ac:dyDescent="0.3">
      <c r="A950">
        <v>1949</v>
      </c>
      <c r="B950" t="s">
        <v>68</v>
      </c>
      <c r="D950" t="s">
        <v>17</v>
      </c>
      <c r="E950" t="s">
        <v>12</v>
      </c>
      <c r="F950" t="s">
        <v>33</v>
      </c>
      <c r="G950">
        <v>0</v>
      </c>
      <c r="H950">
        <v>41664</v>
      </c>
      <c r="I950" t="s">
        <v>175</v>
      </c>
      <c r="J950" t="s">
        <v>29</v>
      </c>
    </row>
    <row r="951" spans="1:10" x14ac:dyDescent="0.3">
      <c r="A951">
        <v>1950</v>
      </c>
      <c r="B951" t="s">
        <v>35</v>
      </c>
      <c r="D951" t="s">
        <v>17</v>
      </c>
      <c r="E951" t="s">
        <v>41</v>
      </c>
      <c r="F951" t="s">
        <v>13</v>
      </c>
      <c r="G951">
        <v>0</v>
      </c>
      <c r="H951">
        <v>2100</v>
      </c>
      <c r="I951" t="s">
        <v>137</v>
      </c>
      <c r="J951" t="s">
        <v>29</v>
      </c>
    </row>
    <row r="952" spans="1:10" x14ac:dyDescent="0.3">
      <c r="A952">
        <v>1951</v>
      </c>
      <c r="B952" t="s">
        <v>35</v>
      </c>
      <c r="D952" t="s">
        <v>26</v>
      </c>
      <c r="E952" t="s">
        <v>44</v>
      </c>
      <c r="F952" t="s">
        <v>36</v>
      </c>
      <c r="G952">
        <v>0</v>
      </c>
      <c r="H952">
        <v>-1000</v>
      </c>
      <c r="I952" t="s">
        <v>120</v>
      </c>
      <c r="J952" t="s">
        <v>43</v>
      </c>
    </row>
    <row r="953" spans="1:10" x14ac:dyDescent="0.3">
      <c r="A953">
        <v>1952</v>
      </c>
      <c r="B953" t="s">
        <v>69</v>
      </c>
      <c r="C953">
        <v>24</v>
      </c>
      <c r="D953" t="s">
        <v>22</v>
      </c>
      <c r="E953" t="s">
        <v>23</v>
      </c>
      <c r="F953" t="s">
        <v>33</v>
      </c>
      <c r="G953">
        <v>5</v>
      </c>
      <c r="H953">
        <v>44656</v>
      </c>
      <c r="I953" t="s">
        <v>143</v>
      </c>
      <c r="J953" t="s">
        <v>29</v>
      </c>
    </row>
    <row r="954" spans="1:10" x14ac:dyDescent="0.3">
      <c r="A954">
        <v>1953</v>
      </c>
      <c r="B954" t="s">
        <v>62</v>
      </c>
      <c r="D954" t="s">
        <v>11</v>
      </c>
      <c r="E954" t="s">
        <v>55</v>
      </c>
      <c r="F954" t="s">
        <v>13</v>
      </c>
      <c r="G954">
        <v>0</v>
      </c>
      <c r="H954">
        <v>-1000</v>
      </c>
      <c r="I954" t="s">
        <v>142</v>
      </c>
      <c r="J954" t="s">
        <v>29</v>
      </c>
    </row>
    <row r="955" spans="1:10" x14ac:dyDescent="0.3">
      <c r="A955">
        <v>1954</v>
      </c>
      <c r="B955" t="s">
        <v>69</v>
      </c>
      <c r="D955" t="s">
        <v>26</v>
      </c>
      <c r="E955" t="s">
        <v>44</v>
      </c>
      <c r="F955" t="s">
        <v>30</v>
      </c>
      <c r="G955">
        <v>2</v>
      </c>
      <c r="H955">
        <v>-1000</v>
      </c>
      <c r="I955" t="s">
        <v>222</v>
      </c>
      <c r="J955" t="s">
        <v>29</v>
      </c>
    </row>
    <row r="956" spans="1:10" x14ac:dyDescent="0.3">
      <c r="A956">
        <v>1955</v>
      </c>
      <c r="B956" t="s">
        <v>62</v>
      </c>
      <c r="C956">
        <v>21</v>
      </c>
      <c r="D956" t="s">
        <v>17</v>
      </c>
      <c r="E956" t="s">
        <v>44</v>
      </c>
      <c r="F956" t="s">
        <v>33</v>
      </c>
      <c r="G956">
        <v>5</v>
      </c>
      <c r="H956">
        <v>25422</v>
      </c>
      <c r="I956" t="s">
        <v>153</v>
      </c>
      <c r="J956" t="s">
        <v>29</v>
      </c>
    </row>
    <row r="957" spans="1:10" x14ac:dyDescent="0.3">
      <c r="A957">
        <v>1956</v>
      </c>
      <c r="B957" t="s">
        <v>69</v>
      </c>
      <c r="C957">
        <v>45</v>
      </c>
      <c r="D957" t="s">
        <v>11</v>
      </c>
      <c r="E957" t="s">
        <v>23</v>
      </c>
      <c r="F957" t="s">
        <v>36</v>
      </c>
      <c r="G957">
        <v>2</v>
      </c>
      <c r="H957">
        <v>-1000</v>
      </c>
      <c r="I957" t="s">
        <v>207</v>
      </c>
      <c r="J957" t="s">
        <v>45</v>
      </c>
    </row>
    <row r="958" spans="1:10" x14ac:dyDescent="0.3">
      <c r="A958">
        <v>1957</v>
      </c>
      <c r="B958" t="s">
        <v>68</v>
      </c>
      <c r="C958">
        <v>28</v>
      </c>
      <c r="D958" t="s">
        <v>26</v>
      </c>
      <c r="E958" t="s">
        <v>23</v>
      </c>
      <c r="F958" t="s">
        <v>33</v>
      </c>
      <c r="G958">
        <v>0</v>
      </c>
      <c r="H958">
        <v>49627</v>
      </c>
      <c r="I958" t="s">
        <v>182</v>
      </c>
      <c r="J958" t="s">
        <v>29</v>
      </c>
    </row>
    <row r="959" spans="1:10" x14ac:dyDescent="0.3">
      <c r="A959">
        <v>1958</v>
      </c>
      <c r="B959" t="s">
        <v>48</v>
      </c>
      <c r="C959">
        <v>35</v>
      </c>
      <c r="D959" t="s">
        <v>26</v>
      </c>
      <c r="E959" t="s">
        <v>44</v>
      </c>
      <c r="F959" t="s">
        <v>36</v>
      </c>
      <c r="G959">
        <v>4</v>
      </c>
      <c r="H959">
        <v>-1000</v>
      </c>
      <c r="I959" t="s">
        <v>174</v>
      </c>
      <c r="J959" t="s">
        <v>45</v>
      </c>
    </row>
    <row r="960" spans="1:10" x14ac:dyDescent="0.3">
      <c r="A960">
        <v>1959</v>
      </c>
      <c r="B960" t="s">
        <v>32</v>
      </c>
      <c r="D960" t="s">
        <v>17</v>
      </c>
      <c r="E960" t="s">
        <v>51</v>
      </c>
      <c r="F960" t="s">
        <v>33</v>
      </c>
      <c r="G960">
        <v>3</v>
      </c>
      <c r="H960">
        <v>-1000</v>
      </c>
      <c r="I960" t="s">
        <v>14</v>
      </c>
      <c r="J960" t="s">
        <v>43</v>
      </c>
    </row>
    <row r="961" spans="1:10" x14ac:dyDescent="0.3">
      <c r="A961">
        <v>1960</v>
      </c>
      <c r="B961" t="s">
        <v>32</v>
      </c>
      <c r="C961">
        <v>41</v>
      </c>
      <c r="D961" t="s">
        <v>26</v>
      </c>
      <c r="E961" t="s">
        <v>23</v>
      </c>
      <c r="F961" t="s">
        <v>13</v>
      </c>
      <c r="G961">
        <v>0</v>
      </c>
      <c r="H961">
        <v>23517</v>
      </c>
      <c r="I961" t="s">
        <v>124</v>
      </c>
      <c r="J961" t="s">
        <v>15</v>
      </c>
    </row>
    <row r="962" spans="1:10" x14ac:dyDescent="0.3">
      <c r="A962">
        <v>1961</v>
      </c>
      <c r="B962" t="s">
        <v>35</v>
      </c>
      <c r="C962">
        <v>30</v>
      </c>
      <c r="D962" t="s">
        <v>26</v>
      </c>
      <c r="E962" t="s">
        <v>51</v>
      </c>
      <c r="F962" t="s">
        <v>36</v>
      </c>
      <c r="G962">
        <v>2</v>
      </c>
      <c r="H962">
        <v>-1000</v>
      </c>
      <c r="I962" t="s">
        <v>117</v>
      </c>
      <c r="J962" t="s">
        <v>20</v>
      </c>
    </row>
    <row r="963" spans="1:10" x14ac:dyDescent="0.3">
      <c r="A963">
        <v>1962</v>
      </c>
      <c r="B963" t="s">
        <v>62</v>
      </c>
      <c r="D963" t="s">
        <v>40</v>
      </c>
      <c r="E963" t="s">
        <v>235</v>
      </c>
      <c r="F963" t="s">
        <v>36</v>
      </c>
      <c r="G963">
        <v>3</v>
      </c>
      <c r="H963">
        <v>0</v>
      </c>
      <c r="I963" t="s">
        <v>65</v>
      </c>
      <c r="J963" t="s">
        <v>29</v>
      </c>
    </row>
    <row r="964" spans="1:10" x14ac:dyDescent="0.3">
      <c r="A964">
        <v>1963</v>
      </c>
      <c r="B964" t="s">
        <v>35</v>
      </c>
      <c r="D964" t="s">
        <v>40</v>
      </c>
      <c r="E964" t="s">
        <v>41</v>
      </c>
      <c r="F964" t="s">
        <v>13</v>
      </c>
      <c r="G964">
        <v>4</v>
      </c>
      <c r="H964">
        <v>-1000</v>
      </c>
      <c r="I964" t="s">
        <v>97</v>
      </c>
      <c r="J964" t="s">
        <v>43</v>
      </c>
    </row>
    <row r="965" spans="1:10" x14ac:dyDescent="0.3">
      <c r="A965">
        <v>1964</v>
      </c>
      <c r="B965" t="s">
        <v>32</v>
      </c>
      <c r="D965" t="s">
        <v>17</v>
      </c>
      <c r="E965" t="s">
        <v>44</v>
      </c>
      <c r="F965" t="s">
        <v>234</v>
      </c>
      <c r="G965">
        <v>5</v>
      </c>
      <c r="H965">
        <v>-1000</v>
      </c>
      <c r="I965" t="s">
        <v>217</v>
      </c>
      <c r="J965" t="s">
        <v>45</v>
      </c>
    </row>
    <row r="966" spans="1:10" x14ac:dyDescent="0.3">
      <c r="A966">
        <v>1965</v>
      </c>
      <c r="B966" t="s">
        <v>78</v>
      </c>
      <c r="D966" t="s">
        <v>17</v>
      </c>
      <c r="E966" t="s">
        <v>23</v>
      </c>
      <c r="F966" t="s">
        <v>36</v>
      </c>
      <c r="G966">
        <v>0</v>
      </c>
      <c r="H966">
        <v>0</v>
      </c>
      <c r="I966" t="s">
        <v>213</v>
      </c>
      <c r="J966" t="s">
        <v>29</v>
      </c>
    </row>
    <row r="967" spans="1:10" x14ac:dyDescent="0.3">
      <c r="A967">
        <v>1966</v>
      </c>
      <c r="B967" t="s">
        <v>46</v>
      </c>
      <c r="D967" t="s">
        <v>22</v>
      </c>
      <c r="E967" t="s">
        <v>44</v>
      </c>
      <c r="F967" t="s">
        <v>30</v>
      </c>
      <c r="G967">
        <v>3</v>
      </c>
      <c r="H967">
        <v>-1000</v>
      </c>
      <c r="I967" t="s">
        <v>183</v>
      </c>
      <c r="J967" t="s">
        <v>29</v>
      </c>
    </row>
    <row r="968" spans="1:10" x14ac:dyDescent="0.3">
      <c r="A968">
        <v>1967</v>
      </c>
      <c r="B968" t="s">
        <v>25</v>
      </c>
      <c r="D968" t="s">
        <v>11</v>
      </c>
      <c r="E968" t="s">
        <v>18</v>
      </c>
      <c r="F968" t="s">
        <v>13</v>
      </c>
      <c r="G968">
        <v>0</v>
      </c>
      <c r="H968">
        <v>-1000</v>
      </c>
      <c r="I968" t="s">
        <v>162</v>
      </c>
      <c r="J968" t="s">
        <v>20</v>
      </c>
    </row>
    <row r="969" spans="1:10" x14ac:dyDescent="0.3">
      <c r="A969">
        <v>1968</v>
      </c>
      <c r="B969" t="s">
        <v>21</v>
      </c>
      <c r="C969">
        <v>41</v>
      </c>
      <c r="D969" t="s">
        <v>17</v>
      </c>
      <c r="E969" t="s">
        <v>18</v>
      </c>
      <c r="F969" t="s">
        <v>13</v>
      </c>
      <c r="G969">
        <v>0</v>
      </c>
      <c r="H969">
        <v>0</v>
      </c>
      <c r="I969" t="s">
        <v>84</v>
      </c>
      <c r="J969" t="s">
        <v>15</v>
      </c>
    </row>
    <row r="970" spans="1:10" x14ac:dyDescent="0.3">
      <c r="A970">
        <v>1969</v>
      </c>
      <c r="B970" t="s">
        <v>48</v>
      </c>
      <c r="C970">
        <v>21</v>
      </c>
      <c r="D970" t="s">
        <v>17</v>
      </c>
      <c r="E970" t="s">
        <v>51</v>
      </c>
      <c r="F970" t="s">
        <v>33</v>
      </c>
      <c r="G970">
        <v>0</v>
      </c>
      <c r="H970">
        <v>0</v>
      </c>
      <c r="I970" t="s">
        <v>90</v>
      </c>
      <c r="J970" t="s">
        <v>15</v>
      </c>
    </row>
    <row r="971" spans="1:10" x14ac:dyDescent="0.3">
      <c r="A971">
        <v>1970</v>
      </c>
      <c r="B971" t="s">
        <v>54</v>
      </c>
      <c r="C971">
        <v>28</v>
      </c>
      <c r="D971" t="s">
        <v>11</v>
      </c>
      <c r="E971" t="s">
        <v>27</v>
      </c>
      <c r="F971" t="s">
        <v>13</v>
      </c>
      <c r="G971">
        <v>0</v>
      </c>
      <c r="H971">
        <v>-1000</v>
      </c>
      <c r="I971" t="s">
        <v>214</v>
      </c>
      <c r="J971" t="s">
        <v>29</v>
      </c>
    </row>
    <row r="972" spans="1:10" x14ac:dyDescent="0.3">
      <c r="A972">
        <v>1971</v>
      </c>
      <c r="B972" t="s">
        <v>21</v>
      </c>
      <c r="D972" t="s">
        <v>40</v>
      </c>
      <c r="E972" t="s">
        <v>23</v>
      </c>
      <c r="F972" t="s">
        <v>36</v>
      </c>
      <c r="G972">
        <v>0</v>
      </c>
      <c r="H972">
        <v>-1000</v>
      </c>
      <c r="I972" t="s">
        <v>207</v>
      </c>
      <c r="J972" t="s">
        <v>20</v>
      </c>
    </row>
    <row r="973" spans="1:10" x14ac:dyDescent="0.3">
      <c r="A973">
        <v>1972</v>
      </c>
      <c r="B973" t="s">
        <v>48</v>
      </c>
      <c r="C973">
        <v>29</v>
      </c>
      <c r="D973" t="s">
        <v>17</v>
      </c>
      <c r="E973" t="s">
        <v>41</v>
      </c>
      <c r="F973" t="s">
        <v>36</v>
      </c>
      <c r="G973">
        <v>0</v>
      </c>
      <c r="H973">
        <v>0</v>
      </c>
      <c r="I973" t="s">
        <v>42</v>
      </c>
      <c r="J973" t="s">
        <v>43</v>
      </c>
    </row>
    <row r="974" spans="1:10" x14ac:dyDescent="0.3">
      <c r="A974">
        <v>1973</v>
      </c>
      <c r="B974" t="s">
        <v>21</v>
      </c>
      <c r="D974" t="s">
        <v>40</v>
      </c>
      <c r="E974" t="s">
        <v>18</v>
      </c>
      <c r="F974" t="s">
        <v>36</v>
      </c>
      <c r="G974">
        <v>1</v>
      </c>
      <c r="H974">
        <v>25976</v>
      </c>
      <c r="I974" t="s">
        <v>225</v>
      </c>
      <c r="J974" t="s">
        <v>43</v>
      </c>
    </row>
    <row r="975" spans="1:10" x14ac:dyDescent="0.3">
      <c r="A975">
        <v>1974</v>
      </c>
      <c r="B975" t="s">
        <v>10</v>
      </c>
      <c r="C975">
        <v>20</v>
      </c>
      <c r="D975" t="s">
        <v>26</v>
      </c>
      <c r="E975" t="s">
        <v>44</v>
      </c>
      <c r="F975" t="s">
        <v>33</v>
      </c>
      <c r="G975">
        <v>0</v>
      </c>
      <c r="H975">
        <v>-1000</v>
      </c>
      <c r="I975" t="s">
        <v>209</v>
      </c>
      <c r="J975" t="s">
        <v>29</v>
      </c>
    </row>
    <row r="976" spans="1:10" x14ac:dyDescent="0.3">
      <c r="A976">
        <v>1975</v>
      </c>
      <c r="B976" t="s">
        <v>64</v>
      </c>
      <c r="D976" t="s">
        <v>17</v>
      </c>
      <c r="E976" t="s">
        <v>236</v>
      </c>
      <c r="F976" t="s">
        <v>36</v>
      </c>
      <c r="G976">
        <v>0</v>
      </c>
      <c r="H976">
        <v>-1000</v>
      </c>
      <c r="I976" t="s">
        <v>50</v>
      </c>
      <c r="J976" t="s">
        <v>15</v>
      </c>
    </row>
    <row r="977" spans="1:10" x14ac:dyDescent="0.3">
      <c r="A977">
        <v>1976</v>
      </c>
      <c r="B977" t="s">
        <v>38</v>
      </c>
      <c r="C977">
        <v>23</v>
      </c>
      <c r="D977" t="s">
        <v>17</v>
      </c>
      <c r="E977" t="s">
        <v>27</v>
      </c>
      <c r="F977" t="s">
        <v>36</v>
      </c>
      <c r="G977">
        <v>4</v>
      </c>
      <c r="H977">
        <v>8479</v>
      </c>
      <c r="I977" t="s">
        <v>50</v>
      </c>
      <c r="J977" t="s">
        <v>15</v>
      </c>
    </row>
    <row r="978" spans="1:10" x14ac:dyDescent="0.3">
      <c r="A978">
        <v>1977</v>
      </c>
      <c r="B978" t="s">
        <v>21</v>
      </c>
      <c r="C978">
        <v>29</v>
      </c>
      <c r="D978" t="s">
        <v>26</v>
      </c>
      <c r="E978" t="s">
        <v>18</v>
      </c>
      <c r="F978" t="s">
        <v>234</v>
      </c>
      <c r="G978">
        <v>0</v>
      </c>
      <c r="H978">
        <v>-1000</v>
      </c>
      <c r="I978" t="s">
        <v>97</v>
      </c>
      <c r="J978" t="s">
        <v>43</v>
      </c>
    </row>
    <row r="979" spans="1:10" x14ac:dyDescent="0.3">
      <c r="A979">
        <v>1978</v>
      </c>
      <c r="B979" t="s">
        <v>35</v>
      </c>
      <c r="D979" t="s">
        <v>22</v>
      </c>
      <c r="E979" t="s">
        <v>41</v>
      </c>
      <c r="F979" t="s">
        <v>36</v>
      </c>
      <c r="G979">
        <v>0</v>
      </c>
      <c r="H979">
        <v>0</v>
      </c>
      <c r="I979" t="s">
        <v>159</v>
      </c>
      <c r="J979" t="s">
        <v>45</v>
      </c>
    </row>
    <row r="980" spans="1:10" x14ac:dyDescent="0.3">
      <c r="A980">
        <v>1979</v>
      </c>
      <c r="B980" t="s">
        <v>73</v>
      </c>
      <c r="D980" t="s">
        <v>40</v>
      </c>
      <c r="E980" t="s">
        <v>18</v>
      </c>
      <c r="F980" t="s">
        <v>33</v>
      </c>
      <c r="G980">
        <v>0</v>
      </c>
      <c r="H980">
        <v>34501</v>
      </c>
      <c r="I980" t="s">
        <v>60</v>
      </c>
      <c r="J980" t="s">
        <v>29</v>
      </c>
    </row>
    <row r="981" spans="1:10" x14ac:dyDescent="0.3">
      <c r="A981">
        <v>1980</v>
      </c>
      <c r="B981" t="s">
        <v>10</v>
      </c>
      <c r="C981">
        <v>46</v>
      </c>
      <c r="D981" t="s">
        <v>26</v>
      </c>
      <c r="E981" t="s">
        <v>41</v>
      </c>
      <c r="F981" t="s">
        <v>30</v>
      </c>
      <c r="G981">
        <v>0</v>
      </c>
      <c r="H981">
        <v>0</v>
      </c>
      <c r="I981" t="s">
        <v>166</v>
      </c>
      <c r="J981" t="s">
        <v>29</v>
      </c>
    </row>
    <row r="982" spans="1:10" x14ac:dyDescent="0.3">
      <c r="A982">
        <v>1981</v>
      </c>
      <c r="B982" t="s">
        <v>38</v>
      </c>
      <c r="C982">
        <v>49</v>
      </c>
      <c r="D982" t="s">
        <v>17</v>
      </c>
      <c r="E982" t="s">
        <v>235</v>
      </c>
      <c r="F982" t="s">
        <v>13</v>
      </c>
      <c r="G982">
        <v>0</v>
      </c>
      <c r="H982">
        <v>47472</v>
      </c>
      <c r="I982" t="s">
        <v>144</v>
      </c>
      <c r="J982" t="s">
        <v>45</v>
      </c>
    </row>
    <row r="983" spans="1:10" x14ac:dyDescent="0.3">
      <c r="A983">
        <v>1982</v>
      </c>
      <c r="B983" t="s">
        <v>25</v>
      </c>
      <c r="C983">
        <v>41</v>
      </c>
      <c r="D983" t="s">
        <v>17</v>
      </c>
      <c r="E983" t="s">
        <v>44</v>
      </c>
      <c r="F983" t="s">
        <v>36</v>
      </c>
      <c r="G983">
        <v>5</v>
      </c>
      <c r="H983">
        <v>-1000</v>
      </c>
      <c r="I983" t="s">
        <v>93</v>
      </c>
      <c r="J983" t="s">
        <v>29</v>
      </c>
    </row>
    <row r="984" spans="1:10" x14ac:dyDescent="0.3">
      <c r="A984">
        <v>1983</v>
      </c>
      <c r="B984" t="s">
        <v>59</v>
      </c>
      <c r="D984" t="s">
        <v>17</v>
      </c>
      <c r="E984" t="s">
        <v>44</v>
      </c>
      <c r="F984" t="s">
        <v>36</v>
      </c>
      <c r="G984">
        <v>0</v>
      </c>
      <c r="H984">
        <v>19777</v>
      </c>
      <c r="I984" t="s">
        <v>220</v>
      </c>
      <c r="J984" t="s">
        <v>43</v>
      </c>
    </row>
    <row r="985" spans="1:10" x14ac:dyDescent="0.3">
      <c r="A985">
        <v>1984</v>
      </c>
      <c r="B985" t="s">
        <v>54</v>
      </c>
      <c r="D985" t="s">
        <v>26</v>
      </c>
      <c r="E985" t="s">
        <v>27</v>
      </c>
      <c r="F985" t="s">
        <v>33</v>
      </c>
      <c r="G985">
        <v>3</v>
      </c>
      <c r="H985">
        <v>0</v>
      </c>
      <c r="I985" t="s">
        <v>147</v>
      </c>
      <c r="J985" t="s">
        <v>45</v>
      </c>
    </row>
    <row r="986" spans="1:10" x14ac:dyDescent="0.3">
      <c r="A986">
        <v>1985</v>
      </c>
      <c r="B986" t="s">
        <v>59</v>
      </c>
      <c r="D986" t="s">
        <v>17</v>
      </c>
      <c r="E986" t="s">
        <v>55</v>
      </c>
      <c r="F986" t="s">
        <v>33</v>
      </c>
      <c r="G986">
        <v>2</v>
      </c>
      <c r="H986">
        <v>-1000</v>
      </c>
      <c r="I986" t="s">
        <v>198</v>
      </c>
      <c r="J986" t="s">
        <v>20</v>
      </c>
    </row>
    <row r="987" spans="1:10" x14ac:dyDescent="0.3">
      <c r="A987">
        <v>1986</v>
      </c>
      <c r="B987" t="s">
        <v>73</v>
      </c>
      <c r="D987" t="s">
        <v>22</v>
      </c>
      <c r="E987" t="s">
        <v>51</v>
      </c>
      <c r="F987" t="s">
        <v>30</v>
      </c>
      <c r="G987">
        <v>0</v>
      </c>
      <c r="H987">
        <v>0</v>
      </c>
      <c r="I987" t="s">
        <v>114</v>
      </c>
      <c r="J987" t="s">
        <v>43</v>
      </c>
    </row>
    <row r="988" spans="1:10" x14ac:dyDescent="0.3">
      <c r="A988">
        <v>1987</v>
      </c>
      <c r="B988" t="s">
        <v>38</v>
      </c>
      <c r="D988" t="s">
        <v>17</v>
      </c>
      <c r="E988" t="s">
        <v>55</v>
      </c>
      <c r="F988" t="s">
        <v>33</v>
      </c>
      <c r="G988">
        <v>0</v>
      </c>
      <c r="H988">
        <v>0</v>
      </c>
      <c r="I988" t="s">
        <v>215</v>
      </c>
      <c r="J988" t="s">
        <v>15</v>
      </c>
    </row>
    <row r="989" spans="1:10" x14ac:dyDescent="0.3">
      <c r="A989">
        <v>1988</v>
      </c>
      <c r="B989" t="s">
        <v>21</v>
      </c>
      <c r="C989">
        <v>23</v>
      </c>
      <c r="D989" t="s">
        <v>11</v>
      </c>
      <c r="E989" t="s">
        <v>27</v>
      </c>
      <c r="F989" t="s">
        <v>36</v>
      </c>
      <c r="G989">
        <v>0</v>
      </c>
      <c r="H989">
        <v>14326</v>
      </c>
      <c r="I989" t="s">
        <v>117</v>
      </c>
      <c r="J989" t="s">
        <v>43</v>
      </c>
    </row>
    <row r="990" spans="1:10" x14ac:dyDescent="0.3">
      <c r="A990">
        <v>1989</v>
      </c>
      <c r="B990" t="s">
        <v>16</v>
      </c>
      <c r="D990" t="s">
        <v>22</v>
      </c>
      <c r="E990" t="s">
        <v>44</v>
      </c>
      <c r="F990" t="s">
        <v>36</v>
      </c>
      <c r="G990">
        <v>0</v>
      </c>
      <c r="H990">
        <v>-1000</v>
      </c>
      <c r="I990" t="s">
        <v>134</v>
      </c>
      <c r="J990" t="s">
        <v>45</v>
      </c>
    </row>
    <row r="991" spans="1:10" x14ac:dyDescent="0.3">
      <c r="A991">
        <v>1990</v>
      </c>
      <c r="B991" t="s">
        <v>46</v>
      </c>
      <c r="C991">
        <v>50</v>
      </c>
      <c r="D991" t="s">
        <v>17</v>
      </c>
      <c r="E991" t="s">
        <v>23</v>
      </c>
      <c r="F991" t="s">
        <v>30</v>
      </c>
      <c r="G991">
        <v>4</v>
      </c>
      <c r="H991">
        <v>-1000</v>
      </c>
      <c r="I991" t="s">
        <v>188</v>
      </c>
      <c r="J991" t="s">
        <v>20</v>
      </c>
    </row>
    <row r="992" spans="1:10" x14ac:dyDescent="0.3">
      <c r="A992">
        <v>1991</v>
      </c>
      <c r="B992" t="s">
        <v>64</v>
      </c>
      <c r="C992">
        <v>39</v>
      </c>
      <c r="D992" t="s">
        <v>22</v>
      </c>
      <c r="E992" t="s">
        <v>12</v>
      </c>
      <c r="F992" t="s">
        <v>30</v>
      </c>
      <c r="G992">
        <v>3</v>
      </c>
      <c r="H992">
        <v>10685</v>
      </c>
      <c r="I992" t="s">
        <v>81</v>
      </c>
      <c r="J992" t="s">
        <v>43</v>
      </c>
    </row>
    <row r="993" spans="1:10" x14ac:dyDescent="0.3">
      <c r="A993">
        <v>1992</v>
      </c>
      <c r="B993" t="s">
        <v>46</v>
      </c>
      <c r="D993" t="s">
        <v>11</v>
      </c>
      <c r="E993" t="s">
        <v>27</v>
      </c>
      <c r="F993" t="s">
        <v>30</v>
      </c>
      <c r="G993">
        <v>0</v>
      </c>
      <c r="H993">
        <v>47524</v>
      </c>
      <c r="I993" t="s">
        <v>102</v>
      </c>
      <c r="J993" t="s">
        <v>45</v>
      </c>
    </row>
    <row r="994" spans="1:10" x14ac:dyDescent="0.3">
      <c r="A994">
        <v>1993</v>
      </c>
      <c r="B994" t="s">
        <v>57</v>
      </c>
      <c r="D994" t="s">
        <v>22</v>
      </c>
      <c r="E994" t="s">
        <v>18</v>
      </c>
      <c r="F994" t="s">
        <v>233</v>
      </c>
      <c r="G994">
        <v>0</v>
      </c>
      <c r="H994">
        <v>19690</v>
      </c>
      <c r="I994" t="s">
        <v>117</v>
      </c>
      <c r="J994" t="s">
        <v>20</v>
      </c>
    </row>
    <row r="995" spans="1:10" x14ac:dyDescent="0.3">
      <c r="A995">
        <v>1994</v>
      </c>
      <c r="B995" t="s">
        <v>48</v>
      </c>
      <c r="C995">
        <v>33</v>
      </c>
      <c r="D995" t="s">
        <v>17</v>
      </c>
      <c r="E995" t="s">
        <v>41</v>
      </c>
      <c r="F995" t="s">
        <v>36</v>
      </c>
      <c r="G995">
        <v>1</v>
      </c>
      <c r="H995">
        <v>0</v>
      </c>
      <c r="I995" t="s">
        <v>157</v>
      </c>
      <c r="J995" t="s">
        <v>15</v>
      </c>
    </row>
    <row r="996" spans="1:10" x14ac:dyDescent="0.3">
      <c r="A996">
        <v>1995</v>
      </c>
      <c r="B996" t="s">
        <v>62</v>
      </c>
      <c r="D996" t="s">
        <v>11</v>
      </c>
      <c r="E996" t="s">
        <v>44</v>
      </c>
      <c r="F996" t="s">
        <v>36</v>
      </c>
      <c r="G996">
        <v>4</v>
      </c>
      <c r="H996">
        <v>0</v>
      </c>
      <c r="I996" t="s">
        <v>123</v>
      </c>
      <c r="J996" t="s">
        <v>20</v>
      </c>
    </row>
    <row r="997" spans="1:10" x14ac:dyDescent="0.3">
      <c r="A997">
        <v>1996</v>
      </c>
      <c r="B997" t="s">
        <v>35</v>
      </c>
      <c r="D997" t="s">
        <v>40</v>
      </c>
      <c r="E997" t="s">
        <v>18</v>
      </c>
      <c r="F997" t="s">
        <v>30</v>
      </c>
      <c r="G997">
        <v>0</v>
      </c>
      <c r="H997">
        <v>-1000</v>
      </c>
      <c r="I997" t="s">
        <v>129</v>
      </c>
      <c r="J997" t="s">
        <v>45</v>
      </c>
    </row>
    <row r="998" spans="1:10" x14ac:dyDescent="0.3">
      <c r="A998">
        <v>1997</v>
      </c>
      <c r="B998" t="s">
        <v>25</v>
      </c>
      <c r="C998">
        <v>27</v>
      </c>
      <c r="D998" t="s">
        <v>17</v>
      </c>
      <c r="E998" t="s">
        <v>18</v>
      </c>
      <c r="F998" t="s">
        <v>36</v>
      </c>
      <c r="G998">
        <v>4</v>
      </c>
      <c r="H998">
        <v>14818</v>
      </c>
      <c r="I998" t="s">
        <v>114</v>
      </c>
      <c r="J998" t="s">
        <v>43</v>
      </c>
    </row>
    <row r="999" spans="1:10" x14ac:dyDescent="0.3">
      <c r="A999">
        <v>1998</v>
      </c>
      <c r="B999" t="s">
        <v>38</v>
      </c>
      <c r="C999">
        <v>33</v>
      </c>
      <c r="D999" t="s">
        <v>17</v>
      </c>
      <c r="E999" t="s">
        <v>18</v>
      </c>
      <c r="F999" t="s">
        <v>33</v>
      </c>
      <c r="G999">
        <v>3</v>
      </c>
      <c r="H999">
        <v>12470</v>
      </c>
      <c r="I999" t="s">
        <v>163</v>
      </c>
      <c r="J999" t="s">
        <v>20</v>
      </c>
    </row>
    <row r="1000" spans="1:10" x14ac:dyDescent="0.3">
      <c r="A1000">
        <v>1999</v>
      </c>
      <c r="B1000" t="s">
        <v>46</v>
      </c>
      <c r="D1000" t="s">
        <v>40</v>
      </c>
      <c r="E1000" t="s">
        <v>18</v>
      </c>
      <c r="F1000" t="s">
        <v>36</v>
      </c>
      <c r="G1000">
        <v>0</v>
      </c>
      <c r="H1000">
        <v>23006</v>
      </c>
      <c r="I1000" t="s">
        <v>123</v>
      </c>
      <c r="J1000" t="s">
        <v>20</v>
      </c>
    </row>
    <row r="1001" spans="1:10" x14ac:dyDescent="0.3">
      <c r="A1001">
        <v>2000</v>
      </c>
      <c r="B1001" t="s">
        <v>54</v>
      </c>
      <c r="D1001" t="s">
        <v>22</v>
      </c>
      <c r="E1001" t="s">
        <v>55</v>
      </c>
      <c r="F1001" t="s">
        <v>36</v>
      </c>
      <c r="G1001">
        <v>0</v>
      </c>
      <c r="H1001">
        <v>21127</v>
      </c>
      <c r="I1001" t="s">
        <v>142</v>
      </c>
      <c r="J1001" t="s">
        <v>20</v>
      </c>
    </row>
    <row r="1002" spans="1:10" x14ac:dyDescent="0.3">
      <c r="A1002">
        <v>2000</v>
      </c>
      <c r="B1002" t="s">
        <v>54</v>
      </c>
      <c r="D1002" t="s">
        <v>22</v>
      </c>
      <c r="E1002" t="s">
        <v>55</v>
      </c>
      <c r="F1002" t="s">
        <v>232</v>
      </c>
      <c r="G1002">
        <v>0</v>
      </c>
      <c r="H1002">
        <v>21127</v>
      </c>
      <c r="I1002" t="s">
        <v>142</v>
      </c>
      <c r="J1002" t="s">
        <v>20</v>
      </c>
    </row>
    <row r="1003" spans="1:10" x14ac:dyDescent="0.3">
      <c r="A1003">
        <v>1992</v>
      </c>
      <c r="B1003" t="s">
        <v>46</v>
      </c>
      <c r="D1003" t="s">
        <v>11</v>
      </c>
      <c r="E1003" t="s">
        <v>27</v>
      </c>
      <c r="F1003" t="s">
        <v>30</v>
      </c>
      <c r="G1003">
        <v>0</v>
      </c>
      <c r="H1003">
        <v>47524</v>
      </c>
      <c r="I1003" t="s">
        <v>102</v>
      </c>
      <c r="J1003" t="s">
        <v>45</v>
      </c>
    </row>
    <row r="1004" spans="1:10" x14ac:dyDescent="0.3">
      <c r="A1004">
        <v>1967</v>
      </c>
      <c r="B1004" t="s">
        <v>25</v>
      </c>
      <c r="D1004" t="s">
        <v>11</v>
      </c>
      <c r="E1004" t="s">
        <v>18</v>
      </c>
      <c r="F1004" t="s">
        <v>13</v>
      </c>
      <c r="G1004">
        <v>0</v>
      </c>
      <c r="H1004">
        <v>-1000</v>
      </c>
      <c r="I1004" t="s">
        <v>162</v>
      </c>
      <c r="J1004" t="s">
        <v>20</v>
      </c>
    </row>
    <row r="1005" spans="1:10" x14ac:dyDescent="0.3">
      <c r="A1005">
        <v>1948</v>
      </c>
      <c r="B1005" t="s">
        <v>48</v>
      </c>
      <c r="D1005" t="s">
        <v>11</v>
      </c>
      <c r="E1005" t="s">
        <v>27</v>
      </c>
      <c r="F1005" t="s">
        <v>30</v>
      </c>
      <c r="G1005">
        <v>1</v>
      </c>
      <c r="H1005">
        <v>37415</v>
      </c>
      <c r="I1005" t="s">
        <v>194</v>
      </c>
      <c r="J1005"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CF462-F03F-4EDE-A4E0-424E42BB917F}">
  <dimension ref="A1:AA1001"/>
  <sheetViews>
    <sheetView topLeftCell="F975" workbookViewId="0">
      <selection activeCell="U1" sqref="U1:U1048576"/>
    </sheetView>
  </sheetViews>
  <sheetFormatPr defaultRowHeight="14.4" x14ac:dyDescent="0.3"/>
  <cols>
    <col min="1" max="1" width="12.44140625" style="3" bestFit="1" customWidth="1"/>
    <col min="2" max="2" width="19.109375" style="3" bestFit="1" customWidth="1"/>
    <col min="3" max="3" width="17.21875" style="3" bestFit="1" customWidth="1"/>
    <col min="4" max="4" width="8.6640625" style="3" bestFit="1" customWidth="1"/>
    <col min="5" max="5" width="14.6640625" style="3" bestFit="1" customWidth="1"/>
    <col min="6" max="6" width="11.5546875" style="3" bestFit="1" customWidth="1"/>
    <col min="7" max="7" width="12.109375" style="3" bestFit="1" customWidth="1"/>
    <col min="8" max="8" width="12.77734375" style="3" bestFit="1" customWidth="1"/>
    <col min="9" max="9" width="12.77734375" style="5" bestFit="1" customWidth="1"/>
    <col min="10" max="10" width="11.109375" style="3" bestFit="1" customWidth="1"/>
    <col min="11" max="11" width="13.77734375" style="3" bestFit="1" customWidth="1"/>
    <col min="12" max="12" width="15.109375" style="3" bestFit="1" customWidth="1"/>
    <col min="13" max="13" width="19.88671875" style="8" bestFit="1" customWidth="1"/>
    <col min="14" max="14" width="11.21875" style="8" bestFit="1" customWidth="1"/>
    <col min="15" max="15" width="11.21875" style="3" bestFit="1" customWidth="1"/>
    <col min="16" max="16" width="9.109375" style="3" bestFit="1" customWidth="1"/>
    <col min="17" max="17" width="6.88671875" style="3" bestFit="1" customWidth="1"/>
    <col min="18" max="20" width="6.88671875" style="3" customWidth="1"/>
    <col min="21" max="21" width="12.109375" style="3" bestFit="1" customWidth="1"/>
    <col min="22" max="24" width="6.88671875" style="3" customWidth="1"/>
    <col min="25" max="25" width="6.88671875" customWidth="1"/>
    <col min="26" max="27" width="6.88671875" style="3" customWidth="1"/>
  </cols>
  <sheetData>
    <row r="1" spans="1:27" x14ac:dyDescent="0.3">
      <c r="A1" s="3" t="s">
        <v>0</v>
      </c>
      <c r="B1" s="3" t="s">
        <v>1</v>
      </c>
      <c r="C1" s="3" t="s">
        <v>252</v>
      </c>
      <c r="D1" s="3" t="s">
        <v>2</v>
      </c>
      <c r="E1" s="3" t="s">
        <v>245</v>
      </c>
      <c r="F1" s="3" t="s">
        <v>3</v>
      </c>
      <c r="G1" s="3" t="s">
        <v>4</v>
      </c>
      <c r="H1" t="s">
        <v>254</v>
      </c>
      <c r="I1" s="3" t="s">
        <v>6</v>
      </c>
      <c r="J1" s="5" t="s">
        <v>7</v>
      </c>
      <c r="K1" s="7" t="s">
        <v>246</v>
      </c>
      <c r="L1" s="3" t="s">
        <v>8</v>
      </c>
      <c r="M1" s="8" t="s">
        <v>253</v>
      </c>
      <c r="N1" s="3" t="s">
        <v>9</v>
      </c>
      <c r="O1" s="3" t="s">
        <v>247</v>
      </c>
      <c r="P1" s="3" t="s">
        <v>248</v>
      </c>
      <c r="X1"/>
      <c r="Y1" s="3"/>
      <c r="AA1"/>
    </row>
    <row r="2" spans="1:27" x14ac:dyDescent="0.3">
      <c r="A2" s="3">
        <v>1001</v>
      </c>
      <c r="B2" s="4" t="s">
        <v>10</v>
      </c>
      <c r="C2" s="4" t="str">
        <f>IF(D2="","Unknown",IF(D2&lt;20,"Teen",IF(D2&lt;40,"Adult","Senior")))</f>
        <v>Senior</v>
      </c>
      <c r="D2" s="3">
        <v>50</v>
      </c>
      <c r="E2" s="3" t="s">
        <v>249</v>
      </c>
      <c r="F2" s="4" t="s">
        <v>40</v>
      </c>
      <c r="G2" s="4" t="s">
        <v>12</v>
      </c>
      <c r="H2" t="s">
        <v>13</v>
      </c>
      <c r="I2" s="3">
        <v>2</v>
      </c>
      <c r="J2" s="5">
        <v>13960</v>
      </c>
      <c r="K2" s="7">
        <v>27920</v>
      </c>
      <c r="L2" s="6">
        <v>45298</v>
      </c>
      <c r="M2" s="8" t="str">
        <f>IF(K2&gt;10000,"High",IF(K2&gt;5000,"Medium","Low"))</f>
        <v>High</v>
      </c>
      <c r="N2" s="4" t="s">
        <v>240</v>
      </c>
      <c r="O2" s="3">
        <v>1</v>
      </c>
      <c r="P2" s="3">
        <v>2024</v>
      </c>
      <c r="T2" s="4"/>
      <c r="X2"/>
      <c r="Y2" s="3"/>
      <c r="AA2"/>
    </row>
    <row r="3" spans="1:27" x14ac:dyDescent="0.3">
      <c r="A3" s="3">
        <v>1003</v>
      </c>
      <c r="B3" s="4" t="s">
        <v>21</v>
      </c>
      <c r="C3" s="4" t="str">
        <f>IF(D3="","Unknown",IF(D3&lt;20,"Teen",IF(D3&lt;40,"Adult","Senior")))</f>
        <v>Adult</v>
      </c>
      <c r="D3" s="3">
        <v>30</v>
      </c>
      <c r="E3" s="3" t="s">
        <v>250</v>
      </c>
      <c r="F3" s="4" t="s">
        <v>17</v>
      </c>
      <c r="G3" s="4" t="s">
        <v>23</v>
      </c>
      <c r="H3" t="s">
        <v>30</v>
      </c>
      <c r="I3" s="3">
        <v>2</v>
      </c>
      <c r="J3" s="5">
        <v>49737</v>
      </c>
      <c r="K3" s="7">
        <v>99474</v>
      </c>
      <c r="L3" s="6">
        <v>45313</v>
      </c>
      <c r="M3" s="8" t="str">
        <f>IF(K3&gt;10000,"High",IF(K3&gt;5000,"Medium","Low"))</f>
        <v>High</v>
      </c>
      <c r="N3" s="4" t="s">
        <v>241</v>
      </c>
      <c r="O3" s="3">
        <v>1</v>
      </c>
      <c r="P3" s="3">
        <v>2024</v>
      </c>
      <c r="T3" s="4"/>
      <c r="X3"/>
      <c r="Y3" s="3"/>
      <c r="AA3"/>
    </row>
    <row r="4" spans="1:27" x14ac:dyDescent="0.3">
      <c r="A4" s="3">
        <v>1004</v>
      </c>
      <c r="B4" s="4" t="s">
        <v>25</v>
      </c>
      <c r="C4" s="4" t="str">
        <f>IF(D4="","Unknown",IF(D4&lt;20,"Teen",IF(D4&lt;40,"Adult","Senior")))</f>
        <v>Senior</v>
      </c>
      <c r="D4" s="3">
        <v>40</v>
      </c>
      <c r="E4" s="3" t="s">
        <v>249</v>
      </c>
      <c r="F4" s="4" t="s">
        <v>40</v>
      </c>
      <c r="G4" s="4" t="s">
        <v>27</v>
      </c>
      <c r="H4" t="s">
        <v>13</v>
      </c>
      <c r="I4" s="3">
        <v>2</v>
      </c>
      <c r="J4" s="5">
        <v>1000</v>
      </c>
      <c r="K4" s="7">
        <v>2000</v>
      </c>
      <c r="L4" s="6">
        <v>45302</v>
      </c>
      <c r="M4" s="8" t="str">
        <f>IF(K4&gt;10000,"High",IF(K4&gt;5000,"Medium","Low"))</f>
        <v>Low</v>
      </c>
      <c r="N4" s="4" t="s">
        <v>242</v>
      </c>
      <c r="O4" s="3">
        <v>1</v>
      </c>
      <c r="P4" s="3">
        <v>2024</v>
      </c>
      <c r="T4" s="4"/>
      <c r="X4"/>
      <c r="Y4" s="3"/>
      <c r="AA4"/>
    </row>
    <row r="5" spans="1:27" x14ac:dyDescent="0.3">
      <c r="A5" s="3">
        <v>1006</v>
      </c>
      <c r="B5" s="4" t="s">
        <v>32</v>
      </c>
      <c r="C5" s="4" t="str">
        <f>IF(D5="","Unknown",IF(D5&lt;20,"Teen",IF(D5&lt;40,"Adult","Senior")))</f>
        <v>Adult</v>
      </c>
      <c r="D5" s="3">
        <v>30</v>
      </c>
      <c r="E5" s="3" t="s">
        <v>250</v>
      </c>
      <c r="F5" s="4" t="s">
        <v>17</v>
      </c>
      <c r="G5" s="4" t="s">
        <v>27</v>
      </c>
      <c r="H5" t="s">
        <v>13</v>
      </c>
      <c r="I5" s="3">
        <v>2</v>
      </c>
      <c r="J5" s="5">
        <v>1000</v>
      </c>
      <c r="K5" s="7">
        <v>2000</v>
      </c>
      <c r="L5" s="6">
        <v>45320</v>
      </c>
      <c r="M5" s="8" t="str">
        <f>IF(K5&gt;10000,"High",IF(K5&gt;5000,"Medium","Low"))</f>
        <v>Low</v>
      </c>
      <c r="N5" s="4" t="s">
        <v>242</v>
      </c>
      <c r="O5" s="3">
        <v>1</v>
      </c>
      <c r="P5" s="3">
        <v>2024</v>
      </c>
      <c r="T5" s="4"/>
      <c r="X5"/>
      <c r="Y5" s="3"/>
      <c r="AA5"/>
    </row>
    <row r="6" spans="1:27" x14ac:dyDescent="0.3">
      <c r="A6" s="3">
        <v>1007</v>
      </c>
      <c r="B6" s="4" t="s">
        <v>35</v>
      </c>
      <c r="C6" s="4" t="str">
        <f>IF(D6="","Unknown",IF(D6&lt;20,"Teen",IF(D6&lt;40,"Adult","Senior")))</f>
        <v>Adult</v>
      </c>
      <c r="D6" s="3">
        <v>32</v>
      </c>
      <c r="E6" s="3" t="s">
        <v>249</v>
      </c>
      <c r="F6" s="4" t="s">
        <v>40</v>
      </c>
      <c r="G6" s="4" t="s">
        <v>27</v>
      </c>
      <c r="H6" t="s">
        <v>13</v>
      </c>
      <c r="I6" s="3">
        <v>2</v>
      </c>
      <c r="J6" s="5">
        <v>1000</v>
      </c>
      <c r="K6" s="7">
        <v>2000</v>
      </c>
      <c r="L6" s="6">
        <v>45319</v>
      </c>
      <c r="M6" s="8" t="str">
        <f>IF(K6&gt;10000,"High",IF(K6&gt;5000,"Medium","Low"))</f>
        <v>Low</v>
      </c>
      <c r="N6" s="4" t="s">
        <v>242</v>
      </c>
      <c r="O6" s="3">
        <v>1</v>
      </c>
      <c r="P6" s="3">
        <v>2024</v>
      </c>
      <c r="T6" s="4"/>
      <c r="X6"/>
      <c r="Y6" s="3"/>
      <c r="AA6"/>
    </row>
    <row r="7" spans="1:27" x14ac:dyDescent="0.3">
      <c r="A7" s="3">
        <v>1008</v>
      </c>
      <c r="B7" s="4" t="s">
        <v>38</v>
      </c>
      <c r="C7" s="4" t="str">
        <f>IF(D7="","Unknown",IF(D7&lt;20,"Teen",IF(D7&lt;40,"Adult","Senior")))</f>
        <v>Adult</v>
      </c>
      <c r="D7" s="3">
        <v>30</v>
      </c>
      <c r="E7" s="3" t="s">
        <v>250</v>
      </c>
      <c r="F7" s="4" t="s">
        <v>17</v>
      </c>
      <c r="G7" s="4" t="s">
        <v>27</v>
      </c>
      <c r="H7" t="s">
        <v>13</v>
      </c>
      <c r="I7" s="3">
        <v>3</v>
      </c>
      <c r="J7" s="5">
        <v>2505</v>
      </c>
      <c r="K7" s="7">
        <v>7515</v>
      </c>
      <c r="L7" s="6">
        <v>45304</v>
      </c>
      <c r="M7" s="8" t="str">
        <f>IF(K7&gt;10000,"High",IF(K7&gt;5000,"Medium","Low"))</f>
        <v>Medium</v>
      </c>
      <c r="N7" s="4" t="s">
        <v>240</v>
      </c>
      <c r="O7" s="3">
        <v>1</v>
      </c>
      <c r="P7" s="3">
        <v>2024</v>
      </c>
      <c r="T7" s="4"/>
      <c r="X7"/>
      <c r="Y7" s="3"/>
      <c r="AA7"/>
    </row>
    <row r="8" spans="1:27" x14ac:dyDescent="0.3">
      <c r="A8" s="3">
        <v>1010</v>
      </c>
      <c r="B8" s="4" t="s">
        <v>35</v>
      </c>
      <c r="C8" s="4" t="str">
        <f>IF(D8="","Unknown",IF(D8&lt;20,"Teen",IF(D8&lt;40,"Adult","Senior")))</f>
        <v>Adult</v>
      </c>
      <c r="D8" s="3">
        <v>28</v>
      </c>
      <c r="E8" s="3" t="s">
        <v>250</v>
      </c>
      <c r="F8" s="4" t="s">
        <v>17</v>
      </c>
      <c r="G8" s="4" t="s">
        <v>44</v>
      </c>
      <c r="H8" t="s">
        <v>36</v>
      </c>
      <c r="I8" s="3">
        <v>2</v>
      </c>
      <c r="J8" s="5">
        <v>5945</v>
      </c>
      <c r="K8" s="7">
        <v>11890</v>
      </c>
      <c r="L8" s="6">
        <v>45304</v>
      </c>
      <c r="M8" s="8" t="str">
        <f>IF(K8&gt;10000,"High",IF(K8&gt;5000,"Medium","Low"))</f>
        <v>High</v>
      </c>
      <c r="N8" s="4" t="s">
        <v>244</v>
      </c>
      <c r="O8" s="3">
        <v>1</v>
      </c>
      <c r="P8" s="3">
        <v>2024</v>
      </c>
      <c r="T8" s="4"/>
      <c r="X8"/>
      <c r="Y8" s="3"/>
      <c r="AA8"/>
    </row>
    <row r="9" spans="1:27" x14ac:dyDescent="0.3">
      <c r="A9" s="3">
        <v>1011</v>
      </c>
      <c r="B9" s="4" t="s">
        <v>46</v>
      </c>
      <c r="C9" s="4" t="str">
        <f>IF(D9="","Unknown",IF(D9&lt;20,"Teen",IF(D9&lt;40,"Adult","Senior")))</f>
        <v>Adult</v>
      </c>
      <c r="D9" s="3">
        <v>30</v>
      </c>
      <c r="E9" s="3" t="s">
        <v>250</v>
      </c>
      <c r="F9" s="4" t="s">
        <v>40</v>
      </c>
      <c r="G9" s="4" t="s">
        <v>41</v>
      </c>
      <c r="H9" t="s">
        <v>36</v>
      </c>
      <c r="I9" s="3">
        <v>2</v>
      </c>
      <c r="J9" s="5">
        <v>1000</v>
      </c>
      <c r="K9" s="7">
        <v>2000</v>
      </c>
      <c r="L9" s="6">
        <v>45318</v>
      </c>
      <c r="M9" s="8" t="str">
        <f>IF(K9&gt;10000,"High",IF(K9&gt;5000,"Medium","Low"))</f>
        <v>Low</v>
      </c>
      <c r="N9" s="4" t="s">
        <v>243</v>
      </c>
      <c r="O9" s="3">
        <v>1</v>
      </c>
      <c r="P9" s="3">
        <v>2024</v>
      </c>
      <c r="T9" s="4"/>
      <c r="X9"/>
      <c r="Y9" s="3"/>
      <c r="AA9"/>
    </row>
    <row r="10" spans="1:27" x14ac:dyDescent="0.3">
      <c r="A10" s="3">
        <v>1013</v>
      </c>
      <c r="B10" s="4" t="s">
        <v>48</v>
      </c>
      <c r="C10" s="4" t="str">
        <f>IF(D10="","Unknown",IF(D10&lt;20,"Teen",IF(D10&lt;40,"Adult","Senior")))</f>
        <v>Adult</v>
      </c>
      <c r="D10" s="3">
        <v>30</v>
      </c>
      <c r="E10" s="3" t="s">
        <v>250</v>
      </c>
      <c r="F10" s="4" t="s">
        <v>40</v>
      </c>
      <c r="G10" s="4" t="s">
        <v>18</v>
      </c>
      <c r="H10" t="s">
        <v>30</v>
      </c>
      <c r="I10" s="3">
        <v>2</v>
      </c>
      <c r="J10" s="5">
        <v>1000</v>
      </c>
      <c r="K10" s="7">
        <v>2000</v>
      </c>
      <c r="L10" s="6">
        <v>45321</v>
      </c>
      <c r="M10" s="8" t="str">
        <f>IF(K10&gt;10000,"High",IF(K10&gt;5000,"Medium","Low"))</f>
        <v>Low</v>
      </c>
      <c r="N10" s="4" t="s">
        <v>244</v>
      </c>
      <c r="O10" s="3">
        <v>1</v>
      </c>
      <c r="P10" s="3">
        <v>2024</v>
      </c>
      <c r="T10" s="4"/>
      <c r="X10"/>
      <c r="Y10" s="3"/>
      <c r="AA10"/>
    </row>
    <row r="11" spans="1:27" x14ac:dyDescent="0.3">
      <c r="A11" s="3">
        <v>1014</v>
      </c>
      <c r="B11" s="4" t="s">
        <v>25</v>
      </c>
      <c r="C11" s="4" t="str">
        <f>IF(D11="","Unknown",IF(D11&lt;20,"Teen",IF(D11&lt;40,"Adult","Senior")))</f>
        <v>Adult</v>
      </c>
      <c r="D11" s="3">
        <v>30</v>
      </c>
      <c r="E11" s="3" t="s">
        <v>250</v>
      </c>
      <c r="F11" s="4" t="s">
        <v>40</v>
      </c>
      <c r="G11" s="4" t="s">
        <v>51</v>
      </c>
      <c r="H11" t="s">
        <v>13</v>
      </c>
      <c r="I11" s="3">
        <v>2</v>
      </c>
      <c r="J11" s="5">
        <v>1000</v>
      </c>
      <c r="K11" s="7">
        <v>2000</v>
      </c>
      <c r="L11" s="6">
        <v>45303</v>
      </c>
      <c r="M11" s="8" t="str">
        <f>IF(K11&gt;10000,"High",IF(K11&gt;5000,"Medium","Low"))</f>
        <v>Low</v>
      </c>
      <c r="N11" s="4" t="s">
        <v>241</v>
      </c>
      <c r="O11" s="3">
        <v>1</v>
      </c>
      <c r="P11" s="3">
        <v>2024</v>
      </c>
      <c r="T11" s="4"/>
      <c r="X11"/>
      <c r="Y11" s="3"/>
      <c r="AA11"/>
    </row>
    <row r="12" spans="1:27" x14ac:dyDescent="0.3">
      <c r="A12" s="3">
        <v>1015</v>
      </c>
      <c r="B12" s="4" t="s">
        <v>16</v>
      </c>
      <c r="C12" s="4" t="str">
        <f>IF(D12="","Unknown",IF(D12&lt;20,"Teen",IF(D12&lt;40,"Adult","Senior")))</f>
        <v>Senior</v>
      </c>
      <c r="D12" s="3">
        <v>48</v>
      </c>
      <c r="E12" s="3" t="s">
        <v>249</v>
      </c>
      <c r="F12" s="4" t="s">
        <v>40</v>
      </c>
      <c r="G12" s="4" t="s">
        <v>12</v>
      </c>
      <c r="H12" t="s">
        <v>13</v>
      </c>
      <c r="I12" s="3">
        <v>2</v>
      </c>
      <c r="J12" s="5">
        <v>1000</v>
      </c>
      <c r="K12" s="7">
        <v>2000</v>
      </c>
      <c r="L12" s="6">
        <v>45321</v>
      </c>
      <c r="M12" s="8" t="str">
        <f>IF(K12&gt;10000,"High",IF(K12&gt;5000,"Medium","Low"))</f>
        <v>Low</v>
      </c>
      <c r="N12" s="4" t="s">
        <v>240</v>
      </c>
      <c r="O12" s="3">
        <v>1</v>
      </c>
      <c r="P12" s="3">
        <v>2024</v>
      </c>
      <c r="T12" s="4"/>
      <c r="X12"/>
      <c r="Y12" s="3"/>
      <c r="AA12"/>
    </row>
    <row r="13" spans="1:27" x14ac:dyDescent="0.3">
      <c r="A13" s="3">
        <v>1018</v>
      </c>
      <c r="B13" s="4" t="s">
        <v>59</v>
      </c>
      <c r="C13" s="4" t="str">
        <f>IF(D13="","Unknown",IF(D13&lt;20,"Teen",IF(D13&lt;40,"Adult","Senior")))</f>
        <v>Adult</v>
      </c>
      <c r="D13" s="3">
        <v>26</v>
      </c>
      <c r="E13" s="3" t="s">
        <v>250</v>
      </c>
      <c r="F13" s="4" t="s">
        <v>40</v>
      </c>
      <c r="G13" s="4" t="s">
        <v>41</v>
      </c>
      <c r="H13" t="s">
        <v>36</v>
      </c>
      <c r="I13" s="3">
        <v>2</v>
      </c>
      <c r="J13" s="5">
        <v>1000</v>
      </c>
      <c r="K13" s="7">
        <v>2000</v>
      </c>
      <c r="L13" s="6">
        <v>45318</v>
      </c>
      <c r="M13" s="8" t="str">
        <f>IF(K13&gt;10000,"High",IF(K13&gt;5000,"Medium","Low"))</f>
        <v>Low</v>
      </c>
      <c r="N13" s="4" t="s">
        <v>241</v>
      </c>
      <c r="O13" s="3">
        <v>1</v>
      </c>
      <c r="P13" s="3">
        <v>2024</v>
      </c>
      <c r="T13" s="4"/>
      <c r="X13"/>
      <c r="Y13" s="3"/>
      <c r="AA13"/>
    </row>
    <row r="14" spans="1:27" x14ac:dyDescent="0.3">
      <c r="A14" s="3">
        <v>1022</v>
      </c>
      <c r="B14" s="4" t="s">
        <v>16</v>
      </c>
      <c r="C14" s="4" t="str">
        <f>IF(D14="","Unknown",IF(D14&lt;20,"Teen",IF(D14&lt;40,"Adult","Senior")))</f>
        <v>Adult</v>
      </c>
      <c r="D14" s="3">
        <v>28</v>
      </c>
      <c r="E14" s="3" t="s">
        <v>250</v>
      </c>
      <c r="F14" s="4" t="s">
        <v>17</v>
      </c>
      <c r="G14" s="4" t="s">
        <v>44</v>
      </c>
      <c r="H14" t="s">
        <v>36</v>
      </c>
      <c r="I14" s="3">
        <v>2</v>
      </c>
      <c r="J14" s="5">
        <v>1000</v>
      </c>
      <c r="K14" s="7">
        <v>2000</v>
      </c>
      <c r="L14" s="6">
        <v>45313</v>
      </c>
      <c r="M14" s="8" t="str">
        <f>IF(K14&gt;10000,"High",IF(K14&gt;5000,"Medium","Low"))</f>
        <v>Low</v>
      </c>
      <c r="N14" s="4" t="s">
        <v>244</v>
      </c>
      <c r="O14" s="3">
        <v>1</v>
      </c>
      <c r="P14" s="3">
        <v>2024</v>
      </c>
      <c r="T14" s="4"/>
      <c r="X14"/>
      <c r="Y14" s="3"/>
      <c r="AA14"/>
    </row>
    <row r="15" spans="1:27" x14ac:dyDescent="0.3">
      <c r="A15" s="3">
        <v>1023</v>
      </c>
      <c r="B15" s="4" t="s">
        <v>10</v>
      </c>
      <c r="C15" s="4" t="str">
        <f>IF(D15="","Unknown",IF(D15&lt;20,"Teen",IF(D15&lt;40,"Adult","Senior")))</f>
        <v>Senior</v>
      </c>
      <c r="D15" s="3">
        <v>43</v>
      </c>
      <c r="E15" s="3" t="s">
        <v>249</v>
      </c>
      <c r="F15" s="4" t="s">
        <v>40</v>
      </c>
      <c r="G15" s="4" t="s">
        <v>18</v>
      </c>
      <c r="H15" t="s">
        <v>30</v>
      </c>
      <c r="I15" s="3">
        <v>2</v>
      </c>
      <c r="J15" s="5">
        <v>1000</v>
      </c>
      <c r="K15" s="7">
        <v>2000</v>
      </c>
      <c r="L15" s="6">
        <v>45310</v>
      </c>
      <c r="M15" s="8" t="str">
        <f>IF(K15&gt;10000,"High",IF(K15&gt;5000,"Medium","Low"))</f>
        <v>Low</v>
      </c>
      <c r="N15" s="4" t="s">
        <v>243</v>
      </c>
      <c r="O15" s="3">
        <v>1</v>
      </c>
      <c r="P15" s="3">
        <v>2024</v>
      </c>
      <c r="T15" s="4"/>
      <c r="X15"/>
      <c r="Y15" s="3"/>
      <c r="AA15"/>
    </row>
    <row r="16" spans="1:27" x14ac:dyDescent="0.3">
      <c r="A16" s="3">
        <v>1025</v>
      </c>
      <c r="B16" s="4" t="s">
        <v>57</v>
      </c>
      <c r="C16" s="4" t="str">
        <f>IF(D16="","Unknown",IF(D16&lt;20,"Teen",IF(D16&lt;40,"Adult","Senior")))</f>
        <v>Senior</v>
      </c>
      <c r="D16" s="3">
        <v>45</v>
      </c>
      <c r="E16" s="3" t="s">
        <v>249</v>
      </c>
      <c r="F16" s="4" t="s">
        <v>17</v>
      </c>
      <c r="G16" s="4" t="s">
        <v>18</v>
      </c>
      <c r="H16" t="s">
        <v>30</v>
      </c>
      <c r="I16" s="3">
        <v>5</v>
      </c>
      <c r="J16" s="5">
        <v>1000</v>
      </c>
      <c r="K16" s="7">
        <v>5000</v>
      </c>
      <c r="L16" s="6">
        <v>45318</v>
      </c>
      <c r="M16" s="8" t="str">
        <f>IF(K16&gt;10000,"High",IF(K16&gt;5000,"Medium","Low"))</f>
        <v>Low</v>
      </c>
      <c r="N16" s="4" t="s">
        <v>241</v>
      </c>
      <c r="O16" s="3">
        <v>1</v>
      </c>
      <c r="P16" s="3">
        <v>2024</v>
      </c>
      <c r="T16" s="4"/>
      <c r="X16"/>
      <c r="Y16" s="3"/>
      <c r="AA16"/>
    </row>
    <row r="17" spans="1:27" x14ac:dyDescent="0.3">
      <c r="A17" s="3">
        <v>1030</v>
      </c>
      <c r="B17" s="4" t="s">
        <v>25</v>
      </c>
      <c r="C17" s="4" t="str">
        <f>IF(D17="","Unknown",IF(D17&lt;20,"Teen",IF(D17&lt;40,"Adult","Senior")))</f>
        <v>Senior</v>
      </c>
      <c r="D17" s="3">
        <v>45</v>
      </c>
      <c r="E17" s="3" t="s">
        <v>249</v>
      </c>
      <c r="F17" s="4" t="s">
        <v>40</v>
      </c>
      <c r="G17" s="4" t="s">
        <v>23</v>
      </c>
      <c r="H17" t="s">
        <v>30</v>
      </c>
      <c r="I17" s="3">
        <v>3</v>
      </c>
      <c r="J17" s="5">
        <v>3754</v>
      </c>
      <c r="K17" s="7">
        <v>11262</v>
      </c>
      <c r="L17" s="6">
        <v>45320</v>
      </c>
      <c r="M17" s="8" t="str">
        <f>IF(K17&gt;10000,"High",IF(K17&gt;5000,"Medium","Low"))</f>
        <v>High</v>
      </c>
      <c r="N17" s="4" t="s">
        <v>244</v>
      </c>
      <c r="O17" s="3">
        <v>1</v>
      </c>
      <c r="P17" s="3">
        <v>2024</v>
      </c>
      <c r="T17" s="4"/>
      <c r="X17"/>
      <c r="Y17" s="3"/>
      <c r="AA17"/>
    </row>
    <row r="18" spans="1:27" x14ac:dyDescent="0.3">
      <c r="A18" s="3">
        <v>1032</v>
      </c>
      <c r="B18" s="4" t="s">
        <v>73</v>
      </c>
      <c r="C18" s="4" t="str">
        <f>IF(D18="","Unknown",IF(D18&lt;20,"Teen",IF(D18&lt;40,"Adult","Senior")))</f>
        <v>Adult</v>
      </c>
      <c r="D18" s="3">
        <v>30</v>
      </c>
      <c r="E18" s="3" t="s">
        <v>250</v>
      </c>
      <c r="F18" s="4" t="s">
        <v>40</v>
      </c>
      <c r="G18" s="4" t="s">
        <v>12</v>
      </c>
      <c r="H18" t="s">
        <v>13</v>
      </c>
      <c r="I18" s="3">
        <v>1</v>
      </c>
      <c r="J18" s="5">
        <v>1000</v>
      </c>
      <c r="K18" s="7">
        <v>1000</v>
      </c>
      <c r="L18" s="6">
        <v>45304</v>
      </c>
      <c r="M18" s="8" t="str">
        <f>IF(K18&gt;10000,"High",IF(K18&gt;5000,"Medium","Low"))</f>
        <v>Low</v>
      </c>
      <c r="N18" s="4" t="s">
        <v>240</v>
      </c>
      <c r="O18" s="3">
        <v>1</v>
      </c>
      <c r="P18" s="3">
        <v>2024</v>
      </c>
      <c r="T18" s="4"/>
      <c r="X18"/>
      <c r="Y18" s="3"/>
      <c r="AA18"/>
    </row>
    <row r="19" spans="1:27" x14ac:dyDescent="0.3">
      <c r="A19" s="3">
        <v>1033</v>
      </c>
      <c r="B19" s="4" t="s">
        <v>57</v>
      </c>
      <c r="C19" s="4" t="str">
        <f>IF(D19="","Unknown",IF(D19&lt;20,"Teen",IF(D19&lt;40,"Adult","Senior")))</f>
        <v>Adult</v>
      </c>
      <c r="D19" s="3">
        <v>30</v>
      </c>
      <c r="E19" s="3" t="s">
        <v>250</v>
      </c>
      <c r="F19" s="4" t="s">
        <v>17</v>
      </c>
      <c r="G19" s="4" t="s">
        <v>23</v>
      </c>
      <c r="H19" t="s">
        <v>30</v>
      </c>
      <c r="I19" s="3">
        <v>1</v>
      </c>
      <c r="J19" s="5">
        <v>1000</v>
      </c>
      <c r="K19" s="7">
        <v>1000</v>
      </c>
      <c r="L19" s="6">
        <v>45296</v>
      </c>
      <c r="M19" s="8" t="str">
        <f>IF(K19&gt;10000,"High",IF(K19&gt;5000,"Medium","Low"))</f>
        <v>Low</v>
      </c>
      <c r="N19" s="4" t="s">
        <v>243</v>
      </c>
      <c r="O19" s="3">
        <v>1</v>
      </c>
      <c r="P19" s="3">
        <v>2024</v>
      </c>
      <c r="T19" s="4"/>
      <c r="X19"/>
      <c r="Y19" s="3"/>
      <c r="AA19"/>
    </row>
    <row r="20" spans="1:27" x14ac:dyDescent="0.3">
      <c r="A20" s="3">
        <v>1037</v>
      </c>
      <c r="B20" s="4" t="s">
        <v>62</v>
      </c>
      <c r="C20" s="4" t="str">
        <f>IF(D20="","Unknown",IF(D20&lt;20,"Teen",IF(D20&lt;40,"Adult","Senior")))</f>
        <v>Adult</v>
      </c>
      <c r="D20" s="3">
        <v>37</v>
      </c>
      <c r="E20" s="3" t="s">
        <v>249</v>
      </c>
      <c r="F20" s="4" t="s">
        <v>40</v>
      </c>
      <c r="G20" s="4" t="s">
        <v>55</v>
      </c>
      <c r="H20" t="s">
        <v>36</v>
      </c>
      <c r="I20" s="3">
        <v>2</v>
      </c>
      <c r="J20" s="5">
        <v>1000</v>
      </c>
      <c r="K20" s="7">
        <v>2000</v>
      </c>
      <c r="L20" s="6">
        <v>45302</v>
      </c>
      <c r="M20" s="8" t="str">
        <f>IF(K20&gt;10000,"High",IF(K20&gt;5000,"Medium","Low"))</f>
        <v>Low</v>
      </c>
      <c r="N20" s="4" t="s">
        <v>243</v>
      </c>
      <c r="O20" s="3">
        <v>1</v>
      </c>
      <c r="P20" s="3">
        <v>2024</v>
      </c>
      <c r="T20" s="4"/>
      <c r="X20"/>
      <c r="Y20" s="3"/>
      <c r="AA20"/>
    </row>
    <row r="21" spans="1:27" x14ac:dyDescent="0.3">
      <c r="A21" s="3">
        <v>1038</v>
      </c>
      <c r="B21" s="4" t="s">
        <v>62</v>
      </c>
      <c r="C21" s="4" t="str">
        <f>IF(D21="","Unknown",IF(D21&lt;20,"Teen",IF(D21&lt;40,"Adult","Senior")))</f>
        <v>Senior</v>
      </c>
      <c r="D21" s="3">
        <v>40</v>
      </c>
      <c r="E21" s="3" t="s">
        <v>249</v>
      </c>
      <c r="F21" s="4" t="s">
        <v>17</v>
      </c>
      <c r="G21" s="4" t="s">
        <v>12</v>
      </c>
      <c r="H21" t="s">
        <v>13</v>
      </c>
      <c r="I21" s="3">
        <v>2</v>
      </c>
      <c r="J21" s="5">
        <v>35763</v>
      </c>
      <c r="K21" s="7">
        <v>71526</v>
      </c>
      <c r="L21" s="6">
        <v>45309</v>
      </c>
      <c r="M21" s="8" t="str">
        <f>IF(K21&gt;10000,"High",IF(K21&gt;5000,"Medium","Low"))</f>
        <v>High</v>
      </c>
      <c r="N21" s="4" t="s">
        <v>243</v>
      </c>
      <c r="O21" s="3">
        <v>1</v>
      </c>
      <c r="P21" s="3">
        <v>2024</v>
      </c>
      <c r="T21" s="4"/>
      <c r="X21"/>
      <c r="Y21" s="3"/>
      <c r="AA21"/>
    </row>
    <row r="22" spans="1:27" x14ac:dyDescent="0.3">
      <c r="A22" s="3">
        <v>1039</v>
      </c>
      <c r="B22" s="4" t="s">
        <v>78</v>
      </c>
      <c r="C22" s="4" t="str">
        <f>IF(D22="","Unknown",IF(D22&lt;20,"Teen",IF(D22&lt;40,"Adult","Senior")))</f>
        <v>Senior</v>
      </c>
      <c r="D22" s="3">
        <v>47</v>
      </c>
      <c r="E22" s="3" t="s">
        <v>249</v>
      </c>
      <c r="F22" s="4" t="s">
        <v>17</v>
      </c>
      <c r="G22" s="4" t="s">
        <v>51</v>
      </c>
      <c r="H22" t="s">
        <v>13</v>
      </c>
      <c r="I22" s="3">
        <v>5</v>
      </c>
      <c r="J22" s="5">
        <v>1000</v>
      </c>
      <c r="K22" s="7">
        <v>5000</v>
      </c>
      <c r="L22" s="6">
        <v>45314</v>
      </c>
      <c r="M22" s="8" t="str">
        <f>IF(K22&gt;10000,"High",IF(K22&gt;5000,"Medium","Low"))</f>
        <v>Low</v>
      </c>
      <c r="N22" s="4" t="s">
        <v>241</v>
      </c>
      <c r="O22" s="3">
        <v>1</v>
      </c>
      <c r="P22" s="3">
        <v>2024</v>
      </c>
      <c r="T22" s="4"/>
      <c r="X22"/>
      <c r="Y22" s="3"/>
      <c r="AA22"/>
    </row>
    <row r="23" spans="1:27" x14ac:dyDescent="0.3">
      <c r="A23" s="3">
        <v>1040</v>
      </c>
      <c r="B23" s="4" t="s">
        <v>16</v>
      </c>
      <c r="C23" s="4" t="str">
        <f>IF(D23="","Unknown",IF(D23&lt;20,"Teen",IF(D23&lt;40,"Adult","Senior")))</f>
        <v>Adult</v>
      </c>
      <c r="D23" s="3">
        <v>30</v>
      </c>
      <c r="E23" s="3" t="s">
        <v>250</v>
      </c>
      <c r="F23" s="4" t="s">
        <v>40</v>
      </c>
      <c r="G23" s="4" t="s">
        <v>23</v>
      </c>
      <c r="H23" t="s">
        <v>30</v>
      </c>
      <c r="I23" s="3">
        <v>2</v>
      </c>
      <c r="J23" s="5">
        <v>1000</v>
      </c>
      <c r="K23" s="7">
        <v>2000</v>
      </c>
      <c r="L23" s="6">
        <v>45317</v>
      </c>
      <c r="M23" s="8" t="str">
        <f>IF(K23&gt;10000,"High",IF(K23&gt;5000,"Medium","Low"))</f>
        <v>Low</v>
      </c>
      <c r="N23" s="4" t="s">
        <v>243</v>
      </c>
      <c r="O23" s="3">
        <v>1</v>
      </c>
      <c r="P23" s="3">
        <v>2024</v>
      </c>
      <c r="T23" s="4"/>
      <c r="X23"/>
      <c r="Y23" s="3"/>
      <c r="AA23"/>
    </row>
    <row r="24" spans="1:27" x14ac:dyDescent="0.3">
      <c r="A24" s="3">
        <v>1041</v>
      </c>
      <c r="B24" s="4" t="s">
        <v>68</v>
      </c>
      <c r="C24" s="4" t="str">
        <f>IF(D24="","Unknown",IF(D24&lt;20,"Teen",IF(D24&lt;40,"Adult","Senior")))</f>
        <v>Adult</v>
      </c>
      <c r="D24" s="3">
        <v>28</v>
      </c>
      <c r="E24" s="3" t="s">
        <v>250</v>
      </c>
      <c r="F24" s="4" t="s">
        <v>17</v>
      </c>
      <c r="G24" s="4" t="s">
        <v>41</v>
      </c>
      <c r="H24" t="s">
        <v>36</v>
      </c>
      <c r="I24" s="3">
        <v>4</v>
      </c>
      <c r="J24" s="5">
        <v>1000</v>
      </c>
      <c r="K24" s="7">
        <v>4000</v>
      </c>
      <c r="L24" s="6">
        <v>45293</v>
      </c>
      <c r="M24" s="8" t="str">
        <f>IF(K24&gt;10000,"High",IF(K24&gt;5000,"Medium","Low"))</f>
        <v>Low</v>
      </c>
      <c r="N24" s="4" t="s">
        <v>244</v>
      </c>
      <c r="O24" s="3">
        <v>1</v>
      </c>
      <c r="P24" s="3">
        <v>2024</v>
      </c>
      <c r="T24" s="4"/>
      <c r="X24"/>
      <c r="Y24" s="3"/>
      <c r="AA24"/>
    </row>
    <row r="25" spans="1:27" x14ac:dyDescent="0.3">
      <c r="A25" s="3">
        <v>1045</v>
      </c>
      <c r="B25" s="4" t="s">
        <v>16</v>
      </c>
      <c r="C25" s="4" t="str">
        <f>IF(D25="","Unknown",IF(D25&lt;20,"Teen",IF(D25&lt;40,"Adult","Senior")))</f>
        <v>Senior</v>
      </c>
      <c r="D25" s="3">
        <v>46</v>
      </c>
      <c r="E25" s="3" t="s">
        <v>249</v>
      </c>
      <c r="F25" s="4" t="s">
        <v>40</v>
      </c>
      <c r="G25" s="4" t="s">
        <v>51</v>
      </c>
      <c r="H25" t="s">
        <v>13</v>
      </c>
      <c r="I25" s="3">
        <v>3</v>
      </c>
      <c r="J25" s="5">
        <v>1000</v>
      </c>
      <c r="K25" s="7">
        <v>3000</v>
      </c>
      <c r="L25" s="6">
        <v>45309</v>
      </c>
      <c r="M25" s="8" t="str">
        <f>IF(K25&gt;10000,"High",IF(K25&gt;5000,"Medium","Low"))</f>
        <v>Low</v>
      </c>
      <c r="N25" s="4" t="s">
        <v>244</v>
      </c>
      <c r="O25" s="3">
        <v>1</v>
      </c>
      <c r="P25" s="3">
        <v>2024</v>
      </c>
      <c r="T25" s="4"/>
      <c r="X25"/>
      <c r="Y25" s="3"/>
      <c r="AA25"/>
    </row>
    <row r="26" spans="1:27" x14ac:dyDescent="0.3">
      <c r="A26" s="3">
        <v>1046</v>
      </c>
      <c r="B26" s="4" t="s">
        <v>57</v>
      </c>
      <c r="C26" s="4" t="str">
        <f>IF(D26="","Unknown",IF(D26&lt;20,"Teen",IF(D26&lt;40,"Adult","Senior")))</f>
        <v>Adult</v>
      </c>
      <c r="D26" s="3">
        <v>30</v>
      </c>
      <c r="E26" s="3" t="s">
        <v>250</v>
      </c>
      <c r="F26" s="4" t="s">
        <v>17</v>
      </c>
      <c r="G26" s="4" t="s">
        <v>51</v>
      </c>
      <c r="H26" t="s">
        <v>13</v>
      </c>
      <c r="I26" s="3">
        <v>2</v>
      </c>
      <c r="J26" s="5">
        <v>1000</v>
      </c>
      <c r="K26" s="7">
        <v>2000</v>
      </c>
      <c r="L26" s="6">
        <v>45298</v>
      </c>
      <c r="M26" s="8" t="str">
        <f>IF(K26&gt;10000,"High",IF(K26&gt;5000,"Medium","Low"))</f>
        <v>Low</v>
      </c>
      <c r="N26" s="4" t="s">
        <v>243</v>
      </c>
      <c r="O26" s="3">
        <v>1</v>
      </c>
      <c r="P26" s="3">
        <v>2024</v>
      </c>
      <c r="T26" s="4"/>
      <c r="X26"/>
      <c r="Y26" s="3"/>
      <c r="AA26"/>
    </row>
    <row r="27" spans="1:27" x14ac:dyDescent="0.3">
      <c r="A27" s="3">
        <v>1047</v>
      </c>
      <c r="B27" s="4" t="s">
        <v>78</v>
      </c>
      <c r="C27" s="4" t="str">
        <f>IF(D27="","Unknown",IF(D27&lt;20,"Teen",IF(D27&lt;40,"Adult","Senior")))</f>
        <v>Adult</v>
      </c>
      <c r="D27" s="3">
        <v>30</v>
      </c>
      <c r="E27" s="3" t="s">
        <v>250</v>
      </c>
      <c r="F27" s="4" t="s">
        <v>17</v>
      </c>
      <c r="G27" s="4" t="s">
        <v>51</v>
      </c>
      <c r="H27" t="s">
        <v>13</v>
      </c>
      <c r="I27" s="3">
        <v>2</v>
      </c>
      <c r="J27" s="5">
        <v>1000</v>
      </c>
      <c r="K27" s="7">
        <v>2000</v>
      </c>
      <c r="L27" s="6">
        <v>45298</v>
      </c>
      <c r="M27" s="8" t="str">
        <f>IF(K27&gt;10000,"High",IF(K27&gt;5000,"Medium","Low"))</f>
        <v>Low</v>
      </c>
      <c r="N27" s="4" t="s">
        <v>241</v>
      </c>
      <c r="O27" s="3">
        <v>1</v>
      </c>
      <c r="P27" s="3">
        <v>2024</v>
      </c>
      <c r="T27" s="4"/>
      <c r="X27"/>
      <c r="Y27" s="3"/>
      <c r="AA27"/>
    </row>
    <row r="28" spans="1:27" x14ac:dyDescent="0.3">
      <c r="A28" s="3">
        <v>1048</v>
      </c>
      <c r="B28" s="4" t="s">
        <v>48</v>
      </c>
      <c r="C28" s="4" t="str">
        <f>IF(D28="","Unknown",IF(D28&lt;20,"Teen",IF(D28&lt;40,"Adult","Senior")))</f>
        <v>Adult</v>
      </c>
      <c r="D28" s="3">
        <v>25</v>
      </c>
      <c r="E28" s="3" t="s">
        <v>250</v>
      </c>
      <c r="F28" s="4" t="s">
        <v>17</v>
      </c>
      <c r="G28" s="4" t="s">
        <v>44</v>
      </c>
      <c r="H28" t="s">
        <v>36</v>
      </c>
      <c r="I28" s="3">
        <v>2</v>
      </c>
      <c r="J28" s="5">
        <v>18392</v>
      </c>
      <c r="K28" s="7">
        <v>36784</v>
      </c>
      <c r="L28" s="6">
        <v>45302</v>
      </c>
      <c r="M28" s="8" t="str">
        <f>IF(K28&gt;10000,"High",IF(K28&gt;5000,"Medium","Low"))</f>
        <v>High</v>
      </c>
      <c r="N28" s="4" t="s">
        <v>240</v>
      </c>
      <c r="O28" s="3">
        <v>1</v>
      </c>
      <c r="P28" s="3">
        <v>2024</v>
      </c>
      <c r="T28" s="4"/>
      <c r="X28"/>
      <c r="Y28" s="3"/>
      <c r="AA28"/>
    </row>
    <row r="29" spans="1:27" x14ac:dyDescent="0.3">
      <c r="A29" s="3">
        <v>1049</v>
      </c>
      <c r="B29" s="4" t="s">
        <v>62</v>
      </c>
      <c r="C29" s="4" t="str">
        <f>IF(D29="","Unknown",IF(D29&lt;20,"Teen",IF(D29&lt;40,"Adult","Senior")))</f>
        <v>Adult</v>
      </c>
      <c r="D29" s="3">
        <v>30</v>
      </c>
      <c r="E29" s="3" t="s">
        <v>250</v>
      </c>
      <c r="F29" s="4" t="s">
        <v>17</v>
      </c>
      <c r="G29" s="4" t="s">
        <v>18</v>
      </c>
      <c r="H29" t="s">
        <v>30</v>
      </c>
      <c r="I29" s="3">
        <v>2</v>
      </c>
      <c r="J29" s="5">
        <v>1000</v>
      </c>
      <c r="K29" s="7">
        <v>2000</v>
      </c>
      <c r="L29" s="6">
        <v>45299</v>
      </c>
      <c r="M29" s="8" t="str">
        <f>IF(K29&gt;10000,"High",IF(K29&gt;5000,"Medium","Low"))</f>
        <v>Low</v>
      </c>
      <c r="N29" s="4" t="s">
        <v>241</v>
      </c>
      <c r="O29" s="3">
        <v>1</v>
      </c>
      <c r="P29" s="3">
        <v>2024</v>
      </c>
      <c r="T29" s="4"/>
      <c r="X29"/>
      <c r="Y29" s="3"/>
      <c r="AA29"/>
    </row>
    <row r="30" spans="1:27" x14ac:dyDescent="0.3">
      <c r="A30" s="3">
        <v>1050</v>
      </c>
      <c r="B30" s="4" t="s">
        <v>38</v>
      </c>
      <c r="C30" s="4" t="str">
        <f>IF(D30="","Unknown",IF(D30&lt;20,"Teen",IF(D30&lt;40,"Adult","Senior")))</f>
        <v>Adult</v>
      </c>
      <c r="D30" s="3">
        <v>30</v>
      </c>
      <c r="E30" s="3" t="s">
        <v>250</v>
      </c>
      <c r="F30" s="4" t="s">
        <v>40</v>
      </c>
      <c r="G30" s="4" t="s">
        <v>12</v>
      </c>
      <c r="H30" t="s">
        <v>13</v>
      </c>
      <c r="I30" s="3">
        <v>2</v>
      </c>
      <c r="J30" s="5">
        <v>1000</v>
      </c>
      <c r="K30" s="7">
        <v>2000</v>
      </c>
      <c r="L30" s="6">
        <v>45301</v>
      </c>
      <c r="M30" s="8" t="str">
        <f>IF(K30&gt;10000,"High",IF(K30&gt;5000,"Medium","Low"))</f>
        <v>Low</v>
      </c>
      <c r="N30" s="4" t="s">
        <v>242</v>
      </c>
      <c r="O30" s="3">
        <v>1</v>
      </c>
      <c r="P30" s="3">
        <v>2024</v>
      </c>
      <c r="T30" s="4"/>
      <c r="X30"/>
      <c r="Y30" s="3"/>
      <c r="AA30"/>
    </row>
    <row r="31" spans="1:27" x14ac:dyDescent="0.3">
      <c r="A31" s="3">
        <v>1052</v>
      </c>
      <c r="B31" s="4" t="s">
        <v>48</v>
      </c>
      <c r="C31" s="4" t="str">
        <f>IF(D31="","Unknown",IF(D31&lt;20,"Teen",IF(D31&lt;40,"Adult","Senior")))</f>
        <v>Senior</v>
      </c>
      <c r="D31" s="3">
        <v>47</v>
      </c>
      <c r="E31" s="3" t="s">
        <v>249</v>
      </c>
      <c r="F31" s="4" t="s">
        <v>17</v>
      </c>
      <c r="G31" s="4" t="s">
        <v>41</v>
      </c>
      <c r="H31" t="s">
        <v>36</v>
      </c>
      <c r="I31" s="3">
        <v>2</v>
      </c>
      <c r="J31" s="5">
        <v>1000</v>
      </c>
      <c r="K31" s="7">
        <v>2000</v>
      </c>
      <c r="L31" s="6">
        <v>45300</v>
      </c>
      <c r="M31" s="8" t="str">
        <f>IF(K31&gt;10000,"High",IF(K31&gt;5000,"Medium","Low"))</f>
        <v>Low</v>
      </c>
      <c r="N31" s="4" t="s">
        <v>240</v>
      </c>
      <c r="O31" s="3">
        <v>1</v>
      </c>
      <c r="P31" s="3">
        <v>2024</v>
      </c>
      <c r="T31" s="4"/>
      <c r="X31"/>
      <c r="Y31" s="3"/>
      <c r="AA31"/>
    </row>
    <row r="32" spans="1:27" x14ac:dyDescent="0.3">
      <c r="A32" s="3">
        <v>1055</v>
      </c>
      <c r="B32" s="4" t="s">
        <v>25</v>
      </c>
      <c r="C32" s="4" t="str">
        <f>IF(D32="","Unknown",IF(D32&lt;20,"Teen",IF(D32&lt;40,"Adult","Senior")))</f>
        <v>Adult</v>
      </c>
      <c r="D32" s="3">
        <v>30</v>
      </c>
      <c r="E32" s="3" t="s">
        <v>250</v>
      </c>
      <c r="F32" s="4" t="s">
        <v>17</v>
      </c>
      <c r="G32" s="4" t="s">
        <v>55</v>
      </c>
      <c r="H32" t="s">
        <v>36</v>
      </c>
      <c r="I32" s="3">
        <v>1</v>
      </c>
      <c r="J32" s="5">
        <v>1000</v>
      </c>
      <c r="K32" s="7">
        <v>1000</v>
      </c>
      <c r="L32" s="6">
        <v>45297</v>
      </c>
      <c r="M32" s="8" t="str">
        <f>IF(K32&gt;10000,"High",IF(K32&gt;5000,"Medium","Low"))</f>
        <v>Low</v>
      </c>
      <c r="N32" s="4" t="s">
        <v>242</v>
      </c>
      <c r="O32" s="3">
        <v>1</v>
      </c>
      <c r="P32" s="3">
        <v>2024</v>
      </c>
      <c r="T32" s="4"/>
      <c r="X32"/>
      <c r="Y32" s="3"/>
      <c r="AA32"/>
    </row>
    <row r="33" spans="1:27" x14ac:dyDescent="0.3">
      <c r="A33" s="3">
        <v>1058</v>
      </c>
      <c r="B33" s="4" t="s">
        <v>46</v>
      </c>
      <c r="C33" s="4" t="str">
        <f>IF(D33="","Unknown",IF(D33&lt;20,"Teen",IF(D33&lt;40,"Adult","Senior")))</f>
        <v>Adult</v>
      </c>
      <c r="D33" s="3">
        <v>32</v>
      </c>
      <c r="E33" s="3" t="s">
        <v>249</v>
      </c>
      <c r="F33" s="4" t="s">
        <v>40</v>
      </c>
      <c r="G33" s="4" t="s">
        <v>55</v>
      </c>
      <c r="H33" t="s">
        <v>36</v>
      </c>
      <c r="I33" s="3">
        <v>1</v>
      </c>
      <c r="J33" s="5">
        <v>41173</v>
      </c>
      <c r="K33" s="7">
        <v>41173</v>
      </c>
      <c r="L33" s="6">
        <v>45315</v>
      </c>
      <c r="M33" s="8" t="str">
        <f>IF(K33&gt;10000,"High",IF(K33&gt;5000,"Medium","Low"))</f>
        <v>High</v>
      </c>
      <c r="N33" s="4" t="s">
        <v>243</v>
      </c>
      <c r="O33" s="3">
        <v>1</v>
      </c>
      <c r="P33" s="3">
        <v>2024</v>
      </c>
      <c r="T33" s="4"/>
      <c r="X33"/>
      <c r="Y33" s="3"/>
      <c r="AA33"/>
    </row>
    <row r="34" spans="1:27" x14ac:dyDescent="0.3">
      <c r="A34" s="3">
        <v>1059</v>
      </c>
      <c r="B34" s="4" t="s">
        <v>35</v>
      </c>
      <c r="C34" s="4" t="str">
        <f>IF(D34="","Unknown",IF(D34&lt;20,"Teen",IF(D34&lt;40,"Adult","Senior")))</f>
        <v>Adult</v>
      </c>
      <c r="D34" s="3">
        <v>20</v>
      </c>
      <c r="E34" s="3" t="s">
        <v>251</v>
      </c>
      <c r="F34" s="4" t="s">
        <v>40</v>
      </c>
      <c r="G34" s="4" t="s">
        <v>12</v>
      </c>
      <c r="H34" t="s">
        <v>13</v>
      </c>
      <c r="I34" s="3">
        <v>5</v>
      </c>
      <c r="J34" s="5">
        <v>662</v>
      </c>
      <c r="K34" s="7">
        <v>3310</v>
      </c>
      <c r="L34" s="6">
        <v>45310</v>
      </c>
      <c r="M34" s="8" t="str">
        <f>IF(K34&gt;10000,"High",IF(K34&gt;5000,"Medium","Low"))</f>
        <v>Low</v>
      </c>
      <c r="N34" s="4" t="s">
        <v>241</v>
      </c>
      <c r="O34" s="3">
        <v>1</v>
      </c>
      <c r="P34" s="3">
        <v>2024</v>
      </c>
      <c r="T34" s="4"/>
      <c r="X34"/>
      <c r="Y34" s="3"/>
      <c r="AA34"/>
    </row>
    <row r="35" spans="1:27" x14ac:dyDescent="0.3">
      <c r="A35" s="3">
        <v>1060</v>
      </c>
      <c r="B35" s="4" t="s">
        <v>59</v>
      </c>
      <c r="C35" s="4" t="str">
        <f>IF(D35="","Unknown",IF(D35&lt;20,"Teen",IF(D35&lt;40,"Adult","Senior")))</f>
        <v>Adult</v>
      </c>
      <c r="D35" s="3">
        <v>30</v>
      </c>
      <c r="E35" s="3" t="s">
        <v>250</v>
      </c>
      <c r="F35" s="4" t="s">
        <v>40</v>
      </c>
      <c r="G35" s="4" t="s">
        <v>51</v>
      </c>
      <c r="H35" t="s">
        <v>13</v>
      </c>
      <c r="I35" s="3">
        <v>3</v>
      </c>
      <c r="J35" s="5">
        <v>1000</v>
      </c>
      <c r="K35" s="7">
        <v>3000</v>
      </c>
      <c r="L35" s="6">
        <v>45302</v>
      </c>
      <c r="M35" s="8" t="str">
        <f>IF(K35&gt;10000,"High",IF(K35&gt;5000,"Medium","Low"))</f>
        <v>Low</v>
      </c>
      <c r="N35" s="4" t="s">
        <v>240</v>
      </c>
      <c r="O35" s="3">
        <v>1</v>
      </c>
      <c r="P35" s="3">
        <v>2024</v>
      </c>
      <c r="T35" s="4"/>
      <c r="X35"/>
      <c r="Y35" s="3"/>
      <c r="AA35"/>
    </row>
    <row r="36" spans="1:27" x14ac:dyDescent="0.3">
      <c r="A36" s="3">
        <v>1061</v>
      </c>
      <c r="B36" s="4" t="s">
        <v>64</v>
      </c>
      <c r="C36" s="4" t="str">
        <f>IF(D36="","Unknown",IF(D36&lt;20,"Teen",IF(D36&lt;40,"Adult","Senior")))</f>
        <v>Adult</v>
      </c>
      <c r="D36" s="3">
        <v>30</v>
      </c>
      <c r="E36" s="3" t="s">
        <v>250</v>
      </c>
      <c r="F36" s="4" t="s">
        <v>40</v>
      </c>
      <c r="G36" s="4" t="s">
        <v>41</v>
      </c>
      <c r="H36" t="s">
        <v>36</v>
      </c>
      <c r="I36" s="3">
        <v>2</v>
      </c>
      <c r="J36" s="5">
        <v>1000</v>
      </c>
      <c r="K36" s="7">
        <v>2000</v>
      </c>
      <c r="L36" s="6">
        <v>45306</v>
      </c>
      <c r="M36" s="8" t="str">
        <f>IF(K36&gt;10000,"High",IF(K36&gt;5000,"Medium","Low"))</f>
        <v>Low</v>
      </c>
      <c r="N36" s="4" t="s">
        <v>243</v>
      </c>
      <c r="O36" s="3">
        <v>1</v>
      </c>
      <c r="P36" s="3">
        <v>2024</v>
      </c>
      <c r="T36" s="4"/>
      <c r="X36"/>
      <c r="Y36" s="3"/>
      <c r="AA36"/>
    </row>
    <row r="37" spans="1:27" x14ac:dyDescent="0.3">
      <c r="A37" s="3">
        <v>1062</v>
      </c>
      <c r="B37" s="4" t="s">
        <v>21</v>
      </c>
      <c r="C37" s="4" t="str">
        <f>IF(D37="","Unknown",IF(D37&lt;20,"Teen",IF(D37&lt;40,"Adult","Senior")))</f>
        <v>Adult</v>
      </c>
      <c r="D37" s="3">
        <v>36</v>
      </c>
      <c r="E37" s="3" t="s">
        <v>249</v>
      </c>
      <c r="F37" s="4" t="s">
        <v>40</v>
      </c>
      <c r="G37" s="4" t="s">
        <v>23</v>
      </c>
      <c r="H37" t="s">
        <v>30</v>
      </c>
      <c r="I37" s="3">
        <v>2</v>
      </c>
      <c r="J37" s="5">
        <v>1000</v>
      </c>
      <c r="K37" s="7">
        <v>2000</v>
      </c>
      <c r="L37" s="6">
        <v>45294</v>
      </c>
      <c r="M37" s="8" t="str">
        <f>IF(K37&gt;10000,"High",IF(K37&gt;5000,"Medium","Low"))</f>
        <v>Low</v>
      </c>
      <c r="N37" s="4" t="s">
        <v>241</v>
      </c>
      <c r="O37" s="3">
        <v>1</v>
      </c>
      <c r="P37" s="3">
        <v>2024</v>
      </c>
      <c r="T37" s="4"/>
      <c r="X37"/>
      <c r="Y37" s="3"/>
      <c r="AA37"/>
    </row>
    <row r="38" spans="1:27" x14ac:dyDescent="0.3">
      <c r="A38" s="3">
        <v>1063</v>
      </c>
      <c r="B38" s="4" t="s">
        <v>68</v>
      </c>
      <c r="C38" s="4" t="str">
        <f>IF(D38="","Unknown",IF(D38&lt;20,"Teen",IF(D38&lt;40,"Adult","Senior")))</f>
        <v>Senior</v>
      </c>
      <c r="D38" s="3">
        <v>45</v>
      </c>
      <c r="E38" s="3" t="s">
        <v>249</v>
      </c>
      <c r="F38" s="4" t="s">
        <v>40</v>
      </c>
      <c r="G38" s="4" t="s">
        <v>27</v>
      </c>
      <c r="H38" t="s">
        <v>13</v>
      </c>
      <c r="I38" s="3">
        <v>2</v>
      </c>
      <c r="J38" s="5">
        <v>23027</v>
      </c>
      <c r="K38" s="7">
        <v>46054</v>
      </c>
      <c r="L38" s="6">
        <v>45295</v>
      </c>
      <c r="M38" s="8" t="str">
        <f>IF(K38&gt;10000,"High",IF(K38&gt;5000,"Medium","Low"))</f>
        <v>High</v>
      </c>
      <c r="N38" s="4" t="s">
        <v>242</v>
      </c>
      <c r="O38" s="3">
        <v>1</v>
      </c>
      <c r="P38" s="3">
        <v>2024</v>
      </c>
      <c r="T38" s="4"/>
      <c r="X38"/>
      <c r="Y38" s="3"/>
      <c r="AA38"/>
    </row>
    <row r="39" spans="1:27" x14ac:dyDescent="0.3">
      <c r="A39" s="3">
        <v>1066</v>
      </c>
      <c r="B39" s="4" t="s">
        <v>16</v>
      </c>
      <c r="C39" s="4" t="str">
        <f>IF(D39="","Unknown",IF(D39&lt;20,"Teen",IF(D39&lt;40,"Adult","Senior")))</f>
        <v>Adult</v>
      </c>
      <c r="D39" s="3">
        <v>30</v>
      </c>
      <c r="E39" s="3" t="s">
        <v>250</v>
      </c>
      <c r="F39" s="4" t="s">
        <v>40</v>
      </c>
      <c r="G39" s="4" t="s">
        <v>51</v>
      </c>
      <c r="H39" t="s">
        <v>13</v>
      </c>
      <c r="I39" s="3">
        <v>4</v>
      </c>
      <c r="J39" s="5">
        <v>1000</v>
      </c>
      <c r="K39" s="7">
        <v>4000</v>
      </c>
      <c r="L39" s="6">
        <v>45306</v>
      </c>
      <c r="M39" s="8" t="str">
        <f>IF(K39&gt;10000,"High",IF(K39&gt;5000,"Medium","Low"))</f>
        <v>Low</v>
      </c>
      <c r="N39" s="4" t="s">
        <v>242</v>
      </c>
      <c r="O39" s="3">
        <v>1</v>
      </c>
      <c r="P39" s="3">
        <v>2024</v>
      </c>
      <c r="T39" s="4"/>
      <c r="X39"/>
      <c r="Y39" s="3"/>
      <c r="AA39"/>
    </row>
    <row r="40" spans="1:27" x14ac:dyDescent="0.3">
      <c r="A40" s="3">
        <v>1067</v>
      </c>
      <c r="B40" s="4" t="s">
        <v>10</v>
      </c>
      <c r="C40" s="4" t="str">
        <f>IF(D40="","Unknown",IF(D40&lt;20,"Teen",IF(D40&lt;40,"Adult","Senior")))</f>
        <v>Senior</v>
      </c>
      <c r="D40" s="3">
        <v>40</v>
      </c>
      <c r="E40" s="3" t="s">
        <v>249</v>
      </c>
      <c r="F40" s="4" t="s">
        <v>40</v>
      </c>
      <c r="G40" s="4" t="s">
        <v>27</v>
      </c>
      <c r="H40" t="s">
        <v>13</v>
      </c>
      <c r="I40" s="3">
        <v>2</v>
      </c>
      <c r="J40" s="5">
        <v>1000</v>
      </c>
      <c r="K40" s="7">
        <v>2000</v>
      </c>
      <c r="L40" s="6">
        <v>45306</v>
      </c>
      <c r="M40" s="8" t="str">
        <f>IF(K40&gt;10000,"High",IF(K40&gt;5000,"Medium","Low"))</f>
        <v>Low</v>
      </c>
      <c r="N40" s="4" t="s">
        <v>240</v>
      </c>
      <c r="O40" s="3">
        <v>1</v>
      </c>
      <c r="P40" s="3">
        <v>2024</v>
      </c>
      <c r="T40" s="4"/>
      <c r="X40"/>
      <c r="Y40" s="3"/>
      <c r="AA40"/>
    </row>
    <row r="41" spans="1:27" x14ac:dyDescent="0.3">
      <c r="A41" s="3">
        <v>1069</v>
      </c>
      <c r="B41" s="4" t="s">
        <v>32</v>
      </c>
      <c r="C41" s="4" t="str">
        <f>IF(D41="","Unknown",IF(D41&lt;20,"Teen",IF(D41&lt;40,"Adult","Senior")))</f>
        <v>Adult</v>
      </c>
      <c r="D41" s="3">
        <v>38</v>
      </c>
      <c r="E41" s="3" t="s">
        <v>249</v>
      </c>
      <c r="F41" s="4" t="s">
        <v>40</v>
      </c>
      <c r="G41" s="4" t="s">
        <v>27</v>
      </c>
      <c r="H41" t="s">
        <v>13</v>
      </c>
      <c r="I41" s="3">
        <v>3</v>
      </c>
      <c r="J41" s="5">
        <v>1000</v>
      </c>
      <c r="K41" s="7">
        <v>3000</v>
      </c>
      <c r="L41" s="6">
        <v>45315</v>
      </c>
      <c r="M41" s="8" t="str">
        <f>IF(K41&gt;10000,"High",IF(K41&gt;5000,"Medium","Low"))</f>
        <v>Low</v>
      </c>
      <c r="N41" s="4" t="s">
        <v>242</v>
      </c>
      <c r="O41" s="3">
        <v>1</v>
      </c>
      <c r="P41" s="3">
        <v>2024</v>
      </c>
      <c r="T41" s="4"/>
      <c r="X41"/>
      <c r="Y41" s="3"/>
      <c r="AA41"/>
    </row>
    <row r="42" spans="1:27" x14ac:dyDescent="0.3">
      <c r="A42" s="3">
        <v>1071</v>
      </c>
      <c r="B42" s="4" t="s">
        <v>38</v>
      </c>
      <c r="C42" s="4" t="str">
        <f>IF(D42="","Unknown",IF(D42&lt;20,"Teen",IF(D42&lt;40,"Adult","Senior")))</f>
        <v>Adult</v>
      </c>
      <c r="D42" s="3">
        <v>30</v>
      </c>
      <c r="E42" s="3" t="s">
        <v>250</v>
      </c>
      <c r="F42" s="4" t="s">
        <v>40</v>
      </c>
      <c r="G42" s="4" t="s">
        <v>51</v>
      </c>
      <c r="H42" t="s">
        <v>13</v>
      </c>
      <c r="I42" s="3">
        <v>2</v>
      </c>
      <c r="J42" s="5">
        <v>22529</v>
      </c>
      <c r="K42" s="7">
        <v>45058</v>
      </c>
      <c r="L42" s="6">
        <v>45304</v>
      </c>
      <c r="M42" s="8" t="str">
        <f>IF(K42&gt;10000,"High",IF(K42&gt;5000,"Medium","Low"))</f>
        <v>High</v>
      </c>
      <c r="N42" s="4" t="s">
        <v>244</v>
      </c>
      <c r="O42" s="3">
        <v>1</v>
      </c>
      <c r="P42" s="3">
        <v>2024</v>
      </c>
      <c r="T42" s="4"/>
      <c r="X42"/>
      <c r="Y42" s="3"/>
      <c r="AA42"/>
    </row>
    <row r="43" spans="1:27" x14ac:dyDescent="0.3">
      <c r="A43" s="3">
        <v>1072</v>
      </c>
      <c r="B43" s="4" t="s">
        <v>69</v>
      </c>
      <c r="C43" s="4" t="str">
        <f>IF(D43="","Unknown",IF(D43&lt;20,"Teen",IF(D43&lt;40,"Adult","Senior")))</f>
        <v>Adult</v>
      </c>
      <c r="D43" s="3">
        <v>30</v>
      </c>
      <c r="E43" s="3" t="s">
        <v>250</v>
      </c>
      <c r="F43" s="4" t="s">
        <v>40</v>
      </c>
      <c r="G43" s="4" t="s">
        <v>27</v>
      </c>
      <c r="H43" t="s">
        <v>13</v>
      </c>
      <c r="I43" s="3">
        <v>5</v>
      </c>
      <c r="J43" s="5">
        <v>5188</v>
      </c>
      <c r="K43" s="7">
        <v>25940</v>
      </c>
      <c r="L43" s="6">
        <v>45305</v>
      </c>
      <c r="M43" s="8" t="str">
        <f>IF(K43&gt;10000,"High",IF(K43&gt;5000,"Medium","Low"))</f>
        <v>High</v>
      </c>
      <c r="N43" s="4" t="s">
        <v>241</v>
      </c>
      <c r="O43" s="3">
        <v>1</v>
      </c>
      <c r="P43" s="3">
        <v>2024</v>
      </c>
      <c r="T43" s="4"/>
      <c r="X43"/>
      <c r="Y43" s="3"/>
      <c r="AA43"/>
    </row>
    <row r="44" spans="1:27" x14ac:dyDescent="0.3">
      <c r="A44" s="3">
        <v>1073</v>
      </c>
      <c r="B44" s="4" t="s">
        <v>10</v>
      </c>
      <c r="C44" s="4" t="str">
        <f>IF(D44="","Unknown",IF(D44&lt;20,"Teen",IF(D44&lt;40,"Adult","Senior")))</f>
        <v>Adult</v>
      </c>
      <c r="D44" s="3">
        <v>30</v>
      </c>
      <c r="E44" s="3" t="s">
        <v>250</v>
      </c>
      <c r="F44" s="4" t="s">
        <v>40</v>
      </c>
      <c r="G44" s="4" t="s">
        <v>51</v>
      </c>
      <c r="H44" t="s">
        <v>13</v>
      </c>
      <c r="I44" s="3">
        <v>2</v>
      </c>
      <c r="J44" s="5">
        <v>1000</v>
      </c>
      <c r="K44" s="7">
        <v>2000</v>
      </c>
      <c r="L44" s="6">
        <v>45309</v>
      </c>
      <c r="M44" s="8" t="str">
        <f>IF(K44&gt;10000,"High",IF(K44&gt;5000,"Medium","Low"))</f>
        <v>Low</v>
      </c>
      <c r="N44" s="4" t="s">
        <v>244</v>
      </c>
      <c r="O44" s="3">
        <v>1</v>
      </c>
      <c r="P44" s="3">
        <v>2024</v>
      </c>
      <c r="T44" s="4"/>
      <c r="X44"/>
      <c r="Y44" s="3"/>
      <c r="AA44"/>
    </row>
    <row r="45" spans="1:27" x14ac:dyDescent="0.3">
      <c r="A45" s="3">
        <v>1074</v>
      </c>
      <c r="B45" s="4" t="s">
        <v>54</v>
      </c>
      <c r="C45" s="4" t="str">
        <f>IF(D45="","Unknown",IF(D45&lt;20,"Teen",IF(D45&lt;40,"Adult","Senior")))</f>
        <v>Adult</v>
      </c>
      <c r="D45" s="3">
        <v>30</v>
      </c>
      <c r="E45" s="3" t="s">
        <v>250</v>
      </c>
      <c r="F45" s="4" t="s">
        <v>40</v>
      </c>
      <c r="G45" s="4" t="s">
        <v>27</v>
      </c>
      <c r="H45" t="s">
        <v>13</v>
      </c>
      <c r="I45" s="3">
        <v>4</v>
      </c>
      <c r="J45" s="5">
        <v>1000</v>
      </c>
      <c r="K45" s="7">
        <v>4000</v>
      </c>
      <c r="L45" s="6">
        <v>45302</v>
      </c>
      <c r="M45" s="8" t="str">
        <f>IF(K45&gt;10000,"High",IF(K45&gt;5000,"Medium","Low"))</f>
        <v>Low</v>
      </c>
      <c r="N45" s="4" t="s">
        <v>242</v>
      </c>
      <c r="O45" s="3">
        <v>1</v>
      </c>
      <c r="P45" s="3">
        <v>2024</v>
      </c>
      <c r="T45" s="4"/>
      <c r="X45"/>
      <c r="Y45" s="3"/>
      <c r="AA45"/>
    </row>
    <row r="46" spans="1:27" x14ac:dyDescent="0.3">
      <c r="A46" s="3">
        <v>1075</v>
      </c>
      <c r="B46" s="4" t="s">
        <v>73</v>
      </c>
      <c r="C46" s="4" t="str">
        <f>IF(D46="","Unknown",IF(D46&lt;20,"Teen",IF(D46&lt;40,"Adult","Senior")))</f>
        <v>Adult</v>
      </c>
      <c r="D46" s="3">
        <v>30</v>
      </c>
      <c r="E46" s="3" t="s">
        <v>250</v>
      </c>
      <c r="F46" s="4" t="s">
        <v>40</v>
      </c>
      <c r="G46" s="4" t="s">
        <v>27</v>
      </c>
      <c r="H46" t="s">
        <v>13</v>
      </c>
      <c r="I46" s="3">
        <v>2</v>
      </c>
      <c r="J46" s="5">
        <v>1000</v>
      </c>
      <c r="K46" s="7">
        <v>2000</v>
      </c>
      <c r="L46" s="6">
        <v>45302</v>
      </c>
      <c r="M46" s="8" t="str">
        <f>IF(K46&gt;10000,"High",IF(K46&gt;5000,"Medium","Low"))</f>
        <v>Low</v>
      </c>
      <c r="N46" s="4" t="s">
        <v>244</v>
      </c>
      <c r="O46" s="3">
        <v>1</v>
      </c>
      <c r="P46" s="3">
        <v>2024</v>
      </c>
      <c r="T46" s="4"/>
      <c r="X46"/>
      <c r="Y46" s="3"/>
      <c r="AA46"/>
    </row>
    <row r="47" spans="1:27" x14ac:dyDescent="0.3">
      <c r="A47" s="3">
        <v>1079</v>
      </c>
      <c r="B47" s="4" t="s">
        <v>54</v>
      </c>
      <c r="C47" s="4" t="str">
        <f>IF(D47="","Unknown",IF(D47&lt;20,"Teen",IF(D47&lt;40,"Adult","Senior")))</f>
        <v>Adult</v>
      </c>
      <c r="D47" s="3">
        <v>37</v>
      </c>
      <c r="E47" s="3" t="s">
        <v>249</v>
      </c>
      <c r="F47" s="4" t="s">
        <v>17</v>
      </c>
      <c r="G47" s="4" t="s">
        <v>23</v>
      </c>
      <c r="H47" t="s">
        <v>30</v>
      </c>
      <c r="I47" s="3">
        <v>2</v>
      </c>
      <c r="J47" s="5">
        <v>1000</v>
      </c>
      <c r="K47" s="7">
        <v>2000</v>
      </c>
      <c r="L47" s="6">
        <v>45316</v>
      </c>
      <c r="M47" s="8" t="str">
        <f>IF(K47&gt;10000,"High",IF(K47&gt;5000,"Medium","Low"))</f>
        <v>Low</v>
      </c>
      <c r="N47" s="4" t="s">
        <v>241</v>
      </c>
      <c r="O47" s="3">
        <v>1</v>
      </c>
      <c r="P47" s="3">
        <v>2024</v>
      </c>
      <c r="T47" s="4"/>
      <c r="X47"/>
      <c r="Y47" s="3"/>
      <c r="AA47"/>
    </row>
    <row r="48" spans="1:27" x14ac:dyDescent="0.3">
      <c r="A48" s="3">
        <v>1080</v>
      </c>
      <c r="B48" s="4" t="s">
        <v>48</v>
      </c>
      <c r="C48" s="4" t="str">
        <f>IF(D48="","Unknown",IF(D48&lt;20,"Teen",IF(D48&lt;40,"Adult","Senior")))</f>
        <v>Senior</v>
      </c>
      <c r="D48" s="3">
        <v>42</v>
      </c>
      <c r="E48" s="3" t="s">
        <v>249</v>
      </c>
      <c r="F48" s="4" t="s">
        <v>40</v>
      </c>
      <c r="G48" s="4" t="s">
        <v>51</v>
      </c>
      <c r="H48" t="s">
        <v>13</v>
      </c>
      <c r="I48" s="3">
        <v>4</v>
      </c>
      <c r="J48" s="5">
        <v>12166</v>
      </c>
      <c r="K48" s="7">
        <v>48664</v>
      </c>
      <c r="L48" s="6">
        <v>45317</v>
      </c>
      <c r="M48" s="8" t="str">
        <f>IF(K48&gt;10000,"High",IF(K48&gt;5000,"Medium","Low"))</f>
        <v>High</v>
      </c>
      <c r="N48" s="4" t="s">
        <v>240</v>
      </c>
      <c r="O48" s="3">
        <v>1</v>
      </c>
      <c r="P48" s="3">
        <v>2024</v>
      </c>
      <c r="T48" s="4"/>
      <c r="X48"/>
      <c r="Y48" s="3"/>
      <c r="AA48"/>
    </row>
    <row r="49" spans="1:27" x14ac:dyDescent="0.3">
      <c r="A49" s="3">
        <v>1082</v>
      </c>
      <c r="B49" s="4" t="s">
        <v>16</v>
      </c>
      <c r="C49" s="4" t="str">
        <f>IF(D49="","Unknown",IF(D49&lt;20,"Teen",IF(D49&lt;40,"Adult","Senior")))</f>
        <v>Adult</v>
      </c>
      <c r="D49" s="3">
        <v>30</v>
      </c>
      <c r="E49" s="3" t="s">
        <v>250</v>
      </c>
      <c r="F49" s="4" t="s">
        <v>17</v>
      </c>
      <c r="G49" s="4" t="s">
        <v>18</v>
      </c>
      <c r="H49" t="s">
        <v>30</v>
      </c>
      <c r="I49" s="3">
        <v>2</v>
      </c>
      <c r="J49" s="5">
        <v>1000</v>
      </c>
      <c r="K49" s="7">
        <v>2000</v>
      </c>
      <c r="L49" s="6">
        <v>45320</v>
      </c>
      <c r="M49" s="8" t="str">
        <f>IF(K49&gt;10000,"High",IF(K49&gt;5000,"Medium","Low"))</f>
        <v>Low</v>
      </c>
      <c r="N49" s="4" t="s">
        <v>242</v>
      </c>
      <c r="O49" s="3">
        <v>1</v>
      </c>
      <c r="P49" s="3">
        <v>2024</v>
      </c>
      <c r="T49" s="4"/>
      <c r="X49"/>
      <c r="Y49" s="3"/>
      <c r="AA49"/>
    </row>
    <row r="50" spans="1:27" x14ac:dyDescent="0.3">
      <c r="A50" s="3">
        <v>1083</v>
      </c>
      <c r="B50" s="4" t="s">
        <v>38</v>
      </c>
      <c r="C50" s="4" t="str">
        <f>IF(D50="","Unknown",IF(D50&lt;20,"Teen",IF(D50&lt;40,"Adult","Senior")))</f>
        <v>Adult</v>
      </c>
      <c r="D50" s="3">
        <v>39</v>
      </c>
      <c r="E50" s="3" t="s">
        <v>249</v>
      </c>
      <c r="F50" s="4" t="s">
        <v>17</v>
      </c>
      <c r="G50" s="4" t="s">
        <v>55</v>
      </c>
      <c r="H50" t="s">
        <v>36</v>
      </c>
      <c r="I50" s="3">
        <v>5</v>
      </c>
      <c r="J50" s="5">
        <v>1000</v>
      </c>
      <c r="K50" s="7">
        <v>5000</v>
      </c>
      <c r="L50" s="6">
        <v>45303</v>
      </c>
      <c r="M50" s="8" t="str">
        <f>IF(K50&gt;10000,"High",IF(K50&gt;5000,"Medium","Low"))</f>
        <v>Low</v>
      </c>
      <c r="N50" s="4" t="s">
        <v>243</v>
      </c>
      <c r="O50" s="3">
        <v>1</v>
      </c>
      <c r="P50" s="3">
        <v>2024</v>
      </c>
      <c r="T50" s="4"/>
      <c r="X50"/>
      <c r="Y50" s="3"/>
      <c r="AA50"/>
    </row>
    <row r="51" spans="1:27" x14ac:dyDescent="0.3">
      <c r="A51" s="3">
        <v>1084</v>
      </c>
      <c r="B51" s="4" t="s">
        <v>62</v>
      </c>
      <c r="C51" s="4" t="str">
        <f>IF(D51="","Unknown",IF(D51&lt;20,"Teen",IF(D51&lt;40,"Adult","Senior")))</f>
        <v>Adult</v>
      </c>
      <c r="D51" s="3">
        <v>38</v>
      </c>
      <c r="E51" s="3" t="s">
        <v>249</v>
      </c>
      <c r="F51" s="4" t="s">
        <v>17</v>
      </c>
      <c r="G51" s="4" t="s">
        <v>55</v>
      </c>
      <c r="H51" t="s">
        <v>36</v>
      </c>
      <c r="I51" s="3">
        <v>2</v>
      </c>
      <c r="J51" s="5">
        <v>1000</v>
      </c>
      <c r="K51" s="7">
        <v>2000</v>
      </c>
      <c r="L51" s="6">
        <v>45292</v>
      </c>
      <c r="M51" s="8" t="str">
        <f>IF(K51&gt;10000,"High",IF(K51&gt;5000,"Medium","Low"))</f>
        <v>Low</v>
      </c>
      <c r="N51" s="4" t="s">
        <v>240</v>
      </c>
      <c r="O51" s="3">
        <v>1</v>
      </c>
      <c r="P51" s="3">
        <v>2024</v>
      </c>
      <c r="T51" s="4"/>
      <c r="X51"/>
      <c r="Y51" s="3"/>
      <c r="AA51"/>
    </row>
    <row r="52" spans="1:27" x14ac:dyDescent="0.3">
      <c r="A52" s="3">
        <v>1085</v>
      </c>
      <c r="B52" s="4" t="s">
        <v>64</v>
      </c>
      <c r="C52" s="4" t="str">
        <f>IF(D52="","Unknown",IF(D52&lt;20,"Teen",IF(D52&lt;40,"Adult","Senior")))</f>
        <v>Adult</v>
      </c>
      <c r="D52" s="3">
        <v>29</v>
      </c>
      <c r="E52" s="3" t="s">
        <v>250</v>
      </c>
      <c r="F52" s="4" t="s">
        <v>40</v>
      </c>
      <c r="G52" s="4" t="s">
        <v>51</v>
      </c>
      <c r="H52" t="s">
        <v>13</v>
      </c>
      <c r="I52" s="3">
        <v>1</v>
      </c>
      <c r="J52" s="5">
        <v>21190</v>
      </c>
      <c r="K52" s="7">
        <v>21190</v>
      </c>
      <c r="L52" s="6">
        <v>45316</v>
      </c>
      <c r="M52" s="8" t="str">
        <f>IF(K52&gt;10000,"High",IF(K52&gt;5000,"Medium","Low"))</f>
        <v>High</v>
      </c>
      <c r="N52" s="4" t="s">
        <v>241</v>
      </c>
      <c r="O52" s="3">
        <v>1</v>
      </c>
      <c r="P52" s="3">
        <v>2024</v>
      </c>
      <c r="T52" s="4"/>
      <c r="X52"/>
      <c r="Y52" s="3"/>
      <c r="AA52"/>
    </row>
    <row r="53" spans="1:27" x14ac:dyDescent="0.3">
      <c r="A53" s="3">
        <v>1086</v>
      </c>
      <c r="B53" s="4" t="s">
        <v>57</v>
      </c>
      <c r="C53" s="4" t="str">
        <f>IF(D53="","Unknown",IF(D53&lt;20,"Teen",IF(D53&lt;40,"Adult","Senior")))</f>
        <v>Adult</v>
      </c>
      <c r="D53" s="3">
        <v>30</v>
      </c>
      <c r="E53" s="3" t="s">
        <v>250</v>
      </c>
      <c r="F53" s="4" t="s">
        <v>40</v>
      </c>
      <c r="G53" s="4" t="s">
        <v>23</v>
      </c>
      <c r="H53" t="s">
        <v>30</v>
      </c>
      <c r="I53" s="3">
        <v>2</v>
      </c>
      <c r="J53" s="5">
        <v>21903</v>
      </c>
      <c r="K53" s="7">
        <v>43806</v>
      </c>
      <c r="L53" s="6">
        <v>45309</v>
      </c>
      <c r="M53" s="8" t="str">
        <f>IF(K53&gt;10000,"High",IF(K53&gt;5000,"Medium","Low"))</f>
        <v>High</v>
      </c>
      <c r="N53" s="4" t="s">
        <v>244</v>
      </c>
      <c r="O53" s="3">
        <v>1</v>
      </c>
      <c r="P53" s="3">
        <v>2024</v>
      </c>
      <c r="T53" s="4"/>
      <c r="X53"/>
      <c r="Y53" s="3"/>
      <c r="AA53"/>
    </row>
    <row r="54" spans="1:27" x14ac:dyDescent="0.3">
      <c r="A54" s="3">
        <v>1089</v>
      </c>
      <c r="B54" s="4" t="s">
        <v>16</v>
      </c>
      <c r="C54" s="4" t="str">
        <f>IF(D54="","Unknown",IF(D54&lt;20,"Teen",IF(D54&lt;40,"Adult","Senior")))</f>
        <v>Adult</v>
      </c>
      <c r="D54" s="3">
        <v>30</v>
      </c>
      <c r="E54" s="3" t="s">
        <v>250</v>
      </c>
      <c r="F54" s="4" t="s">
        <v>17</v>
      </c>
      <c r="G54" s="4" t="s">
        <v>51</v>
      </c>
      <c r="H54" t="s">
        <v>13</v>
      </c>
      <c r="I54" s="3">
        <v>5</v>
      </c>
      <c r="J54" s="5">
        <v>1000</v>
      </c>
      <c r="K54" s="7">
        <v>5000</v>
      </c>
      <c r="L54" s="6">
        <v>45297</v>
      </c>
      <c r="M54" s="8" t="str">
        <f>IF(K54&gt;10000,"High",IF(K54&gt;5000,"Medium","Low"))</f>
        <v>Low</v>
      </c>
      <c r="N54" s="4" t="s">
        <v>243</v>
      </c>
      <c r="O54" s="3">
        <v>1</v>
      </c>
      <c r="P54" s="3">
        <v>2024</v>
      </c>
      <c r="T54" s="4"/>
      <c r="X54"/>
      <c r="Y54" s="3"/>
      <c r="AA54"/>
    </row>
    <row r="55" spans="1:27" x14ac:dyDescent="0.3">
      <c r="A55" s="3">
        <v>1092</v>
      </c>
      <c r="B55" s="4" t="s">
        <v>10</v>
      </c>
      <c r="C55" s="4" t="str">
        <f>IF(D55="","Unknown",IF(D55&lt;20,"Teen",IF(D55&lt;40,"Adult","Senior")))</f>
        <v>Adult</v>
      </c>
      <c r="D55" s="3">
        <v>30</v>
      </c>
      <c r="E55" s="3" t="s">
        <v>250</v>
      </c>
      <c r="F55" s="4" t="s">
        <v>17</v>
      </c>
      <c r="G55" s="4" t="s">
        <v>55</v>
      </c>
      <c r="H55" t="s">
        <v>36</v>
      </c>
      <c r="I55" s="3">
        <v>1</v>
      </c>
      <c r="J55" s="5">
        <v>1000</v>
      </c>
      <c r="K55" s="7">
        <v>1000</v>
      </c>
      <c r="L55" s="6">
        <v>45312</v>
      </c>
      <c r="M55" s="8" t="str">
        <f>IF(K55&gt;10000,"High",IF(K55&gt;5000,"Medium","Low"))</f>
        <v>Low</v>
      </c>
      <c r="N55" s="4" t="s">
        <v>243</v>
      </c>
      <c r="O55" s="3">
        <v>1</v>
      </c>
      <c r="P55" s="3">
        <v>2024</v>
      </c>
      <c r="T55" s="4"/>
      <c r="X55"/>
      <c r="Y55" s="3"/>
      <c r="AA55"/>
    </row>
    <row r="56" spans="1:27" x14ac:dyDescent="0.3">
      <c r="A56" s="3">
        <v>1097</v>
      </c>
      <c r="B56" s="4" t="s">
        <v>54</v>
      </c>
      <c r="C56" s="4" t="str">
        <f>IF(D56="","Unknown",IF(D56&lt;20,"Teen",IF(D56&lt;40,"Adult","Senior")))</f>
        <v>Senior</v>
      </c>
      <c r="D56" s="3">
        <v>47</v>
      </c>
      <c r="E56" s="3" t="s">
        <v>249</v>
      </c>
      <c r="F56" s="4" t="s">
        <v>17</v>
      </c>
      <c r="G56" s="4" t="s">
        <v>23</v>
      </c>
      <c r="H56" t="s">
        <v>30</v>
      </c>
      <c r="I56" s="3">
        <v>4</v>
      </c>
      <c r="J56" s="5">
        <v>1000</v>
      </c>
      <c r="K56" s="7">
        <v>4000</v>
      </c>
      <c r="L56" s="6">
        <v>45294</v>
      </c>
      <c r="M56" s="8" t="str">
        <f>IF(K56&gt;10000,"High",IF(K56&gt;5000,"Medium","Low"))</f>
        <v>Low</v>
      </c>
      <c r="N56" s="4" t="s">
        <v>244</v>
      </c>
      <c r="O56" s="3">
        <v>1</v>
      </c>
      <c r="P56" s="3">
        <v>2024</v>
      </c>
      <c r="T56" s="4"/>
      <c r="X56"/>
      <c r="Y56" s="3"/>
      <c r="AA56"/>
    </row>
    <row r="57" spans="1:27" x14ac:dyDescent="0.3">
      <c r="A57" s="3">
        <v>1098</v>
      </c>
      <c r="B57" s="4" t="s">
        <v>73</v>
      </c>
      <c r="C57" s="4" t="str">
        <f>IF(D57="","Unknown",IF(D57&lt;20,"Teen",IF(D57&lt;40,"Adult","Senior")))</f>
        <v>Adult</v>
      </c>
      <c r="D57" s="3">
        <v>30</v>
      </c>
      <c r="E57" s="3" t="s">
        <v>250</v>
      </c>
      <c r="F57" s="4" t="s">
        <v>40</v>
      </c>
      <c r="G57" s="4" t="s">
        <v>44</v>
      </c>
      <c r="H57" t="s">
        <v>36</v>
      </c>
      <c r="I57" s="3">
        <v>5</v>
      </c>
      <c r="J57" s="5">
        <v>5198</v>
      </c>
      <c r="K57" s="7">
        <v>25990</v>
      </c>
      <c r="L57" s="6">
        <v>45318</v>
      </c>
      <c r="M57" s="8" t="str">
        <f>IF(K57&gt;10000,"High",IF(K57&gt;5000,"Medium","Low"))</f>
        <v>High</v>
      </c>
      <c r="N57" s="4" t="s">
        <v>242</v>
      </c>
      <c r="O57" s="3">
        <v>1</v>
      </c>
      <c r="P57" s="3">
        <v>2024</v>
      </c>
      <c r="T57" s="4"/>
      <c r="X57"/>
      <c r="Y57" s="3"/>
      <c r="AA57"/>
    </row>
    <row r="58" spans="1:27" x14ac:dyDescent="0.3">
      <c r="A58" s="3">
        <v>1099</v>
      </c>
      <c r="B58" s="4" t="s">
        <v>35</v>
      </c>
      <c r="C58" s="4" t="str">
        <f>IF(D58="","Unknown",IF(D58&lt;20,"Teen",IF(D58&lt;40,"Adult","Senior")))</f>
        <v>Adult</v>
      </c>
      <c r="D58" s="3">
        <v>26</v>
      </c>
      <c r="E58" s="3" t="s">
        <v>250</v>
      </c>
      <c r="F58" s="4" t="s">
        <v>40</v>
      </c>
      <c r="G58" s="4" t="s">
        <v>27</v>
      </c>
      <c r="H58" t="s">
        <v>13</v>
      </c>
      <c r="I58" s="3">
        <v>5</v>
      </c>
      <c r="J58" s="5">
        <v>30128</v>
      </c>
      <c r="K58" s="7">
        <v>150640</v>
      </c>
      <c r="L58" s="6">
        <v>45300</v>
      </c>
      <c r="M58" s="8" t="str">
        <f>IF(K58&gt;10000,"High",IF(K58&gt;5000,"Medium","Low"))</f>
        <v>High</v>
      </c>
      <c r="N58" s="4" t="s">
        <v>240</v>
      </c>
      <c r="O58" s="3">
        <v>1</v>
      </c>
      <c r="P58" s="3">
        <v>2024</v>
      </c>
      <c r="T58" s="4"/>
      <c r="X58"/>
      <c r="Y58" s="3"/>
      <c r="AA58"/>
    </row>
    <row r="59" spans="1:27" x14ac:dyDescent="0.3">
      <c r="A59" s="3">
        <v>1103</v>
      </c>
      <c r="B59" s="4" t="s">
        <v>46</v>
      </c>
      <c r="C59" s="4" t="str">
        <f>IF(D59="","Unknown",IF(D59&lt;20,"Teen",IF(D59&lt;40,"Adult","Senior")))</f>
        <v>Adult</v>
      </c>
      <c r="D59" s="3">
        <v>30</v>
      </c>
      <c r="E59" s="3" t="s">
        <v>250</v>
      </c>
      <c r="F59" s="4" t="s">
        <v>17</v>
      </c>
      <c r="G59" s="4" t="s">
        <v>55</v>
      </c>
      <c r="H59" t="s">
        <v>36</v>
      </c>
      <c r="I59" s="3">
        <v>3</v>
      </c>
      <c r="J59" s="5">
        <v>1000</v>
      </c>
      <c r="K59" s="7">
        <v>3000</v>
      </c>
      <c r="L59" s="6">
        <v>45315</v>
      </c>
      <c r="M59" s="8" t="str">
        <f>IF(K59&gt;10000,"High",IF(K59&gt;5000,"Medium","Low"))</f>
        <v>Low</v>
      </c>
      <c r="N59" s="4" t="s">
        <v>240</v>
      </c>
      <c r="O59" s="3">
        <v>1</v>
      </c>
      <c r="P59" s="3">
        <v>2024</v>
      </c>
      <c r="T59" s="4"/>
      <c r="X59"/>
      <c r="Y59" s="3"/>
      <c r="AA59"/>
    </row>
    <row r="60" spans="1:27" x14ac:dyDescent="0.3">
      <c r="A60" s="3">
        <v>1105</v>
      </c>
      <c r="B60" s="4" t="s">
        <v>48</v>
      </c>
      <c r="C60" s="4" t="str">
        <f>IF(D60="","Unknown",IF(D60&lt;20,"Teen",IF(D60&lt;40,"Adult","Senior")))</f>
        <v>Senior</v>
      </c>
      <c r="D60" s="3">
        <v>48</v>
      </c>
      <c r="E60" s="3" t="s">
        <v>249</v>
      </c>
      <c r="F60" s="4" t="s">
        <v>17</v>
      </c>
      <c r="G60" s="4" t="s">
        <v>51</v>
      </c>
      <c r="H60" t="s">
        <v>13</v>
      </c>
      <c r="I60" s="3">
        <v>4</v>
      </c>
      <c r="J60" s="5">
        <v>1469</v>
      </c>
      <c r="K60" s="7">
        <v>5876</v>
      </c>
      <c r="L60" s="6">
        <v>45314</v>
      </c>
      <c r="M60" s="8" t="str">
        <f>IF(K60&gt;10000,"High",IF(K60&gt;5000,"Medium","Low"))</f>
        <v>Medium</v>
      </c>
      <c r="N60" s="4" t="s">
        <v>243</v>
      </c>
      <c r="O60" s="3">
        <v>1</v>
      </c>
      <c r="P60" s="3">
        <v>2024</v>
      </c>
      <c r="T60" s="4"/>
      <c r="X60"/>
      <c r="Y60" s="3"/>
      <c r="AA60"/>
    </row>
    <row r="61" spans="1:27" x14ac:dyDescent="0.3">
      <c r="A61" s="3">
        <v>1107</v>
      </c>
      <c r="B61" s="4" t="s">
        <v>78</v>
      </c>
      <c r="C61" s="4" t="str">
        <f>IF(D61="","Unknown",IF(D61&lt;20,"Teen",IF(D61&lt;40,"Adult","Senior")))</f>
        <v>Adult</v>
      </c>
      <c r="D61" s="3">
        <v>30</v>
      </c>
      <c r="E61" s="3" t="s">
        <v>250</v>
      </c>
      <c r="F61" s="4" t="s">
        <v>40</v>
      </c>
      <c r="G61" s="4" t="s">
        <v>55</v>
      </c>
      <c r="H61" t="s">
        <v>36</v>
      </c>
      <c r="I61" s="3">
        <v>2</v>
      </c>
      <c r="J61" s="5">
        <v>36465</v>
      </c>
      <c r="K61" s="7">
        <v>72930</v>
      </c>
      <c r="L61" s="6">
        <v>45293</v>
      </c>
      <c r="M61" s="8" t="str">
        <f>IF(K61&gt;10000,"High",IF(K61&gt;5000,"Medium","Low"))</f>
        <v>High</v>
      </c>
      <c r="N61" s="4" t="s">
        <v>243</v>
      </c>
      <c r="O61" s="3">
        <v>1</v>
      </c>
      <c r="P61" s="3">
        <v>2024</v>
      </c>
      <c r="T61" s="4"/>
      <c r="X61"/>
      <c r="Y61" s="3"/>
      <c r="AA61"/>
    </row>
    <row r="62" spans="1:27" x14ac:dyDescent="0.3">
      <c r="A62" s="3">
        <v>1110</v>
      </c>
      <c r="B62" s="4" t="s">
        <v>48</v>
      </c>
      <c r="C62" s="4" t="str">
        <f>IF(D62="","Unknown",IF(D62&lt;20,"Teen",IF(D62&lt;40,"Adult","Senior")))</f>
        <v>Adult</v>
      </c>
      <c r="D62" s="3">
        <v>28</v>
      </c>
      <c r="E62" s="3" t="s">
        <v>250</v>
      </c>
      <c r="F62" s="4" t="s">
        <v>17</v>
      </c>
      <c r="G62" s="4" t="s">
        <v>12</v>
      </c>
      <c r="H62" t="s">
        <v>13</v>
      </c>
      <c r="I62" s="3">
        <v>2</v>
      </c>
      <c r="J62" s="5">
        <v>1417</v>
      </c>
      <c r="K62" s="7">
        <v>2834</v>
      </c>
      <c r="L62" s="6">
        <v>45307</v>
      </c>
      <c r="M62" s="8" t="str">
        <f>IF(K62&gt;10000,"High",IF(K62&gt;5000,"Medium","Low"))</f>
        <v>Low</v>
      </c>
      <c r="N62" s="4" t="s">
        <v>242</v>
      </c>
      <c r="O62" s="3">
        <v>1</v>
      </c>
      <c r="P62" s="3">
        <v>2024</v>
      </c>
      <c r="T62" s="4"/>
      <c r="X62"/>
      <c r="Y62" s="3"/>
      <c r="AA62"/>
    </row>
    <row r="63" spans="1:27" x14ac:dyDescent="0.3">
      <c r="A63" s="3">
        <v>1111</v>
      </c>
      <c r="B63" s="4" t="s">
        <v>35</v>
      </c>
      <c r="C63" s="4" t="str">
        <f>IF(D63="","Unknown",IF(D63&lt;20,"Teen",IF(D63&lt;40,"Adult","Senior")))</f>
        <v>Adult</v>
      </c>
      <c r="D63" s="3">
        <v>30</v>
      </c>
      <c r="E63" s="3" t="s">
        <v>250</v>
      </c>
      <c r="F63" s="4" t="s">
        <v>17</v>
      </c>
      <c r="G63" s="4" t="s">
        <v>18</v>
      </c>
      <c r="H63" t="s">
        <v>30</v>
      </c>
      <c r="I63" s="3">
        <v>3</v>
      </c>
      <c r="J63" s="5">
        <v>1000</v>
      </c>
      <c r="K63" s="7">
        <v>3000</v>
      </c>
      <c r="L63" s="6">
        <v>45297</v>
      </c>
      <c r="M63" s="8" t="str">
        <f>IF(K63&gt;10000,"High",IF(K63&gt;5000,"Medium","Low"))</f>
        <v>Low</v>
      </c>
      <c r="N63" s="4" t="s">
        <v>243</v>
      </c>
      <c r="O63" s="3">
        <v>1</v>
      </c>
      <c r="P63" s="3">
        <v>2024</v>
      </c>
      <c r="T63" s="4"/>
      <c r="X63"/>
      <c r="Y63" s="3"/>
      <c r="AA63"/>
    </row>
    <row r="64" spans="1:27" x14ac:dyDescent="0.3">
      <c r="A64" s="3">
        <v>1113</v>
      </c>
      <c r="B64" s="4" t="s">
        <v>35</v>
      </c>
      <c r="C64" s="4" t="str">
        <f>IF(D64="","Unknown",IF(D64&lt;20,"Teen",IF(D64&lt;40,"Adult","Senior")))</f>
        <v>Adult</v>
      </c>
      <c r="D64" s="3">
        <v>30</v>
      </c>
      <c r="E64" s="3" t="s">
        <v>250</v>
      </c>
      <c r="F64" s="4" t="s">
        <v>17</v>
      </c>
      <c r="G64" s="4" t="s">
        <v>41</v>
      </c>
      <c r="H64" t="s">
        <v>36</v>
      </c>
      <c r="I64" s="3">
        <v>2</v>
      </c>
      <c r="J64" s="5">
        <v>27322</v>
      </c>
      <c r="K64" s="7">
        <v>54644</v>
      </c>
      <c r="L64" s="6">
        <v>45318</v>
      </c>
      <c r="M64" s="8" t="str">
        <f>IF(K64&gt;10000,"High",IF(K64&gt;5000,"Medium","Low"))</f>
        <v>High</v>
      </c>
      <c r="N64" s="4" t="s">
        <v>240</v>
      </c>
      <c r="O64" s="3">
        <v>1</v>
      </c>
      <c r="P64" s="3">
        <v>2024</v>
      </c>
      <c r="T64" s="4"/>
      <c r="X64"/>
      <c r="Y64" s="3"/>
      <c r="AA64"/>
    </row>
    <row r="65" spans="1:27" x14ac:dyDescent="0.3">
      <c r="A65" s="3">
        <v>1114</v>
      </c>
      <c r="B65" s="4" t="s">
        <v>68</v>
      </c>
      <c r="C65" s="4" t="str">
        <f>IF(D65="","Unknown",IF(D65&lt;20,"Teen",IF(D65&lt;40,"Adult","Senior")))</f>
        <v>Senior</v>
      </c>
      <c r="D65" s="3">
        <v>45</v>
      </c>
      <c r="E65" s="3" t="s">
        <v>249</v>
      </c>
      <c r="F65" s="4" t="s">
        <v>40</v>
      </c>
      <c r="G65" s="4" t="s">
        <v>55</v>
      </c>
      <c r="H65" t="s">
        <v>36</v>
      </c>
      <c r="I65" s="3">
        <v>4</v>
      </c>
      <c r="J65" s="5">
        <v>1000</v>
      </c>
      <c r="K65" s="7">
        <v>4000</v>
      </c>
      <c r="L65" s="6">
        <v>45318</v>
      </c>
      <c r="M65" s="8" t="str">
        <f>IF(K65&gt;10000,"High",IF(K65&gt;5000,"Medium","Low"))</f>
        <v>Low</v>
      </c>
      <c r="N65" s="4" t="s">
        <v>241</v>
      </c>
      <c r="O65" s="3">
        <v>1</v>
      </c>
      <c r="P65" s="3">
        <v>2024</v>
      </c>
      <c r="T65" s="4"/>
      <c r="X65"/>
      <c r="Y65" s="3"/>
      <c r="AA65"/>
    </row>
    <row r="66" spans="1:27" x14ac:dyDescent="0.3">
      <c r="A66" s="3">
        <v>1116</v>
      </c>
      <c r="B66" s="4" t="s">
        <v>48</v>
      </c>
      <c r="C66" s="4" t="str">
        <f>IF(D66="","Unknown",IF(D66&lt;20,"Teen",IF(D66&lt;40,"Adult","Senior")))</f>
        <v>Adult</v>
      </c>
      <c r="D66" s="3">
        <v>30</v>
      </c>
      <c r="E66" s="3" t="s">
        <v>250</v>
      </c>
      <c r="F66" s="4" t="s">
        <v>40</v>
      </c>
      <c r="G66" s="4" t="s">
        <v>23</v>
      </c>
      <c r="H66" t="s">
        <v>30</v>
      </c>
      <c r="I66" s="3">
        <v>5</v>
      </c>
      <c r="J66" s="5">
        <v>1000</v>
      </c>
      <c r="K66" s="7">
        <v>5000</v>
      </c>
      <c r="L66" s="6">
        <v>45308</v>
      </c>
      <c r="M66" s="8" t="str">
        <f>IF(K66&gt;10000,"High",IF(K66&gt;5000,"Medium","Low"))</f>
        <v>Low</v>
      </c>
      <c r="N66" s="4" t="s">
        <v>242</v>
      </c>
      <c r="O66" s="3">
        <v>1</v>
      </c>
      <c r="P66" s="3">
        <v>2024</v>
      </c>
      <c r="T66" s="4"/>
      <c r="X66"/>
      <c r="Y66" s="3"/>
      <c r="AA66"/>
    </row>
    <row r="67" spans="1:27" x14ac:dyDescent="0.3">
      <c r="A67" s="3">
        <v>1117</v>
      </c>
      <c r="B67" s="4" t="s">
        <v>25</v>
      </c>
      <c r="C67" s="4" t="str">
        <f>IF(D67="","Unknown",IF(D67&lt;20,"Teen",IF(D67&lt;40,"Adult","Senior")))</f>
        <v>Adult</v>
      </c>
      <c r="D67" s="3">
        <v>30</v>
      </c>
      <c r="E67" s="3" t="s">
        <v>250</v>
      </c>
      <c r="F67" s="4" t="s">
        <v>40</v>
      </c>
      <c r="G67" s="4" t="s">
        <v>51</v>
      </c>
      <c r="H67" t="s">
        <v>13</v>
      </c>
      <c r="I67" s="3">
        <v>5</v>
      </c>
      <c r="J67" s="5">
        <v>1000</v>
      </c>
      <c r="K67" s="7">
        <v>5000</v>
      </c>
      <c r="L67" s="6">
        <v>45318</v>
      </c>
      <c r="M67" s="8" t="str">
        <f>IF(K67&gt;10000,"High",IF(K67&gt;5000,"Medium","Low"))</f>
        <v>Low</v>
      </c>
      <c r="N67" s="4" t="s">
        <v>241</v>
      </c>
      <c r="O67" s="3">
        <v>1</v>
      </c>
      <c r="P67" s="3">
        <v>2024</v>
      </c>
      <c r="T67" s="4"/>
      <c r="X67"/>
      <c r="Y67" s="3"/>
      <c r="AA67"/>
    </row>
    <row r="68" spans="1:27" x14ac:dyDescent="0.3">
      <c r="A68" s="3">
        <v>1119</v>
      </c>
      <c r="B68" s="4" t="s">
        <v>78</v>
      </c>
      <c r="C68" s="4" t="str">
        <f>IF(D68="","Unknown",IF(D68&lt;20,"Teen",IF(D68&lt;40,"Adult","Senior")))</f>
        <v>Adult</v>
      </c>
      <c r="D68" s="3">
        <v>30</v>
      </c>
      <c r="E68" s="3" t="s">
        <v>250</v>
      </c>
      <c r="F68" s="4" t="s">
        <v>40</v>
      </c>
      <c r="G68" s="4" t="s">
        <v>23</v>
      </c>
      <c r="H68" t="s">
        <v>30</v>
      </c>
      <c r="I68" s="3">
        <v>2</v>
      </c>
      <c r="J68" s="5">
        <v>7929</v>
      </c>
      <c r="K68" s="7">
        <v>15858</v>
      </c>
      <c r="L68" s="6">
        <v>45305</v>
      </c>
      <c r="M68" s="8" t="str">
        <f>IF(K68&gt;10000,"High",IF(K68&gt;5000,"Medium","Low"))</f>
        <v>High</v>
      </c>
      <c r="N68" s="4" t="s">
        <v>244</v>
      </c>
      <c r="O68" s="3">
        <v>1</v>
      </c>
      <c r="P68" s="3">
        <v>2024</v>
      </c>
      <c r="T68" s="4"/>
      <c r="X68"/>
      <c r="Y68" s="3"/>
      <c r="AA68"/>
    </row>
    <row r="69" spans="1:27" x14ac:dyDescent="0.3">
      <c r="A69" s="3">
        <v>1121</v>
      </c>
      <c r="B69" s="4" t="s">
        <v>16</v>
      </c>
      <c r="C69" s="4" t="str">
        <f>IF(D69="","Unknown",IF(D69&lt;20,"Teen",IF(D69&lt;40,"Adult","Senior")))</f>
        <v>Senior</v>
      </c>
      <c r="D69" s="3">
        <v>40</v>
      </c>
      <c r="E69" s="3" t="s">
        <v>249</v>
      </c>
      <c r="F69" s="4" t="s">
        <v>17</v>
      </c>
      <c r="G69" s="4" t="s">
        <v>41</v>
      </c>
      <c r="H69" t="s">
        <v>36</v>
      </c>
      <c r="I69" s="3">
        <v>4</v>
      </c>
      <c r="J69" s="5">
        <v>16134</v>
      </c>
      <c r="K69" s="7">
        <v>64536</v>
      </c>
      <c r="L69" s="6">
        <v>45301</v>
      </c>
      <c r="M69" s="8" t="str">
        <f>IF(K69&gt;10000,"High",IF(K69&gt;5000,"Medium","Low"))</f>
        <v>High</v>
      </c>
      <c r="N69" s="4" t="s">
        <v>242</v>
      </c>
      <c r="O69" s="3">
        <v>1</v>
      </c>
      <c r="P69" s="3">
        <v>2024</v>
      </c>
      <c r="T69" s="4"/>
      <c r="X69"/>
      <c r="Y69" s="3"/>
      <c r="AA69"/>
    </row>
    <row r="70" spans="1:27" x14ac:dyDescent="0.3">
      <c r="A70" s="3">
        <v>1123</v>
      </c>
      <c r="B70" s="4" t="s">
        <v>38</v>
      </c>
      <c r="C70" s="4" t="str">
        <f>IF(D70="","Unknown",IF(D70&lt;20,"Teen",IF(D70&lt;40,"Adult","Senior")))</f>
        <v>Adult</v>
      </c>
      <c r="D70" s="3">
        <v>30</v>
      </c>
      <c r="E70" s="3" t="s">
        <v>250</v>
      </c>
      <c r="F70" s="4" t="s">
        <v>40</v>
      </c>
      <c r="G70" s="4" t="s">
        <v>23</v>
      </c>
      <c r="H70" t="s">
        <v>30</v>
      </c>
      <c r="I70" s="3">
        <v>2</v>
      </c>
      <c r="J70" s="5">
        <v>1000</v>
      </c>
      <c r="K70" s="7">
        <v>2000</v>
      </c>
      <c r="L70" s="6">
        <v>45294</v>
      </c>
      <c r="M70" s="8" t="str">
        <f>IF(K70&gt;10000,"High",IF(K70&gt;5000,"Medium","Low"))</f>
        <v>Low</v>
      </c>
      <c r="N70" s="4" t="s">
        <v>241</v>
      </c>
      <c r="O70" s="3">
        <v>1</v>
      </c>
      <c r="P70" s="3">
        <v>2024</v>
      </c>
      <c r="T70" s="4"/>
      <c r="X70"/>
      <c r="Y70" s="3"/>
      <c r="AA70"/>
    </row>
    <row r="71" spans="1:27" x14ac:dyDescent="0.3">
      <c r="A71" s="3">
        <v>1125</v>
      </c>
      <c r="B71" s="4" t="s">
        <v>35</v>
      </c>
      <c r="C71" s="4" t="str">
        <f>IF(D71="","Unknown",IF(D71&lt;20,"Teen",IF(D71&lt;40,"Adult","Senior")))</f>
        <v>Adult</v>
      </c>
      <c r="D71" s="3">
        <v>30</v>
      </c>
      <c r="E71" s="3" t="s">
        <v>250</v>
      </c>
      <c r="F71" s="4" t="s">
        <v>17</v>
      </c>
      <c r="G71" s="4" t="s">
        <v>55</v>
      </c>
      <c r="H71" t="s">
        <v>36</v>
      </c>
      <c r="I71" s="3">
        <v>2</v>
      </c>
      <c r="J71" s="5">
        <v>1000</v>
      </c>
      <c r="K71" s="7">
        <v>2000</v>
      </c>
      <c r="L71" s="6">
        <v>45311</v>
      </c>
      <c r="M71" s="8" t="str">
        <f>IF(K71&gt;10000,"High",IF(K71&gt;5000,"Medium","Low"))</f>
        <v>Low</v>
      </c>
      <c r="N71" s="4" t="s">
        <v>242</v>
      </c>
      <c r="O71" s="3">
        <v>1</v>
      </c>
      <c r="P71" s="3">
        <v>2024</v>
      </c>
      <c r="T71" s="4"/>
      <c r="X71"/>
      <c r="Y71" s="3"/>
      <c r="AA71"/>
    </row>
    <row r="72" spans="1:27" x14ac:dyDescent="0.3">
      <c r="A72" s="3">
        <v>1130</v>
      </c>
      <c r="B72" s="4" t="s">
        <v>46</v>
      </c>
      <c r="C72" s="4" t="str">
        <f>IF(D72="","Unknown",IF(D72&lt;20,"Teen",IF(D72&lt;40,"Adult","Senior")))</f>
        <v>Adult</v>
      </c>
      <c r="D72" s="3">
        <v>28</v>
      </c>
      <c r="E72" s="3" t="s">
        <v>250</v>
      </c>
      <c r="F72" s="4" t="s">
        <v>40</v>
      </c>
      <c r="G72" s="4" t="s">
        <v>27</v>
      </c>
      <c r="H72" t="s">
        <v>13</v>
      </c>
      <c r="I72" s="3">
        <v>4</v>
      </c>
      <c r="J72" s="5">
        <v>42671</v>
      </c>
      <c r="K72" s="7">
        <v>170684</v>
      </c>
      <c r="L72" s="6">
        <v>45293</v>
      </c>
      <c r="M72" s="8" t="str">
        <f>IF(K72&gt;10000,"High",IF(K72&gt;5000,"Medium","Low"))</f>
        <v>High</v>
      </c>
      <c r="N72" s="4" t="s">
        <v>244</v>
      </c>
      <c r="O72" s="3">
        <v>1</v>
      </c>
      <c r="P72" s="3">
        <v>2024</v>
      </c>
      <c r="T72" s="4"/>
      <c r="X72"/>
      <c r="Y72" s="3"/>
      <c r="AA72"/>
    </row>
    <row r="73" spans="1:27" x14ac:dyDescent="0.3">
      <c r="A73" s="3">
        <v>1131</v>
      </c>
      <c r="B73" s="4" t="s">
        <v>64</v>
      </c>
      <c r="C73" s="4" t="str">
        <f>IF(D73="","Unknown",IF(D73&lt;20,"Teen",IF(D73&lt;40,"Adult","Senior")))</f>
        <v>Adult</v>
      </c>
      <c r="D73" s="3">
        <v>28</v>
      </c>
      <c r="E73" s="3" t="s">
        <v>250</v>
      </c>
      <c r="F73" s="4" t="s">
        <v>40</v>
      </c>
      <c r="G73" s="4" t="s">
        <v>23</v>
      </c>
      <c r="H73" t="s">
        <v>30</v>
      </c>
      <c r="I73" s="3">
        <v>2</v>
      </c>
      <c r="J73" s="5">
        <v>34309</v>
      </c>
      <c r="K73" s="7">
        <v>68618</v>
      </c>
      <c r="L73" s="6">
        <v>45294</v>
      </c>
      <c r="M73" s="8" t="str">
        <f>IF(K73&gt;10000,"High",IF(K73&gt;5000,"Medium","Low"))</f>
        <v>High</v>
      </c>
      <c r="N73" s="4" t="s">
        <v>242</v>
      </c>
      <c r="O73" s="3">
        <v>1</v>
      </c>
      <c r="P73" s="3">
        <v>2024</v>
      </c>
      <c r="T73" s="4"/>
      <c r="X73"/>
      <c r="Y73" s="3"/>
      <c r="AA73"/>
    </row>
    <row r="74" spans="1:27" x14ac:dyDescent="0.3">
      <c r="A74" s="3">
        <v>1134</v>
      </c>
      <c r="B74" s="4" t="s">
        <v>78</v>
      </c>
      <c r="C74" s="4" t="str">
        <f>IF(D74="","Unknown",IF(D74&lt;20,"Teen",IF(D74&lt;40,"Adult","Senior")))</f>
        <v>Adult</v>
      </c>
      <c r="D74" s="3">
        <v>30</v>
      </c>
      <c r="E74" s="3" t="s">
        <v>250</v>
      </c>
      <c r="F74" s="4" t="s">
        <v>17</v>
      </c>
      <c r="G74" s="4" t="s">
        <v>18</v>
      </c>
      <c r="H74" t="s">
        <v>30</v>
      </c>
      <c r="I74" s="3">
        <v>4</v>
      </c>
      <c r="J74" s="5">
        <v>1000</v>
      </c>
      <c r="K74" s="7">
        <v>4000</v>
      </c>
      <c r="L74" s="6">
        <v>45314</v>
      </c>
      <c r="M74" s="8" t="str">
        <f>IF(K74&gt;10000,"High",IF(K74&gt;5000,"Medium","Low"))</f>
        <v>Low</v>
      </c>
      <c r="N74" s="4" t="s">
        <v>242</v>
      </c>
      <c r="O74" s="3">
        <v>1</v>
      </c>
      <c r="P74" s="3">
        <v>2024</v>
      </c>
      <c r="T74" s="4"/>
      <c r="X74"/>
      <c r="Y74" s="3"/>
      <c r="AA74"/>
    </row>
    <row r="75" spans="1:27" x14ac:dyDescent="0.3">
      <c r="A75" s="3">
        <v>1138</v>
      </c>
      <c r="B75" s="4" t="s">
        <v>16</v>
      </c>
      <c r="C75" s="4" t="str">
        <f>IF(D75="","Unknown",IF(D75&lt;20,"Teen",IF(D75&lt;40,"Adult","Senior")))</f>
        <v>Senior</v>
      </c>
      <c r="D75" s="3">
        <v>46</v>
      </c>
      <c r="E75" s="3" t="s">
        <v>249</v>
      </c>
      <c r="F75" s="4" t="s">
        <v>40</v>
      </c>
      <c r="G75" s="4" t="s">
        <v>44</v>
      </c>
      <c r="H75" t="s">
        <v>36</v>
      </c>
      <c r="I75" s="3">
        <v>2</v>
      </c>
      <c r="J75" s="5">
        <v>1000</v>
      </c>
      <c r="K75" s="7">
        <v>2000</v>
      </c>
      <c r="L75" s="6">
        <v>45300</v>
      </c>
      <c r="M75" s="8" t="str">
        <f>IF(K75&gt;10000,"High",IF(K75&gt;5000,"Medium","Low"))</f>
        <v>Low</v>
      </c>
      <c r="N75" s="4" t="s">
        <v>244</v>
      </c>
      <c r="O75" s="3">
        <v>1</v>
      </c>
      <c r="P75" s="3">
        <v>2024</v>
      </c>
      <c r="T75" s="4"/>
      <c r="X75"/>
      <c r="Y75" s="3"/>
      <c r="AA75"/>
    </row>
    <row r="76" spans="1:27" x14ac:dyDescent="0.3">
      <c r="A76" s="3">
        <v>1140</v>
      </c>
      <c r="B76" s="4" t="s">
        <v>21</v>
      </c>
      <c r="C76" s="4" t="str">
        <f>IF(D76="","Unknown",IF(D76&lt;20,"Teen",IF(D76&lt;40,"Adult","Senior")))</f>
        <v>Senior</v>
      </c>
      <c r="D76" s="3">
        <v>50</v>
      </c>
      <c r="E76" s="3" t="s">
        <v>249</v>
      </c>
      <c r="F76" s="4" t="s">
        <v>40</v>
      </c>
      <c r="G76" s="4" t="s">
        <v>18</v>
      </c>
      <c r="H76" t="s">
        <v>30</v>
      </c>
      <c r="I76" s="3">
        <v>4</v>
      </c>
      <c r="J76" s="5">
        <v>13906</v>
      </c>
      <c r="K76" s="7">
        <v>55624</v>
      </c>
      <c r="L76" s="6">
        <v>45310</v>
      </c>
      <c r="M76" s="8" t="str">
        <f>IF(K76&gt;10000,"High",IF(K76&gt;5000,"Medium","Low"))</f>
        <v>High</v>
      </c>
      <c r="N76" s="4" t="s">
        <v>242</v>
      </c>
      <c r="O76" s="3">
        <v>1</v>
      </c>
      <c r="P76" s="3">
        <v>2024</v>
      </c>
      <c r="T76" s="4"/>
      <c r="X76"/>
      <c r="Y76" s="3"/>
      <c r="AA76"/>
    </row>
    <row r="77" spans="1:27" x14ac:dyDescent="0.3">
      <c r="A77" s="3">
        <v>1142</v>
      </c>
      <c r="B77" s="4" t="s">
        <v>68</v>
      </c>
      <c r="C77" s="4" t="str">
        <f>IF(D77="","Unknown",IF(D77&lt;20,"Teen",IF(D77&lt;40,"Adult","Senior")))</f>
        <v>Adult</v>
      </c>
      <c r="D77" s="3">
        <v>30</v>
      </c>
      <c r="E77" s="3" t="s">
        <v>250</v>
      </c>
      <c r="F77" s="4" t="s">
        <v>40</v>
      </c>
      <c r="G77" s="4" t="s">
        <v>18</v>
      </c>
      <c r="H77" t="s">
        <v>30</v>
      </c>
      <c r="I77" s="3">
        <v>2</v>
      </c>
      <c r="J77" s="5">
        <v>1000</v>
      </c>
      <c r="K77" s="7">
        <v>2000</v>
      </c>
      <c r="L77" s="6">
        <v>45320</v>
      </c>
      <c r="M77" s="8" t="str">
        <f>IF(K77&gt;10000,"High",IF(K77&gt;5000,"Medium","Low"))</f>
        <v>Low</v>
      </c>
      <c r="N77" s="4" t="s">
        <v>244</v>
      </c>
      <c r="O77" s="3">
        <v>1</v>
      </c>
      <c r="P77" s="3">
        <v>2024</v>
      </c>
      <c r="T77" s="4"/>
      <c r="X77"/>
      <c r="Y77" s="3"/>
      <c r="AA77"/>
    </row>
    <row r="78" spans="1:27" x14ac:dyDescent="0.3">
      <c r="A78" s="3">
        <v>1143</v>
      </c>
      <c r="B78" s="4" t="s">
        <v>32</v>
      </c>
      <c r="C78" s="4" t="str">
        <f>IF(D78="","Unknown",IF(D78&lt;20,"Teen",IF(D78&lt;40,"Adult","Senior")))</f>
        <v>Adult</v>
      </c>
      <c r="D78" s="3">
        <v>30</v>
      </c>
      <c r="E78" s="3" t="s">
        <v>250</v>
      </c>
      <c r="F78" s="4" t="s">
        <v>40</v>
      </c>
      <c r="G78" s="4" t="s">
        <v>23</v>
      </c>
      <c r="H78" t="s">
        <v>30</v>
      </c>
      <c r="I78" s="3">
        <v>1</v>
      </c>
      <c r="J78" s="5">
        <v>1000</v>
      </c>
      <c r="K78" s="7">
        <v>1000</v>
      </c>
      <c r="L78" s="6">
        <v>45293</v>
      </c>
      <c r="M78" s="8" t="str">
        <f>IF(K78&gt;10000,"High",IF(K78&gt;5000,"Medium","Low"))</f>
        <v>Low</v>
      </c>
      <c r="N78" s="4" t="s">
        <v>242</v>
      </c>
      <c r="O78" s="3">
        <v>1</v>
      </c>
      <c r="P78" s="3">
        <v>2024</v>
      </c>
      <c r="T78" s="4"/>
      <c r="X78"/>
      <c r="Y78" s="3"/>
      <c r="AA78"/>
    </row>
    <row r="79" spans="1:27" x14ac:dyDescent="0.3">
      <c r="A79" s="3">
        <v>1145</v>
      </c>
      <c r="B79" s="4" t="s">
        <v>78</v>
      </c>
      <c r="C79" s="4" t="str">
        <f>IF(D79="","Unknown",IF(D79&lt;20,"Teen",IF(D79&lt;40,"Adult","Senior")))</f>
        <v>Adult</v>
      </c>
      <c r="D79" s="3">
        <v>30</v>
      </c>
      <c r="E79" s="3" t="s">
        <v>250</v>
      </c>
      <c r="F79" s="4" t="s">
        <v>17</v>
      </c>
      <c r="G79" s="4" t="s">
        <v>44</v>
      </c>
      <c r="H79" t="s">
        <v>36</v>
      </c>
      <c r="I79" s="3">
        <v>2</v>
      </c>
      <c r="J79" s="5">
        <v>1000</v>
      </c>
      <c r="K79" s="7">
        <v>2000</v>
      </c>
      <c r="L79" s="6">
        <v>45308</v>
      </c>
      <c r="M79" s="8" t="str">
        <f>IF(K79&gt;10000,"High",IF(K79&gt;5000,"Medium","Low"))</f>
        <v>Low</v>
      </c>
      <c r="N79" s="4" t="s">
        <v>241</v>
      </c>
      <c r="O79" s="3">
        <v>1</v>
      </c>
      <c r="P79" s="3">
        <v>2024</v>
      </c>
      <c r="T79" s="4"/>
      <c r="X79"/>
      <c r="Y79" s="3"/>
      <c r="AA79"/>
    </row>
    <row r="80" spans="1:27" x14ac:dyDescent="0.3">
      <c r="A80" s="3">
        <v>1146</v>
      </c>
      <c r="B80" s="4" t="s">
        <v>69</v>
      </c>
      <c r="C80" s="4" t="str">
        <f>IF(D80="","Unknown",IF(D80&lt;20,"Teen",IF(D80&lt;40,"Adult","Senior")))</f>
        <v>Adult</v>
      </c>
      <c r="D80" s="3">
        <v>30</v>
      </c>
      <c r="E80" s="3" t="s">
        <v>250</v>
      </c>
      <c r="F80" s="4" t="s">
        <v>17</v>
      </c>
      <c r="G80" s="4" t="s">
        <v>41</v>
      </c>
      <c r="H80" t="s">
        <v>36</v>
      </c>
      <c r="I80" s="3">
        <v>2</v>
      </c>
      <c r="J80" s="5">
        <v>12855</v>
      </c>
      <c r="K80" s="7">
        <v>25710</v>
      </c>
      <c r="L80" s="6">
        <v>45298</v>
      </c>
      <c r="M80" s="8" t="str">
        <f>IF(K80&gt;10000,"High",IF(K80&gt;5000,"Medium","Low"))</f>
        <v>High</v>
      </c>
      <c r="N80" s="4" t="s">
        <v>240</v>
      </c>
      <c r="O80" s="3">
        <v>1</v>
      </c>
      <c r="P80" s="3">
        <v>2024</v>
      </c>
      <c r="T80" s="4"/>
      <c r="X80"/>
      <c r="Y80" s="3"/>
      <c r="AA80"/>
    </row>
    <row r="81" spans="1:27" x14ac:dyDescent="0.3">
      <c r="A81" s="3">
        <v>1147</v>
      </c>
      <c r="B81" s="4" t="s">
        <v>35</v>
      </c>
      <c r="C81" s="4" t="str">
        <f>IF(D81="","Unknown",IF(D81&lt;20,"Teen",IF(D81&lt;40,"Adult","Senior")))</f>
        <v>Senior</v>
      </c>
      <c r="D81" s="3">
        <v>43</v>
      </c>
      <c r="E81" s="3" t="s">
        <v>249</v>
      </c>
      <c r="F81" s="4" t="s">
        <v>17</v>
      </c>
      <c r="G81" s="4" t="s">
        <v>41</v>
      </c>
      <c r="H81" t="s">
        <v>36</v>
      </c>
      <c r="I81" s="3">
        <v>3</v>
      </c>
      <c r="J81" s="5">
        <v>1000</v>
      </c>
      <c r="K81" s="7">
        <v>3000</v>
      </c>
      <c r="L81" s="6">
        <v>45301</v>
      </c>
      <c r="M81" s="8" t="str">
        <f>IF(K81&gt;10000,"High",IF(K81&gt;5000,"Medium","Low"))</f>
        <v>Low</v>
      </c>
      <c r="N81" s="4" t="s">
        <v>241</v>
      </c>
      <c r="O81" s="3">
        <v>1</v>
      </c>
      <c r="P81" s="3">
        <v>2024</v>
      </c>
      <c r="T81" s="4"/>
      <c r="X81"/>
      <c r="Y81" s="3"/>
      <c r="AA81"/>
    </row>
    <row r="82" spans="1:27" x14ac:dyDescent="0.3">
      <c r="A82" s="3">
        <v>1148</v>
      </c>
      <c r="B82" s="4" t="s">
        <v>59</v>
      </c>
      <c r="C82" s="4" t="str">
        <f>IF(D82="","Unknown",IF(D82&lt;20,"Teen",IF(D82&lt;40,"Adult","Senior")))</f>
        <v>Adult</v>
      </c>
      <c r="D82" s="3">
        <v>27</v>
      </c>
      <c r="E82" s="3" t="s">
        <v>250</v>
      </c>
      <c r="F82" s="4" t="s">
        <v>40</v>
      </c>
      <c r="G82" s="4" t="s">
        <v>55</v>
      </c>
      <c r="H82" t="s">
        <v>36</v>
      </c>
      <c r="I82" s="3">
        <v>2</v>
      </c>
      <c r="J82" s="5">
        <v>1000</v>
      </c>
      <c r="K82" s="7">
        <v>2000</v>
      </c>
      <c r="L82" s="6">
        <v>45320</v>
      </c>
      <c r="M82" s="8" t="str">
        <f>IF(K82&gt;10000,"High",IF(K82&gt;5000,"Medium","Low"))</f>
        <v>Low</v>
      </c>
      <c r="N82" s="4" t="s">
        <v>241</v>
      </c>
      <c r="O82" s="3">
        <v>1</v>
      </c>
      <c r="P82" s="3">
        <v>2024</v>
      </c>
      <c r="T82" s="4"/>
      <c r="X82"/>
      <c r="Y82" s="3"/>
      <c r="AA82"/>
    </row>
    <row r="83" spans="1:27" x14ac:dyDescent="0.3">
      <c r="A83" s="3">
        <v>1150</v>
      </c>
      <c r="B83" s="4" t="s">
        <v>38</v>
      </c>
      <c r="C83" s="4" t="str">
        <f>IF(D83="","Unknown",IF(D83&lt;20,"Teen",IF(D83&lt;40,"Adult","Senior")))</f>
        <v>Senior</v>
      </c>
      <c r="D83" s="3">
        <v>48</v>
      </c>
      <c r="E83" s="3" t="s">
        <v>249</v>
      </c>
      <c r="F83" s="4" t="s">
        <v>40</v>
      </c>
      <c r="G83" s="4" t="s">
        <v>51</v>
      </c>
      <c r="H83" t="s">
        <v>13</v>
      </c>
      <c r="I83" s="3">
        <v>2</v>
      </c>
      <c r="J83" s="5">
        <v>1000</v>
      </c>
      <c r="K83" s="7">
        <v>2000</v>
      </c>
      <c r="L83" s="6">
        <v>45294</v>
      </c>
      <c r="M83" s="8" t="str">
        <f>IF(K83&gt;10000,"High",IF(K83&gt;5000,"Medium","Low"))</f>
        <v>Low</v>
      </c>
      <c r="N83" s="4" t="s">
        <v>240</v>
      </c>
      <c r="O83" s="3">
        <v>1</v>
      </c>
      <c r="P83" s="3">
        <v>2024</v>
      </c>
      <c r="T83" s="4"/>
      <c r="X83"/>
      <c r="Y83" s="3"/>
      <c r="AA83"/>
    </row>
    <row r="84" spans="1:27" x14ac:dyDescent="0.3">
      <c r="A84" s="3">
        <v>1152</v>
      </c>
      <c r="B84" s="4" t="s">
        <v>57</v>
      </c>
      <c r="C84" s="4" t="str">
        <f>IF(D84="","Unknown",IF(D84&lt;20,"Teen",IF(D84&lt;40,"Adult","Senior")))</f>
        <v>Senior</v>
      </c>
      <c r="D84" s="3">
        <v>48</v>
      </c>
      <c r="E84" s="3" t="s">
        <v>249</v>
      </c>
      <c r="F84" s="4" t="s">
        <v>17</v>
      </c>
      <c r="G84" s="4" t="s">
        <v>23</v>
      </c>
      <c r="H84" t="s">
        <v>30</v>
      </c>
      <c r="I84" s="3">
        <v>2</v>
      </c>
      <c r="J84" s="5">
        <v>1000</v>
      </c>
      <c r="K84" s="7">
        <v>2000</v>
      </c>
      <c r="L84" s="6">
        <v>45319</v>
      </c>
      <c r="M84" s="8" t="str">
        <f>IF(K84&gt;10000,"High",IF(K84&gt;5000,"Medium","Low"))</f>
        <v>Low</v>
      </c>
      <c r="N84" s="4" t="s">
        <v>242</v>
      </c>
      <c r="O84" s="3">
        <v>1</v>
      </c>
      <c r="P84" s="3">
        <v>2024</v>
      </c>
      <c r="T84" s="4"/>
      <c r="X84"/>
      <c r="Y84" s="3"/>
      <c r="AA84"/>
    </row>
    <row r="85" spans="1:27" x14ac:dyDescent="0.3">
      <c r="A85" s="3">
        <v>1153</v>
      </c>
      <c r="B85" s="4" t="s">
        <v>78</v>
      </c>
      <c r="C85" s="4" t="str">
        <f>IF(D85="","Unknown",IF(D85&lt;20,"Teen",IF(D85&lt;40,"Adult","Senior")))</f>
        <v>Adult</v>
      </c>
      <c r="D85" s="3">
        <v>30</v>
      </c>
      <c r="E85" s="3" t="s">
        <v>250</v>
      </c>
      <c r="F85" s="4" t="s">
        <v>40</v>
      </c>
      <c r="G85" s="4" t="s">
        <v>51</v>
      </c>
      <c r="H85" t="s">
        <v>13</v>
      </c>
      <c r="I85" s="3">
        <v>2</v>
      </c>
      <c r="J85" s="5">
        <v>1000</v>
      </c>
      <c r="K85" s="7">
        <v>2000</v>
      </c>
      <c r="L85" s="6">
        <v>45302</v>
      </c>
      <c r="M85" s="8" t="str">
        <f>IF(K85&gt;10000,"High",IF(K85&gt;5000,"Medium","Low"))</f>
        <v>Low</v>
      </c>
      <c r="N85" s="4" t="s">
        <v>244</v>
      </c>
      <c r="O85" s="3">
        <v>1</v>
      </c>
      <c r="P85" s="3">
        <v>2024</v>
      </c>
      <c r="T85" s="4"/>
      <c r="X85"/>
      <c r="Y85" s="3"/>
      <c r="AA85"/>
    </row>
    <row r="86" spans="1:27" x14ac:dyDescent="0.3">
      <c r="A86" s="3">
        <v>1155</v>
      </c>
      <c r="B86" s="4" t="s">
        <v>32</v>
      </c>
      <c r="C86" s="4" t="str">
        <f>IF(D86="","Unknown",IF(D86&lt;20,"Teen",IF(D86&lt;40,"Adult","Senior")))</f>
        <v>Adult</v>
      </c>
      <c r="D86" s="3">
        <v>30</v>
      </c>
      <c r="E86" s="3" t="s">
        <v>250</v>
      </c>
      <c r="F86" s="4" t="s">
        <v>17</v>
      </c>
      <c r="G86" s="4" t="s">
        <v>44</v>
      </c>
      <c r="H86" t="s">
        <v>36</v>
      </c>
      <c r="I86" s="3">
        <v>2</v>
      </c>
      <c r="J86" s="5">
        <v>1000</v>
      </c>
      <c r="K86" s="7">
        <v>2000</v>
      </c>
      <c r="L86" s="6">
        <v>45318</v>
      </c>
      <c r="M86" s="8" t="str">
        <f>IF(K86&gt;10000,"High",IF(K86&gt;5000,"Medium","Low"))</f>
        <v>Low</v>
      </c>
      <c r="N86" s="4" t="s">
        <v>243</v>
      </c>
      <c r="O86" s="3">
        <v>1</v>
      </c>
      <c r="P86" s="3">
        <v>2024</v>
      </c>
      <c r="T86" s="4"/>
      <c r="X86"/>
      <c r="Y86" s="3"/>
      <c r="AA86"/>
    </row>
    <row r="87" spans="1:27" x14ac:dyDescent="0.3">
      <c r="A87" s="3">
        <v>1156</v>
      </c>
      <c r="B87" s="4" t="s">
        <v>59</v>
      </c>
      <c r="C87" s="4" t="str">
        <f>IF(D87="","Unknown",IF(D87&lt;20,"Teen",IF(D87&lt;40,"Adult","Senior")))</f>
        <v>Adult</v>
      </c>
      <c r="D87" s="3">
        <v>20</v>
      </c>
      <c r="E87" s="3" t="s">
        <v>251</v>
      </c>
      <c r="F87" s="4" t="s">
        <v>17</v>
      </c>
      <c r="G87" s="4" t="s">
        <v>55</v>
      </c>
      <c r="H87" t="s">
        <v>36</v>
      </c>
      <c r="I87" s="3">
        <v>2</v>
      </c>
      <c r="J87" s="5">
        <v>1000</v>
      </c>
      <c r="K87" s="7">
        <v>2000</v>
      </c>
      <c r="L87" s="6">
        <v>45321</v>
      </c>
      <c r="M87" s="8" t="str">
        <f>IF(K87&gt;10000,"High",IF(K87&gt;5000,"Medium","Low"))</f>
        <v>Low</v>
      </c>
      <c r="N87" s="4" t="s">
        <v>244</v>
      </c>
      <c r="O87" s="3">
        <v>1</v>
      </c>
      <c r="P87" s="3">
        <v>2024</v>
      </c>
      <c r="T87" s="4"/>
      <c r="X87"/>
      <c r="Y87" s="3"/>
      <c r="AA87"/>
    </row>
    <row r="88" spans="1:27" x14ac:dyDescent="0.3">
      <c r="A88" s="3">
        <v>1158</v>
      </c>
      <c r="B88" s="4" t="s">
        <v>32</v>
      </c>
      <c r="C88" s="4" t="str">
        <f>IF(D88="","Unknown",IF(D88&lt;20,"Teen",IF(D88&lt;40,"Adult","Senior")))</f>
        <v>Adult</v>
      </c>
      <c r="D88" s="3">
        <v>30</v>
      </c>
      <c r="E88" s="3" t="s">
        <v>250</v>
      </c>
      <c r="F88" s="4" t="s">
        <v>40</v>
      </c>
      <c r="G88" s="4" t="s">
        <v>12</v>
      </c>
      <c r="H88" t="s">
        <v>13</v>
      </c>
      <c r="I88" s="3">
        <v>2</v>
      </c>
      <c r="J88" s="5">
        <v>30958</v>
      </c>
      <c r="K88" s="7">
        <v>61916</v>
      </c>
      <c r="L88" s="6">
        <v>45315</v>
      </c>
      <c r="M88" s="8" t="str">
        <f>IF(K88&gt;10000,"High",IF(K88&gt;5000,"Medium","Low"))</f>
        <v>High</v>
      </c>
      <c r="N88" s="4" t="s">
        <v>242</v>
      </c>
      <c r="O88" s="3">
        <v>1</v>
      </c>
      <c r="P88" s="3">
        <v>2024</v>
      </c>
      <c r="T88" s="4"/>
      <c r="X88"/>
      <c r="Y88" s="3"/>
      <c r="AA88"/>
    </row>
    <row r="89" spans="1:27" x14ac:dyDescent="0.3">
      <c r="A89" s="3">
        <v>1159</v>
      </c>
      <c r="B89" s="4" t="s">
        <v>73</v>
      </c>
      <c r="C89" s="4" t="str">
        <f>IF(D89="","Unknown",IF(D89&lt;20,"Teen",IF(D89&lt;40,"Adult","Senior")))</f>
        <v>Senior</v>
      </c>
      <c r="D89" s="3">
        <v>47</v>
      </c>
      <c r="E89" s="3" t="s">
        <v>249</v>
      </c>
      <c r="F89" s="4" t="s">
        <v>40</v>
      </c>
      <c r="G89" s="4" t="s">
        <v>41</v>
      </c>
      <c r="H89" t="s">
        <v>36</v>
      </c>
      <c r="I89" s="3">
        <v>5</v>
      </c>
      <c r="J89" s="5">
        <v>1000</v>
      </c>
      <c r="K89" s="7">
        <v>5000</v>
      </c>
      <c r="L89" s="6">
        <v>45301</v>
      </c>
      <c r="M89" s="8" t="str">
        <f>IF(K89&gt;10000,"High",IF(K89&gt;5000,"Medium","Low"))</f>
        <v>Low</v>
      </c>
      <c r="N89" s="4" t="s">
        <v>241</v>
      </c>
      <c r="O89" s="3">
        <v>1</v>
      </c>
      <c r="P89" s="3">
        <v>2024</v>
      </c>
      <c r="T89" s="4"/>
      <c r="X89"/>
      <c r="Y89" s="3"/>
      <c r="AA89"/>
    </row>
    <row r="90" spans="1:27" x14ac:dyDescent="0.3">
      <c r="A90" s="3">
        <v>1160</v>
      </c>
      <c r="B90" s="4" t="s">
        <v>21</v>
      </c>
      <c r="C90" s="4" t="str">
        <f>IF(D90="","Unknown",IF(D90&lt;20,"Teen",IF(D90&lt;40,"Adult","Senior")))</f>
        <v>Adult</v>
      </c>
      <c r="D90" s="3">
        <v>24</v>
      </c>
      <c r="E90" s="3" t="s">
        <v>250</v>
      </c>
      <c r="F90" s="4" t="s">
        <v>40</v>
      </c>
      <c r="G90" s="4" t="s">
        <v>12</v>
      </c>
      <c r="H90" t="s">
        <v>13</v>
      </c>
      <c r="I90" s="3">
        <v>2</v>
      </c>
      <c r="J90" s="5">
        <v>1000</v>
      </c>
      <c r="K90" s="7">
        <v>2000</v>
      </c>
      <c r="L90" s="6">
        <v>45293</v>
      </c>
      <c r="M90" s="8" t="str">
        <f>IF(K90&gt;10000,"High",IF(K90&gt;5000,"Medium","Low"))</f>
        <v>Low</v>
      </c>
      <c r="N90" s="4" t="s">
        <v>244</v>
      </c>
      <c r="O90" s="3">
        <v>1</v>
      </c>
      <c r="P90" s="3">
        <v>2024</v>
      </c>
      <c r="T90" s="4"/>
      <c r="X90"/>
      <c r="Y90" s="3"/>
      <c r="AA90"/>
    </row>
    <row r="91" spans="1:27" x14ac:dyDescent="0.3">
      <c r="A91" s="3">
        <v>1161</v>
      </c>
      <c r="B91" s="4" t="s">
        <v>25</v>
      </c>
      <c r="C91" s="4" t="str">
        <f>IF(D91="","Unknown",IF(D91&lt;20,"Teen",IF(D91&lt;40,"Adult","Senior")))</f>
        <v>Adult</v>
      </c>
      <c r="D91" s="3">
        <v>30</v>
      </c>
      <c r="E91" s="3" t="s">
        <v>250</v>
      </c>
      <c r="F91" s="4" t="s">
        <v>17</v>
      </c>
      <c r="G91" s="4" t="s">
        <v>44</v>
      </c>
      <c r="H91" t="s">
        <v>36</v>
      </c>
      <c r="I91" s="3">
        <v>5</v>
      </c>
      <c r="J91" s="5">
        <v>1000</v>
      </c>
      <c r="K91" s="7">
        <v>5000</v>
      </c>
      <c r="L91" s="6">
        <v>45315</v>
      </c>
      <c r="M91" s="8" t="str">
        <f>IF(K91&gt;10000,"High",IF(K91&gt;5000,"Medium","Low"))</f>
        <v>Low</v>
      </c>
      <c r="N91" s="4" t="s">
        <v>240</v>
      </c>
      <c r="O91" s="3">
        <v>1</v>
      </c>
      <c r="P91" s="3">
        <v>2024</v>
      </c>
      <c r="T91" s="4"/>
      <c r="X91"/>
      <c r="Y91" s="3"/>
      <c r="AA91"/>
    </row>
    <row r="92" spans="1:27" x14ac:dyDescent="0.3">
      <c r="A92" s="3">
        <v>1164</v>
      </c>
      <c r="B92" s="4" t="s">
        <v>57</v>
      </c>
      <c r="C92" s="4" t="str">
        <f>IF(D92="","Unknown",IF(D92&lt;20,"Teen",IF(D92&lt;40,"Adult","Senior")))</f>
        <v>Adult</v>
      </c>
      <c r="D92" s="3">
        <v>30</v>
      </c>
      <c r="E92" s="3" t="s">
        <v>250</v>
      </c>
      <c r="F92" s="4" t="s">
        <v>40</v>
      </c>
      <c r="G92" s="4" t="s">
        <v>41</v>
      </c>
      <c r="H92" t="s">
        <v>36</v>
      </c>
      <c r="I92" s="3">
        <v>5</v>
      </c>
      <c r="J92" s="5">
        <v>1000</v>
      </c>
      <c r="K92" s="7">
        <v>5000</v>
      </c>
      <c r="L92" s="6">
        <v>45298</v>
      </c>
      <c r="M92" s="8" t="str">
        <f>IF(K92&gt;10000,"High",IF(K92&gt;5000,"Medium","Low"))</f>
        <v>Low</v>
      </c>
      <c r="N92" s="4" t="s">
        <v>240</v>
      </c>
      <c r="O92" s="3">
        <v>1</v>
      </c>
      <c r="P92" s="3">
        <v>2024</v>
      </c>
      <c r="T92" s="4"/>
      <c r="X92"/>
      <c r="Y92" s="3"/>
      <c r="AA92"/>
    </row>
    <row r="93" spans="1:27" x14ac:dyDescent="0.3">
      <c r="A93" s="3">
        <v>1166</v>
      </c>
      <c r="B93" s="4" t="s">
        <v>10</v>
      </c>
      <c r="C93" s="4" t="str">
        <f>IF(D93="","Unknown",IF(D93&lt;20,"Teen",IF(D93&lt;40,"Adult","Senior")))</f>
        <v>Adult</v>
      </c>
      <c r="D93" s="3">
        <v>28</v>
      </c>
      <c r="E93" s="3" t="s">
        <v>250</v>
      </c>
      <c r="F93" s="4" t="s">
        <v>40</v>
      </c>
      <c r="G93" s="4" t="s">
        <v>12</v>
      </c>
      <c r="H93" t="s">
        <v>13</v>
      </c>
      <c r="I93" s="3">
        <v>3</v>
      </c>
      <c r="J93" s="5">
        <v>1000</v>
      </c>
      <c r="K93" s="7">
        <v>3000</v>
      </c>
      <c r="L93" s="6">
        <v>45299</v>
      </c>
      <c r="M93" s="8" t="str">
        <f>IF(K93&gt;10000,"High",IF(K93&gt;5000,"Medium","Low"))</f>
        <v>Low</v>
      </c>
      <c r="N93" s="4" t="s">
        <v>243</v>
      </c>
      <c r="O93" s="3">
        <v>1</v>
      </c>
      <c r="P93" s="3">
        <v>2024</v>
      </c>
      <c r="T93" s="4"/>
      <c r="X93"/>
      <c r="Y93" s="3"/>
      <c r="AA93"/>
    </row>
    <row r="94" spans="1:27" x14ac:dyDescent="0.3">
      <c r="A94" s="3">
        <v>1168</v>
      </c>
      <c r="B94" s="4" t="s">
        <v>78</v>
      </c>
      <c r="C94" s="4" t="str">
        <f>IF(D94="","Unknown",IF(D94&lt;20,"Teen",IF(D94&lt;40,"Adult","Senior")))</f>
        <v>Adult</v>
      </c>
      <c r="D94" s="3">
        <v>30</v>
      </c>
      <c r="E94" s="3" t="s">
        <v>250</v>
      </c>
      <c r="F94" s="4" t="s">
        <v>17</v>
      </c>
      <c r="G94" s="4" t="s">
        <v>18</v>
      </c>
      <c r="H94" t="s">
        <v>30</v>
      </c>
      <c r="I94" s="3">
        <v>2</v>
      </c>
      <c r="J94" s="5">
        <v>1000</v>
      </c>
      <c r="K94" s="7">
        <v>2000</v>
      </c>
      <c r="L94" s="6">
        <v>45319</v>
      </c>
      <c r="M94" s="8" t="str">
        <f>IF(K94&gt;10000,"High",IF(K94&gt;5000,"Medium","Low"))</f>
        <v>Low</v>
      </c>
      <c r="N94" s="4" t="s">
        <v>243</v>
      </c>
      <c r="O94" s="3">
        <v>1</v>
      </c>
      <c r="P94" s="3">
        <v>2024</v>
      </c>
      <c r="T94" s="4"/>
      <c r="X94"/>
      <c r="Y94" s="3"/>
      <c r="AA94"/>
    </row>
    <row r="95" spans="1:27" x14ac:dyDescent="0.3">
      <c r="A95" s="3">
        <v>1170</v>
      </c>
      <c r="B95" s="4" t="s">
        <v>59</v>
      </c>
      <c r="C95" s="4" t="str">
        <f>IF(D95="","Unknown",IF(D95&lt;20,"Teen",IF(D95&lt;40,"Adult","Senior")))</f>
        <v>Adult</v>
      </c>
      <c r="D95" s="3">
        <v>25</v>
      </c>
      <c r="E95" s="3" t="s">
        <v>250</v>
      </c>
      <c r="F95" s="4" t="s">
        <v>40</v>
      </c>
      <c r="G95" s="4" t="s">
        <v>41</v>
      </c>
      <c r="H95" t="s">
        <v>36</v>
      </c>
      <c r="I95" s="3">
        <v>5</v>
      </c>
      <c r="J95" s="5">
        <v>1000</v>
      </c>
      <c r="K95" s="7">
        <v>5000</v>
      </c>
      <c r="L95" s="6">
        <v>45308</v>
      </c>
      <c r="M95" s="8" t="str">
        <f>IF(K95&gt;10000,"High",IF(K95&gt;5000,"Medium","Low"))</f>
        <v>Low</v>
      </c>
      <c r="N95" s="4" t="s">
        <v>243</v>
      </c>
      <c r="O95" s="3">
        <v>1</v>
      </c>
      <c r="P95" s="3">
        <v>2024</v>
      </c>
      <c r="T95" s="4"/>
      <c r="X95"/>
      <c r="Y95" s="3"/>
      <c r="AA95"/>
    </row>
    <row r="96" spans="1:27" x14ac:dyDescent="0.3">
      <c r="A96" s="3">
        <v>1173</v>
      </c>
      <c r="B96" s="4" t="s">
        <v>48</v>
      </c>
      <c r="C96" s="4" t="str">
        <f>IF(D96="","Unknown",IF(D96&lt;20,"Teen",IF(D96&lt;40,"Adult","Senior")))</f>
        <v>Adult</v>
      </c>
      <c r="D96" s="3">
        <v>38</v>
      </c>
      <c r="E96" s="3" t="s">
        <v>249</v>
      </c>
      <c r="F96" s="4" t="s">
        <v>40</v>
      </c>
      <c r="G96" s="4" t="s">
        <v>12</v>
      </c>
      <c r="H96" t="s">
        <v>13</v>
      </c>
      <c r="I96" s="3">
        <v>2</v>
      </c>
      <c r="J96" s="5">
        <v>1000</v>
      </c>
      <c r="K96" s="7">
        <v>2000</v>
      </c>
      <c r="L96" s="6">
        <v>45302</v>
      </c>
      <c r="M96" s="8" t="str">
        <f>IF(K96&gt;10000,"High",IF(K96&gt;5000,"Medium","Low"))</f>
        <v>Low</v>
      </c>
      <c r="N96" s="4" t="s">
        <v>240</v>
      </c>
      <c r="O96" s="3">
        <v>1</v>
      </c>
      <c r="P96" s="3">
        <v>2024</v>
      </c>
      <c r="T96" s="4"/>
      <c r="X96"/>
      <c r="Y96" s="3"/>
      <c r="AA96"/>
    </row>
    <row r="97" spans="1:27" x14ac:dyDescent="0.3">
      <c r="A97" s="3">
        <v>1175</v>
      </c>
      <c r="B97" s="4" t="s">
        <v>62</v>
      </c>
      <c r="C97" s="4" t="str">
        <f>IF(D97="","Unknown",IF(D97&lt;20,"Teen",IF(D97&lt;40,"Adult","Senior")))</f>
        <v>Adult</v>
      </c>
      <c r="D97" s="3">
        <v>30</v>
      </c>
      <c r="E97" s="3" t="s">
        <v>250</v>
      </c>
      <c r="F97" s="4" t="s">
        <v>17</v>
      </c>
      <c r="G97" s="4" t="s">
        <v>23</v>
      </c>
      <c r="H97" t="s">
        <v>30</v>
      </c>
      <c r="I97" s="3">
        <v>4</v>
      </c>
      <c r="J97" s="5">
        <v>1000</v>
      </c>
      <c r="K97" s="7">
        <v>4000</v>
      </c>
      <c r="L97" s="6">
        <v>45315</v>
      </c>
      <c r="M97" s="8" t="str">
        <f>IF(K97&gt;10000,"High",IF(K97&gt;5000,"Medium","Low"))</f>
        <v>Low</v>
      </c>
      <c r="N97" s="4" t="s">
        <v>243</v>
      </c>
      <c r="O97" s="3">
        <v>1</v>
      </c>
      <c r="P97" s="3">
        <v>2024</v>
      </c>
      <c r="T97" s="4"/>
      <c r="X97"/>
      <c r="Y97" s="3"/>
      <c r="AA97"/>
    </row>
    <row r="98" spans="1:27" x14ac:dyDescent="0.3">
      <c r="A98" s="3">
        <v>1177</v>
      </c>
      <c r="B98" s="4" t="s">
        <v>38</v>
      </c>
      <c r="C98" s="4" t="str">
        <f>IF(D98="","Unknown",IF(D98&lt;20,"Teen",IF(D98&lt;40,"Adult","Senior")))</f>
        <v>Adult</v>
      </c>
      <c r="D98" s="3">
        <v>30</v>
      </c>
      <c r="E98" s="3" t="s">
        <v>250</v>
      </c>
      <c r="F98" s="4" t="s">
        <v>40</v>
      </c>
      <c r="G98" s="4" t="s">
        <v>18</v>
      </c>
      <c r="H98" t="s">
        <v>30</v>
      </c>
      <c r="I98" s="3">
        <v>5</v>
      </c>
      <c r="J98" s="5">
        <v>1000</v>
      </c>
      <c r="K98" s="7">
        <v>5000</v>
      </c>
      <c r="L98" s="6">
        <v>45322</v>
      </c>
      <c r="M98" s="8" t="str">
        <f>IF(K98&gt;10000,"High",IF(K98&gt;5000,"Medium","Low"))</f>
        <v>Low</v>
      </c>
      <c r="N98" s="4" t="s">
        <v>240</v>
      </c>
      <c r="O98" s="3">
        <v>1</v>
      </c>
      <c r="P98" s="3">
        <v>2024</v>
      </c>
      <c r="T98" s="4"/>
      <c r="X98"/>
      <c r="Y98" s="3"/>
      <c r="AA98"/>
    </row>
    <row r="99" spans="1:27" x14ac:dyDescent="0.3">
      <c r="A99" s="3">
        <v>1179</v>
      </c>
      <c r="B99" s="4" t="s">
        <v>64</v>
      </c>
      <c r="C99" s="4" t="str">
        <f>IF(D99="","Unknown",IF(D99&lt;20,"Teen",IF(D99&lt;40,"Adult","Senior")))</f>
        <v>Adult</v>
      </c>
      <c r="D99" s="3">
        <v>30</v>
      </c>
      <c r="E99" s="3" t="s">
        <v>250</v>
      </c>
      <c r="F99" s="4" t="s">
        <v>40</v>
      </c>
      <c r="G99" s="4" t="s">
        <v>23</v>
      </c>
      <c r="H99" t="s">
        <v>30</v>
      </c>
      <c r="I99" s="3">
        <v>4</v>
      </c>
      <c r="J99" s="5">
        <v>1000</v>
      </c>
      <c r="K99" s="7">
        <v>4000</v>
      </c>
      <c r="L99" s="6">
        <v>45318</v>
      </c>
      <c r="M99" s="8" t="str">
        <f>IF(K99&gt;10000,"High",IF(K99&gt;5000,"Medium","Low"))</f>
        <v>Low</v>
      </c>
      <c r="N99" s="4" t="s">
        <v>243</v>
      </c>
      <c r="O99" s="3">
        <v>1</v>
      </c>
      <c r="P99" s="3">
        <v>2024</v>
      </c>
      <c r="T99" s="4"/>
      <c r="X99"/>
      <c r="Y99" s="3"/>
      <c r="AA99"/>
    </row>
    <row r="100" spans="1:27" x14ac:dyDescent="0.3">
      <c r="A100" s="3">
        <v>1184</v>
      </c>
      <c r="B100" s="4" t="s">
        <v>68</v>
      </c>
      <c r="C100" s="4" t="str">
        <f>IF(D100="","Unknown",IF(D100&lt;20,"Teen",IF(D100&lt;40,"Adult","Senior")))</f>
        <v>Adult</v>
      </c>
      <c r="D100" s="3">
        <v>30</v>
      </c>
      <c r="E100" s="3" t="s">
        <v>250</v>
      </c>
      <c r="F100" s="4" t="s">
        <v>40</v>
      </c>
      <c r="G100" s="4" t="s">
        <v>55</v>
      </c>
      <c r="H100" t="s">
        <v>36</v>
      </c>
      <c r="I100" s="3">
        <v>3</v>
      </c>
      <c r="J100" s="5">
        <v>44402</v>
      </c>
      <c r="K100" s="7">
        <v>133206</v>
      </c>
      <c r="L100" s="6">
        <v>45302</v>
      </c>
      <c r="M100" s="8" t="str">
        <f>IF(K100&gt;10000,"High",IF(K100&gt;5000,"Medium","Low"))</f>
        <v>High</v>
      </c>
      <c r="N100" s="4" t="s">
        <v>241</v>
      </c>
      <c r="O100" s="3">
        <v>1</v>
      </c>
      <c r="P100" s="3">
        <v>2024</v>
      </c>
      <c r="T100" s="4"/>
      <c r="X100"/>
      <c r="Y100" s="3"/>
      <c r="AA100"/>
    </row>
    <row r="101" spans="1:27" x14ac:dyDescent="0.3">
      <c r="A101" s="3">
        <v>1186</v>
      </c>
      <c r="B101" s="4" t="s">
        <v>78</v>
      </c>
      <c r="C101" s="4" t="str">
        <f>IF(D101="","Unknown",IF(D101&lt;20,"Teen",IF(D101&lt;40,"Adult","Senior")))</f>
        <v>Adult</v>
      </c>
      <c r="D101" s="3">
        <v>30</v>
      </c>
      <c r="E101" s="3" t="s">
        <v>250</v>
      </c>
      <c r="F101" s="4" t="s">
        <v>40</v>
      </c>
      <c r="G101" s="4" t="s">
        <v>44</v>
      </c>
      <c r="H101" t="s">
        <v>36</v>
      </c>
      <c r="I101" s="3">
        <v>5</v>
      </c>
      <c r="J101" s="5">
        <v>1000</v>
      </c>
      <c r="K101" s="7">
        <v>5000</v>
      </c>
      <c r="L101" s="6">
        <v>45313</v>
      </c>
      <c r="M101" s="8" t="str">
        <f>IF(K101&gt;10000,"High",IF(K101&gt;5000,"Medium","Low"))</f>
        <v>Low</v>
      </c>
      <c r="N101" s="4" t="s">
        <v>244</v>
      </c>
      <c r="O101" s="3">
        <v>1</v>
      </c>
      <c r="P101" s="3">
        <v>2024</v>
      </c>
      <c r="T101" s="4"/>
      <c r="X101"/>
      <c r="Y101" s="3"/>
      <c r="AA101"/>
    </row>
    <row r="102" spans="1:27" x14ac:dyDescent="0.3">
      <c r="A102" s="3">
        <v>1188</v>
      </c>
      <c r="B102" s="4" t="s">
        <v>59</v>
      </c>
      <c r="C102" s="4" t="str">
        <f>IF(D102="","Unknown",IF(D102&lt;20,"Teen",IF(D102&lt;40,"Adult","Senior")))</f>
        <v>Teen</v>
      </c>
      <c r="D102" s="3">
        <v>19</v>
      </c>
      <c r="E102" s="3" t="s">
        <v>251</v>
      </c>
      <c r="F102" s="4" t="s">
        <v>40</v>
      </c>
      <c r="G102" s="4" t="s">
        <v>27</v>
      </c>
      <c r="H102" t="s">
        <v>13</v>
      </c>
      <c r="I102" s="3">
        <v>2</v>
      </c>
      <c r="J102" s="5">
        <v>1000</v>
      </c>
      <c r="K102" s="7">
        <v>2000</v>
      </c>
      <c r="L102" s="6">
        <v>45313</v>
      </c>
      <c r="M102" s="8" t="str">
        <f>IF(K102&gt;10000,"High",IF(K102&gt;5000,"Medium","Low"))</f>
        <v>Low</v>
      </c>
      <c r="N102" s="4" t="s">
        <v>241</v>
      </c>
      <c r="O102" s="3">
        <v>1</v>
      </c>
      <c r="P102" s="3">
        <v>2024</v>
      </c>
      <c r="T102" s="4"/>
      <c r="X102"/>
      <c r="Y102" s="3"/>
      <c r="AA102"/>
    </row>
    <row r="103" spans="1:27" x14ac:dyDescent="0.3">
      <c r="A103" s="3">
        <v>1189</v>
      </c>
      <c r="B103" s="4" t="s">
        <v>64</v>
      </c>
      <c r="C103" s="4" t="str">
        <f>IF(D103="","Unknown",IF(D103&lt;20,"Teen",IF(D103&lt;40,"Adult","Senior")))</f>
        <v>Adult</v>
      </c>
      <c r="D103" s="3">
        <v>30</v>
      </c>
      <c r="E103" s="3" t="s">
        <v>250</v>
      </c>
      <c r="F103" s="4" t="s">
        <v>40</v>
      </c>
      <c r="G103" s="4" t="s">
        <v>51</v>
      </c>
      <c r="H103" t="s">
        <v>13</v>
      </c>
      <c r="I103" s="3">
        <v>2</v>
      </c>
      <c r="J103" s="5">
        <v>12597</v>
      </c>
      <c r="K103" s="7">
        <v>25194</v>
      </c>
      <c r="L103" s="6">
        <v>45304</v>
      </c>
      <c r="M103" s="8" t="str">
        <f>IF(K103&gt;10000,"High",IF(K103&gt;5000,"Medium","Low"))</f>
        <v>High</v>
      </c>
      <c r="N103" s="4" t="s">
        <v>243</v>
      </c>
      <c r="O103" s="3">
        <v>1</v>
      </c>
      <c r="P103" s="3">
        <v>2024</v>
      </c>
      <c r="T103" s="4"/>
      <c r="X103"/>
      <c r="Y103" s="3"/>
      <c r="AA103"/>
    </row>
    <row r="104" spans="1:27" x14ac:dyDescent="0.3">
      <c r="A104" s="3">
        <v>1191</v>
      </c>
      <c r="B104" s="4" t="s">
        <v>62</v>
      </c>
      <c r="C104" s="4" t="str">
        <f>IF(D104="","Unknown",IF(D104&lt;20,"Teen",IF(D104&lt;40,"Adult","Senior")))</f>
        <v>Senior</v>
      </c>
      <c r="D104" s="3">
        <v>46</v>
      </c>
      <c r="E104" s="3" t="s">
        <v>249</v>
      </c>
      <c r="F104" s="4" t="s">
        <v>17</v>
      </c>
      <c r="G104" s="4" t="s">
        <v>27</v>
      </c>
      <c r="H104" t="s">
        <v>13</v>
      </c>
      <c r="I104" s="3">
        <v>2</v>
      </c>
      <c r="J104" s="5">
        <v>1000</v>
      </c>
      <c r="K104" s="7">
        <v>2000</v>
      </c>
      <c r="L104" s="6">
        <v>45310</v>
      </c>
      <c r="M104" s="8" t="str">
        <f>IF(K104&gt;10000,"High",IF(K104&gt;5000,"Medium","Low"))</f>
        <v>Low</v>
      </c>
      <c r="N104" s="4" t="s">
        <v>244</v>
      </c>
      <c r="O104" s="3">
        <v>1</v>
      </c>
      <c r="P104" s="3">
        <v>2024</v>
      </c>
      <c r="T104" s="4"/>
      <c r="X104"/>
      <c r="Y104" s="3"/>
      <c r="AA104"/>
    </row>
    <row r="105" spans="1:27" x14ac:dyDescent="0.3">
      <c r="A105" s="3">
        <v>1193</v>
      </c>
      <c r="B105" s="4" t="s">
        <v>16</v>
      </c>
      <c r="C105" s="4" t="str">
        <f>IF(D105="","Unknown",IF(D105&lt;20,"Teen",IF(D105&lt;40,"Adult","Senior")))</f>
        <v>Adult</v>
      </c>
      <c r="D105" s="3">
        <v>30</v>
      </c>
      <c r="E105" s="3" t="s">
        <v>250</v>
      </c>
      <c r="F105" s="4" t="s">
        <v>40</v>
      </c>
      <c r="G105" s="4" t="s">
        <v>18</v>
      </c>
      <c r="H105" t="s">
        <v>30</v>
      </c>
      <c r="I105" s="3">
        <v>1</v>
      </c>
      <c r="J105" s="5">
        <v>8970</v>
      </c>
      <c r="K105" s="7">
        <v>8970</v>
      </c>
      <c r="L105" s="6">
        <v>45308</v>
      </c>
      <c r="M105" s="8" t="str">
        <f>IF(K105&gt;10000,"High",IF(K105&gt;5000,"Medium","Low"))</f>
        <v>Medium</v>
      </c>
      <c r="N105" s="4" t="s">
        <v>244</v>
      </c>
      <c r="O105" s="3">
        <v>1</v>
      </c>
      <c r="P105" s="3">
        <v>2024</v>
      </c>
      <c r="T105" s="4"/>
      <c r="X105"/>
      <c r="Y105" s="3"/>
      <c r="AA105"/>
    </row>
    <row r="106" spans="1:27" x14ac:dyDescent="0.3">
      <c r="A106" s="3">
        <v>1194</v>
      </c>
      <c r="B106" s="4" t="s">
        <v>68</v>
      </c>
      <c r="C106" s="4" t="str">
        <f>IF(D106="","Unknown",IF(D106&lt;20,"Teen",IF(D106&lt;40,"Adult","Senior")))</f>
        <v>Adult</v>
      </c>
      <c r="D106" s="3">
        <v>30</v>
      </c>
      <c r="E106" s="3" t="s">
        <v>250</v>
      </c>
      <c r="F106" s="4" t="s">
        <v>17</v>
      </c>
      <c r="G106" s="4" t="s">
        <v>27</v>
      </c>
      <c r="H106" t="s">
        <v>13</v>
      </c>
      <c r="I106" s="3">
        <v>2</v>
      </c>
      <c r="J106" s="5">
        <v>8285</v>
      </c>
      <c r="K106" s="7">
        <v>16570</v>
      </c>
      <c r="L106" s="6">
        <v>45294</v>
      </c>
      <c r="M106" s="8" t="str">
        <f>IF(K106&gt;10000,"High",IF(K106&gt;5000,"Medium","Low"))</f>
        <v>High</v>
      </c>
      <c r="N106" s="4" t="s">
        <v>242</v>
      </c>
      <c r="O106" s="3">
        <v>1</v>
      </c>
      <c r="P106" s="3">
        <v>2024</v>
      </c>
      <c r="T106" s="4"/>
      <c r="X106"/>
      <c r="Y106" s="3"/>
      <c r="AA106"/>
    </row>
    <row r="107" spans="1:27" x14ac:dyDescent="0.3">
      <c r="A107" s="3">
        <v>1195</v>
      </c>
      <c r="B107" s="4" t="s">
        <v>54</v>
      </c>
      <c r="C107" s="4" t="str">
        <f>IF(D107="","Unknown",IF(D107&lt;20,"Teen",IF(D107&lt;40,"Adult","Senior")))</f>
        <v>Adult</v>
      </c>
      <c r="D107" s="3">
        <v>30</v>
      </c>
      <c r="E107" s="3" t="s">
        <v>250</v>
      </c>
      <c r="F107" s="4" t="s">
        <v>40</v>
      </c>
      <c r="G107" s="4" t="s">
        <v>55</v>
      </c>
      <c r="H107" t="s">
        <v>36</v>
      </c>
      <c r="I107" s="3">
        <v>2</v>
      </c>
      <c r="J107" s="5">
        <v>1000</v>
      </c>
      <c r="K107" s="7">
        <v>2000</v>
      </c>
      <c r="L107" s="6">
        <v>45313</v>
      </c>
      <c r="M107" s="8" t="str">
        <f>IF(K107&gt;10000,"High",IF(K107&gt;5000,"Medium","Low"))</f>
        <v>Low</v>
      </c>
      <c r="N107" s="4" t="s">
        <v>242</v>
      </c>
      <c r="O107" s="3">
        <v>1</v>
      </c>
      <c r="P107" s="3">
        <v>2024</v>
      </c>
      <c r="T107" s="4"/>
      <c r="X107"/>
      <c r="Y107" s="3"/>
      <c r="AA107"/>
    </row>
    <row r="108" spans="1:27" x14ac:dyDescent="0.3">
      <c r="A108" s="3">
        <v>1199</v>
      </c>
      <c r="B108" s="4" t="s">
        <v>38</v>
      </c>
      <c r="C108" s="4" t="str">
        <f>IF(D108="","Unknown",IF(D108&lt;20,"Teen",IF(D108&lt;40,"Adult","Senior")))</f>
        <v>Adult</v>
      </c>
      <c r="D108" s="3">
        <v>35</v>
      </c>
      <c r="E108" s="3" t="s">
        <v>249</v>
      </c>
      <c r="F108" s="4" t="s">
        <v>40</v>
      </c>
      <c r="G108" s="4" t="s">
        <v>12</v>
      </c>
      <c r="H108" t="s">
        <v>13</v>
      </c>
      <c r="I108" s="3">
        <v>4</v>
      </c>
      <c r="J108" s="5">
        <v>1000</v>
      </c>
      <c r="K108" s="7">
        <v>4000</v>
      </c>
      <c r="L108" s="6">
        <v>45304</v>
      </c>
      <c r="M108" s="8" t="str">
        <f>IF(K108&gt;10000,"High",IF(K108&gt;5000,"Medium","Low"))</f>
        <v>Low</v>
      </c>
      <c r="N108" s="4" t="s">
        <v>241</v>
      </c>
      <c r="O108" s="3">
        <v>1</v>
      </c>
      <c r="P108" s="3">
        <v>2024</v>
      </c>
      <c r="T108" s="4"/>
      <c r="X108"/>
      <c r="Y108" s="3"/>
      <c r="AA108"/>
    </row>
    <row r="109" spans="1:27" x14ac:dyDescent="0.3">
      <c r="A109" s="3">
        <v>1202</v>
      </c>
      <c r="B109" s="4" t="s">
        <v>78</v>
      </c>
      <c r="C109" s="4" t="str">
        <f>IF(D109="","Unknown",IF(D109&lt;20,"Teen",IF(D109&lt;40,"Adult","Senior")))</f>
        <v>Adult</v>
      </c>
      <c r="D109" s="3">
        <v>30</v>
      </c>
      <c r="E109" s="3" t="s">
        <v>250</v>
      </c>
      <c r="F109" s="4" t="s">
        <v>40</v>
      </c>
      <c r="G109" s="4" t="s">
        <v>18</v>
      </c>
      <c r="H109" t="s">
        <v>30</v>
      </c>
      <c r="I109" s="3">
        <v>5</v>
      </c>
      <c r="J109" s="5">
        <v>1000</v>
      </c>
      <c r="K109" s="7">
        <v>5000</v>
      </c>
      <c r="L109" s="6">
        <v>45306</v>
      </c>
      <c r="M109" s="8" t="str">
        <f>IF(K109&gt;10000,"High",IF(K109&gt;5000,"Medium","Low"))</f>
        <v>Low</v>
      </c>
      <c r="N109" s="4" t="s">
        <v>240</v>
      </c>
      <c r="O109" s="3">
        <v>1</v>
      </c>
      <c r="P109" s="3">
        <v>2024</v>
      </c>
      <c r="T109" s="4"/>
      <c r="X109"/>
      <c r="Y109" s="3"/>
      <c r="AA109"/>
    </row>
    <row r="110" spans="1:27" x14ac:dyDescent="0.3">
      <c r="A110" s="3">
        <v>1203</v>
      </c>
      <c r="B110" s="4" t="s">
        <v>68</v>
      </c>
      <c r="C110" s="4" t="str">
        <f>IF(D110="","Unknown",IF(D110&lt;20,"Teen",IF(D110&lt;40,"Adult","Senior")))</f>
        <v>Adult</v>
      </c>
      <c r="D110" s="3">
        <v>30</v>
      </c>
      <c r="E110" s="3" t="s">
        <v>250</v>
      </c>
      <c r="F110" s="4" t="s">
        <v>40</v>
      </c>
      <c r="G110" s="4" t="s">
        <v>23</v>
      </c>
      <c r="H110" t="s">
        <v>30</v>
      </c>
      <c r="I110" s="3">
        <v>2</v>
      </c>
      <c r="J110" s="5">
        <v>1000</v>
      </c>
      <c r="K110" s="7">
        <v>2000</v>
      </c>
      <c r="L110" s="6">
        <v>45308</v>
      </c>
      <c r="M110" s="8" t="str">
        <f>IF(K110&gt;10000,"High",IF(K110&gt;5000,"Medium","Low"))</f>
        <v>Low</v>
      </c>
      <c r="N110" s="4" t="s">
        <v>240</v>
      </c>
      <c r="O110" s="3">
        <v>1</v>
      </c>
      <c r="P110" s="3">
        <v>2024</v>
      </c>
      <c r="T110" s="4"/>
      <c r="X110"/>
      <c r="Y110" s="3"/>
      <c r="AA110"/>
    </row>
    <row r="111" spans="1:27" x14ac:dyDescent="0.3">
      <c r="A111" s="3">
        <v>1205</v>
      </c>
      <c r="B111" s="4" t="s">
        <v>68</v>
      </c>
      <c r="C111" s="4" t="str">
        <f>IF(D111="","Unknown",IF(D111&lt;20,"Teen",IF(D111&lt;40,"Adult","Senior")))</f>
        <v>Adult</v>
      </c>
      <c r="D111" s="3">
        <v>22</v>
      </c>
      <c r="E111" s="3" t="s">
        <v>250</v>
      </c>
      <c r="F111" s="4" t="s">
        <v>40</v>
      </c>
      <c r="G111" s="4" t="s">
        <v>44</v>
      </c>
      <c r="H111" t="s">
        <v>36</v>
      </c>
      <c r="I111" s="3">
        <v>2</v>
      </c>
      <c r="J111" s="5">
        <v>35110</v>
      </c>
      <c r="K111" s="7">
        <v>70220</v>
      </c>
      <c r="L111" s="6">
        <v>45293</v>
      </c>
      <c r="M111" s="8" t="str">
        <f>IF(K111&gt;10000,"High",IF(K111&gt;5000,"Medium","Low"))</f>
        <v>High</v>
      </c>
      <c r="N111" s="4" t="s">
        <v>243</v>
      </c>
      <c r="O111" s="3">
        <v>1</v>
      </c>
      <c r="P111" s="3">
        <v>2024</v>
      </c>
      <c r="T111" s="4"/>
      <c r="X111"/>
      <c r="Y111" s="3"/>
      <c r="AA111"/>
    </row>
    <row r="112" spans="1:27" x14ac:dyDescent="0.3">
      <c r="A112" s="3">
        <v>1208</v>
      </c>
      <c r="B112" s="4" t="s">
        <v>32</v>
      </c>
      <c r="C112" s="4" t="str">
        <f>IF(D112="","Unknown",IF(D112&lt;20,"Teen",IF(D112&lt;40,"Adult","Senior")))</f>
        <v>Adult</v>
      </c>
      <c r="D112" s="3">
        <v>34</v>
      </c>
      <c r="E112" s="3" t="s">
        <v>249</v>
      </c>
      <c r="F112" s="4" t="s">
        <v>17</v>
      </c>
      <c r="G112" s="4" t="s">
        <v>51</v>
      </c>
      <c r="H112" t="s">
        <v>13</v>
      </c>
      <c r="I112" s="3">
        <v>2</v>
      </c>
      <c r="J112" s="5">
        <v>1000</v>
      </c>
      <c r="K112" s="7">
        <v>2000</v>
      </c>
      <c r="L112" s="6">
        <v>45299</v>
      </c>
      <c r="M112" s="8" t="str">
        <f>IF(K112&gt;10000,"High",IF(K112&gt;5000,"Medium","Low"))</f>
        <v>Low</v>
      </c>
      <c r="N112" s="4" t="s">
        <v>243</v>
      </c>
      <c r="O112" s="3">
        <v>1</v>
      </c>
      <c r="P112" s="3">
        <v>2024</v>
      </c>
      <c r="T112" s="4"/>
      <c r="X112"/>
      <c r="Y112" s="3"/>
      <c r="AA112"/>
    </row>
    <row r="113" spans="1:27" x14ac:dyDescent="0.3">
      <c r="A113" s="3">
        <v>1213</v>
      </c>
      <c r="B113" s="4" t="s">
        <v>25</v>
      </c>
      <c r="C113" s="4" t="str">
        <f>IF(D113="","Unknown",IF(D113&lt;20,"Teen",IF(D113&lt;40,"Adult","Senior")))</f>
        <v>Adult</v>
      </c>
      <c r="D113" s="3">
        <v>30</v>
      </c>
      <c r="E113" s="3" t="s">
        <v>250</v>
      </c>
      <c r="F113" s="4" t="s">
        <v>40</v>
      </c>
      <c r="G113" s="4" t="s">
        <v>44</v>
      </c>
      <c r="H113" t="s">
        <v>36</v>
      </c>
      <c r="I113" s="3">
        <v>4</v>
      </c>
      <c r="J113" s="5">
        <v>1000</v>
      </c>
      <c r="K113" s="7">
        <v>4000</v>
      </c>
      <c r="L113" s="6">
        <v>45314</v>
      </c>
      <c r="M113" s="8" t="str">
        <f>IF(K113&gt;10000,"High",IF(K113&gt;5000,"Medium","Low"))</f>
        <v>Low</v>
      </c>
      <c r="N113" s="4" t="s">
        <v>240</v>
      </c>
      <c r="O113" s="3">
        <v>1</v>
      </c>
      <c r="P113" s="3">
        <v>2024</v>
      </c>
      <c r="T113" s="4"/>
      <c r="X113"/>
      <c r="Y113" s="3"/>
      <c r="AA113"/>
    </row>
    <row r="114" spans="1:27" x14ac:dyDescent="0.3">
      <c r="A114" s="3">
        <v>1214</v>
      </c>
      <c r="B114" s="4" t="s">
        <v>78</v>
      </c>
      <c r="C114" s="4" t="str">
        <f>IF(D114="","Unknown",IF(D114&lt;20,"Teen",IF(D114&lt;40,"Adult","Senior")))</f>
        <v>Adult</v>
      </c>
      <c r="D114" s="3">
        <v>35</v>
      </c>
      <c r="E114" s="3" t="s">
        <v>249</v>
      </c>
      <c r="F114" s="4" t="s">
        <v>17</v>
      </c>
      <c r="G114" s="4" t="s">
        <v>51</v>
      </c>
      <c r="H114" t="s">
        <v>13</v>
      </c>
      <c r="I114" s="3">
        <v>1</v>
      </c>
      <c r="J114" s="5">
        <v>9120</v>
      </c>
      <c r="K114" s="7">
        <v>9120</v>
      </c>
      <c r="L114" s="6">
        <v>45322</v>
      </c>
      <c r="M114" s="8" t="str">
        <f>IF(K114&gt;10000,"High",IF(K114&gt;5000,"Medium","Low"))</f>
        <v>Medium</v>
      </c>
      <c r="N114" s="4" t="s">
        <v>243</v>
      </c>
      <c r="O114" s="3">
        <v>1</v>
      </c>
      <c r="P114" s="3">
        <v>2024</v>
      </c>
      <c r="T114" s="4"/>
      <c r="X114"/>
      <c r="Y114" s="3"/>
      <c r="AA114"/>
    </row>
    <row r="115" spans="1:27" x14ac:dyDescent="0.3">
      <c r="A115" s="3">
        <v>1216</v>
      </c>
      <c r="B115" s="4" t="s">
        <v>69</v>
      </c>
      <c r="C115" s="4" t="str">
        <f>IF(D115="","Unknown",IF(D115&lt;20,"Teen",IF(D115&lt;40,"Adult","Senior")))</f>
        <v>Adult</v>
      </c>
      <c r="D115" s="3">
        <v>24</v>
      </c>
      <c r="E115" s="3" t="s">
        <v>250</v>
      </c>
      <c r="F115" s="4" t="s">
        <v>17</v>
      </c>
      <c r="G115" s="4" t="s">
        <v>23</v>
      </c>
      <c r="H115" t="s">
        <v>30</v>
      </c>
      <c r="I115" s="3">
        <v>1</v>
      </c>
      <c r="J115" s="5">
        <v>44304</v>
      </c>
      <c r="K115" s="7">
        <v>44304</v>
      </c>
      <c r="L115" s="6">
        <v>45299</v>
      </c>
      <c r="M115" s="8" t="str">
        <f>IF(K115&gt;10000,"High",IF(K115&gt;5000,"Medium","Low"))</f>
        <v>High</v>
      </c>
      <c r="N115" s="4" t="s">
        <v>243</v>
      </c>
      <c r="O115" s="3">
        <v>1</v>
      </c>
      <c r="P115" s="3">
        <v>2024</v>
      </c>
      <c r="T115" s="4"/>
      <c r="X115"/>
      <c r="Y115" s="3"/>
      <c r="AA115"/>
    </row>
    <row r="116" spans="1:27" x14ac:dyDescent="0.3">
      <c r="A116" s="3">
        <v>1220</v>
      </c>
      <c r="B116" s="4" t="s">
        <v>10</v>
      </c>
      <c r="C116" s="4" t="str">
        <f>IF(D116="","Unknown",IF(D116&lt;20,"Teen",IF(D116&lt;40,"Adult","Senior")))</f>
        <v>Adult</v>
      </c>
      <c r="D116" s="3">
        <v>30</v>
      </c>
      <c r="E116" s="3" t="s">
        <v>250</v>
      </c>
      <c r="F116" s="4" t="s">
        <v>40</v>
      </c>
      <c r="G116" s="4" t="s">
        <v>44</v>
      </c>
      <c r="H116" t="s">
        <v>36</v>
      </c>
      <c r="I116" s="3">
        <v>2</v>
      </c>
      <c r="J116" s="5">
        <v>1000</v>
      </c>
      <c r="K116" s="7">
        <v>2000</v>
      </c>
      <c r="L116" s="6">
        <v>45309</v>
      </c>
      <c r="M116" s="8" t="str">
        <f>IF(K116&gt;10000,"High",IF(K116&gt;5000,"Medium","Low"))</f>
        <v>Low</v>
      </c>
      <c r="N116" s="4" t="s">
        <v>240</v>
      </c>
      <c r="O116" s="3">
        <v>1</v>
      </c>
      <c r="P116" s="3">
        <v>2024</v>
      </c>
      <c r="T116" s="4"/>
      <c r="X116"/>
      <c r="Y116" s="3"/>
      <c r="AA116"/>
    </row>
    <row r="117" spans="1:27" x14ac:dyDescent="0.3">
      <c r="A117" s="3">
        <v>1221</v>
      </c>
      <c r="B117" s="4" t="s">
        <v>35</v>
      </c>
      <c r="C117" s="4" t="str">
        <f>IF(D117="","Unknown",IF(D117&lt;20,"Teen",IF(D117&lt;40,"Adult","Senior")))</f>
        <v>Adult</v>
      </c>
      <c r="D117" s="3">
        <v>22</v>
      </c>
      <c r="E117" s="3" t="s">
        <v>250</v>
      </c>
      <c r="F117" s="4" t="s">
        <v>40</v>
      </c>
      <c r="G117" s="4" t="s">
        <v>55</v>
      </c>
      <c r="H117" t="s">
        <v>36</v>
      </c>
      <c r="I117" s="3">
        <v>2</v>
      </c>
      <c r="J117" s="5">
        <v>1000</v>
      </c>
      <c r="K117" s="7">
        <v>2000</v>
      </c>
      <c r="L117" s="6">
        <v>45319</v>
      </c>
      <c r="M117" s="8" t="str">
        <f>IF(K117&gt;10000,"High",IF(K117&gt;5000,"Medium","Low"))</f>
        <v>Low</v>
      </c>
      <c r="N117" s="4" t="s">
        <v>244</v>
      </c>
      <c r="O117" s="3">
        <v>1</v>
      </c>
      <c r="P117" s="3">
        <v>2024</v>
      </c>
      <c r="T117" s="4"/>
      <c r="X117"/>
      <c r="Y117" s="3"/>
      <c r="AA117"/>
    </row>
    <row r="118" spans="1:27" x14ac:dyDescent="0.3">
      <c r="A118" s="3">
        <v>1222</v>
      </c>
      <c r="B118" s="4" t="s">
        <v>25</v>
      </c>
      <c r="C118" s="4" t="str">
        <f>IF(D118="","Unknown",IF(D118&lt;20,"Teen",IF(D118&lt;40,"Adult","Senior")))</f>
        <v>Adult</v>
      </c>
      <c r="D118" s="3">
        <v>30</v>
      </c>
      <c r="E118" s="3" t="s">
        <v>250</v>
      </c>
      <c r="F118" s="4" t="s">
        <v>17</v>
      </c>
      <c r="G118" s="4" t="s">
        <v>55</v>
      </c>
      <c r="H118" t="s">
        <v>36</v>
      </c>
      <c r="I118" s="3">
        <v>2</v>
      </c>
      <c r="J118" s="5">
        <v>49651</v>
      </c>
      <c r="K118" s="7">
        <v>99302</v>
      </c>
      <c r="L118" s="6">
        <v>45306</v>
      </c>
      <c r="M118" s="8" t="str">
        <f>IF(K118&gt;10000,"High",IF(K118&gt;5000,"Medium","Low"))</f>
        <v>High</v>
      </c>
      <c r="N118" s="4" t="s">
        <v>243</v>
      </c>
      <c r="O118" s="3">
        <v>1</v>
      </c>
      <c r="P118" s="3">
        <v>2024</v>
      </c>
      <c r="T118" s="4"/>
      <c r="X118"/>
      <c r="Y118" s="3"/>
      <c r="AA118"/>
    </row>
    <row r="119" spans="1:27" x14ac:dyDescent="0.3">
      <c r="A119" s="3">
        <v>1223</v>
      </c>
      <c r="B119" s="4" t="s">
        <v>16</v>
      </c>
      <c r="C119" s="4" t="str">
        <f>IF(D119="","Unknown",IF(D119&lt;20,"Teen",IF(D119&lt;40,"Adult","Senior")))</f>
        <v>Teen</v>
      </c>
      <c r="D119" s="3">
        <v>19</v>
      </c>
      <c r="E119" s="3" t="s">
        <v>251</v>
      </c>
      <c r="F119" s="4" t="s">
        <v>17</v>
      </c>
      <c r="G119" s="4" t="s">
        <v>44</v>
      </c>
      <c r="H119" t="s">
        <v>36</v>
      </c>
      <c r="I119" s="3">
        <v>1</v>
      </c>
      <c r="J119" s="5">
        <v>1000</v>
      </c>
      <c r="K119" s="7">
        <v>1000</v>
      </c>
      <c r="L119" s="6">
        <v>45302</v>
      </c>
      <c r="M119" s="8" t="str">
        <f>IF(K119&gt;10000,"High",IF(K119&gt;5000,"Medium","Low"))</f>
        <v>Low</v>
      </c>
      <c r="N119" s="4" t="s">
        <v>244</v>
      </c>
      <c r="O119" s="3">
        <v>1</v>
      </c>
      <c r="P119" s="3">
        <v>2024</v>
      </c>
      <c r="T119" s="4"/>
      <c r="X119"/>
      <c r="Y119" s="3"/>
      <c r="AA119"/>
    </row>
    <row r="120" spans="1:27" x14ac:dyDescent="0.3">
      <c r="A120" s="3">
        <v>1225</v>
      </c>
      <c r="B120" s="4" t="s">
        <v>35</v>
      </c>
      <c r="C120" s="4" t="str">
        <f>IF(D120="","Unknown",IF(D120&lt;20,"Teen",IF(D120&lt;40,"Adult","Senior")))</f>
        <v>Adult</v>
      </c>
      <c r="D120" s="3">
        <v>30</v>
      </c>
      <c r="E120" s="3" t="s">
        <v>250</v>
      </c>
      <c r="F120" s="4" t="s">
        <v>17</v>
      </c>
      <c r="G120" s="4" t="s">
        <v>51</v>
      </c>
      <c r="H120" t="s">
        <v>13</v>
      </c>
      <c r="I120" s="3">
        <v>2</v>
      </c>
      <c r="J120" s="5">
        <v>1000</v>
      </c>
      <c r="K120" s="7">
        <v>2000</v>
      </c>
      <c r="L120" s="6">
        <v>45318</v>
      </c>
      <c r="M120" s="8" t="str">
        <f>IF(K120&gt;10000,"High",IF(K120&gt;5000,"Medium","Low"))</f>
        <v>Low</v>
      </c>
      <c r="N120" s="4" t="s">
        <v>240</v>
      </c>
      <c r="O120" s="3">
        <v>1</v>
      </c>
      <c r="P120" s="3">
        <v>2024</v>
      </c>
      <c r="T120" s="4"/>
      <c r="X120"/>
      <c r="Y120" s="3"/>
      <c r="AA120"/>
    </row>
    <row r="121" spans="1:27" x14ac:dyDescent="0.3">
      <c r="A121" s="3">
        <v>1234</v>
      </c>
      <c r="B121" s="4" t="s">
        <v>73</v>
      </c>
      <c r="C121" s="4" t="str">
        <f>IF(D121="","Unknown",IF(D121&lt;20,"Teen",IF(D121&lt;40,"Adult","Senior")))</f>
        <v>Adult</v>
      </c>
      <c r="D121" s="3">
        <v>30</v>
      </c>
      <c r="E121" s="3" t="s">
        <v>250</v>
      </c>
      <c r="F121" s="4" t="s">
        <v>17</v>
      </c>
      <c r="G121" s="4" t="s">
        <v>27</v>
      </c>
      <c r="H121" t="s">
        <v>13</v>
      </c>
      <c r="I121" s="3">
        <v>2</v>
      </c>
      <c r="J121" s="5">
        <v>12132</v>
      </c>
      <c r="K121" s="7">
        <v>24264</v>
      </c>
      <c r="L121" s="6">
        <v>45317</v>
      </c>
      <c r="M121" s="8" t="str">
        <f>IF(K121&gt;10000,"High",IF(K121&gt;5000,"Medium","Low"))</f>
        <v>High</v>
      </c>
      <c r="N121" s="4" t="s">
        <v>240</v>
      </c>
      <c r="O121" s="3">
        <v>1</v>
      </c>
      <c r="P121" s="3">
        <v>2024</v>
      </c>
      <c r="T121" s="4"/>
      <c r="X121"/>
      <c r="Y121" s="3"/>
      <c r="AA121"/>
    </row>
    <row r="122" spans="1:27" x14ac:dyDescent="0.3">
      <c r="A122" s="3">
        <v>1235</v>
      </c>
      <c r="B122" s="4" t="s">
        <v>64</v>
      </c>
      <c r="C122" s="4" t="str">
        <f>IF(D122="","Unknown",IF(D122&lt;20,"Teen",IF(D122&lt;40,"Adult","Senior")))</f>
        <v>Senior</v>
      </c>
      <c r="D122" s="3">
        <v>50</v>
      </c>
      <c r="E122" s="3" t="s">
        <v>249</v>
      </c>
      <c r="F122" s="4" t="s">
        <v>40</v>
      </c>
      <c r="G122" s="4" t="s">
        <v>23</v>
      </c>
      <c r="H122" t="s">
        <v>30</v>
      </c>
      <c r="I122" s="3">
        <v>2</v>
      </c>
      <c r="J122" s="5">
        <v>1000</v>
      </c>
      <c r="K122" s="7">
        <v>2000</v>
      </c>
      <c r="L122" s="6">
        <v>45293</v>
      </c>
      <c r="M122" s="8" t="str">
        <f>IF(K122&gt;10000,"High",IF(K122&gt;5000,"Medium","Low"))</f>
        <v>Low</v>
      </c>
      <c r="N122" s="4" t="s">
        <v>242</v>
      </c>
      <c r="O122" s="3">
        <v>1</v>
      </c>
      <c r="P122" s="3">
        <v>2024</v>
      </c>
      <c r="T122" s="4"/>
      <c r="X122"/>
      <c r="Y122" s="3"/>
      <c r="AA122"/>
    </row>
    <row r="123" spans="1:27" x14ac:dyDescent="0.3">
      <c r="A123" s="3">
        <v>1239</v>
      </c>
      <c r="B123" s="4" t="s">
        <v>16</v>
      </c>
      <c r="C123" s="4" t="str">
        <f>IF(D123="","Unknown",IF(D123&lt;20,"Teen",IF(D123&lt;40,"Adult","Senior")))</f>
        <v>Adult</v>
      </c>
      <c r="D123" s="3">
        <v>30</v>
      </c>
      <c r="E123" s="3" t="s">
        <v>250</v>
      </c>
      <c r="F123" s="4" t="s">
        <v>40</v>
      </c>
      <c r="G123" s="4" t="s">
        <v>55</v>
      </c>
      <c r="H123" t="s">
        <v>36</v>
      </c>
      <c r="I123" s="3">
        <v>1</v>
      </c>
      <c r="J123" s="5">
        <v>1000</v>
      </c>
      <c r="K123" s="7">
        <v>1000</v>
      </c>
      <c r="L123" s="6">
        <v>45320</v>
      </c>
      <c r="M123" s="8" t="str">
        <f>IF(K123&gt;10000,"High",IF(K123&gt;5000,"Medium","Low"))</f>
        <v>Low</v>
      </c>
      <c r="N123" s="4" t="s">
        <v>242</v>
      </c>
      <c r="O123" s="3">
        <v>1</v>
      </c>
      <c r="P123" s="3">
        <v>2024</v>
      </c>
      <c r="T123" s="4"/>
      <c r="X123"/>
      <c r="Y123" s="3"/>
      <c r="AA123"/>
    </row>
    <row r="124" spans="1:27" x14ac:dyDescent="0.3">
      <c r="A124" s="3">
        <v>1241</v>
      </c>
      <c r="B124" s="4" t="s">
        <v>16</v>
      </c>
      <c r="C124" s="4" t="str">
        <f>IF(D124="","Unknown",IF(D124&lt;20,"Teen",IF(D124&lt;40,"Adult","Senior")))</f>
        <v>Adult</v>
      </c>
      <c r="D124" s="3">
        <v>31</v>
      </c>
      <c r="E124" s="3" t="s">
        <v>249</v>
      </c>
      <c r="F124" s="4" t="s">
        <v>40</v>
      </c>
      <c r="G124" s="4" t="s">
        <v>27</v>
      </c>
      <c r="H124" t="s">
        <v>13</v>
      </c>
      <c r="I124" s="3">
        <v>2</v>
      </c>
      <c r="J124" s="5">
        <v>1000</v>
      </c>
      <c r="K124" s="7">
        <v>2000</v>
      </c>
      <c r="L124" s="6">
        <v>45299</v>
      </c>
      <c r="M124" s="8" t="str">
        <f>IF(K124&gt;10000,"High",IF(K124&gt;5000,"Medium","Low"))</f>
        <v>Low</v>
      </c>
      <c r="N124" s="4" t="s">
        <v>244</v>
      </c>
      <c r="O124" s="3">
        <v>1</v>
      </c>
      <c r="P124" s="3">
        <v>2024</v>
      </c>
      <c r="T124" s="4"/>
      <c r="X124"/>
      <c r="Y124" s="3"/>
      <c r="AA124"/>
    </row>
    <row r="125" spans="1:27" x14ac:dyDescent="0.3">
      <c r="A125" s="3">
        <v>1242</v>
      </c>
      <c r="B125" s="4" t="s">
        <v>10</v>
      </c>
      <c r="C125" s="4" t="str">
        <f>IF(D125="","Unknown",IF(D125&lt;20,"Teen",IF(D125&lt;40,"Adult","Senior")))</f>
        <v>Adult</v>
      </c>
      <c r="D125" s="3">
        <v>30</v>
      </c>
      <c r="E125" s="3" t="s">
        <v>250</v>
      </c>
      <c r="F125" s="4" t="s">
        <v>40</v>
      </c>
      <c r="G125" s="4" t="s">
        <v>27</v>
      </c>
      <c r="H125" t="s">
        <v>13</v>
      </c>
      <c r="I125" s="3">
        <v>1</v>
      </c>
      <c r="J125" s="5">
        <v>1000</v>
      </c>
      <c r="K125" s="7">
        <v>1000</v>
      </c>
      <c r="L125" s="6">
        <v>45318</v>
      </c>
      <c r="M125" s="8" t="str">
        <f>IF(K125&gt;10000,"High",IF(K125&gt;5000,"Medium","Low"))</f>
        <v>Low</v>
      </c>
      <c r="N125" s="4" t="s">
        <v>241</v>
      </c>
      <c r="O125" s="3">
        <v>1</v>
      </c>
      <c r="P125" s="3">
        <v>2024</v>
      </c>
      <c r="T125" s="4"/>
      <c r="X125"/>
      <c r="Y125" s="3"/>
      <c r="AA125"/>
    </row>
    <row r="126" spans="1:27" x14ac:dyDescent="0.3">
      <c r="A126" s="3">
        <v>1243</v>
      </c>
      <c r="B126" s="4" t="s">
        <v>68</v>
      </c>
      <c r="C126" s="4" t="str">
        <f>IF(D126="","Unknown",IF(D126&lt;20,"Teen",IF(D126&lt;40,"Adult","Senior")))</f>
        <v>Adult</v>
      </c>
      <c r="D126" s="3">
        <v>22</v>
      </c>
      <c r="E126" s="3" t="s">
        <v>250</v>
      </c>
      <c r="F126" s="4" t="s">
        <v>17</v>
      </c>
      <c r="G126" s="4" t="s">
        <v>18</v>
      </c>
      <c r="H126" t="s">
        <v>30</v>
      </c>
      <c r="I126" s="3">
        <v>2</v>
      </c>
      <c r="J126" s="5">
        <v>1000</v>
      </c>
      <c r="K126" s="7">
        <v>2000</v>
      </c>
      <c r="L126" s="6">
        <v>45292</v>
      </c>
      <c r="M126" s="8" t="str">
        <f>IF(K126&gt;10000,"High",IF(K126&gt;5000,"Medium","Low"))</f>
        <v>Low</v>
      </c>
      <c r="N126" s="4" t="s">
        <v>243</v>
      </c>
      <c r="O126" s="3">
        <v>1</v>
      </c>
      <c r="P126" s="3">
        <v>2024</v>
      </c>
      <c r="T126" s="4"/>
      <c r="X126"/>
      <c r="Y126" s="3"/>
      <c r="AA126"/>
    </row>
    <row r="127" spans="1:27" x14ac:dyDescent="0.3">
      <c r="A127" s="3">
        <v>1244</v>
      </c>
      <c r="B127" s="4" t="s">
        <v>68</v>
      </c>
      <c r="C127" s="4" t="str">
        <f>IF(D127="","Unknown",IF(D127&lt;20,"Teen",IF(D127&lt;40,"Adult","Senior")))</f>
        <v>Adult</v>
      </c>
      <c r="D127" s="3">
        <v>20</v>
      </c>
      <c r="E127" s="3" t="s">
        <v>251</v>
      </c>
      <c r="F127" s="4" t="s">
        <v>40</v>
      </c>
      <c r="G127" s="4" t="s">
        <v>55</v>
      </c>
      <c r="H127" t="s">
        <v>36</v>
      </c>
      <c r="I127" s="3">
        <v>2</v>
      </c>
      <c r="J127" s="5">
        <v>23629</v>
      </c>
      <c r="K127" s="7">
        <v>47258</v>
      </c>
      <c r="L127" s="6">
        <v>45301</v>
      </c>
      <c r="M127" s="8" t="str">
        <f>IF(K127&gt;10000,"High",IF(K127&gt;5000,"Medium","Low"))</f>
        <v>High</v>
      </c>
      <c r="N127" s="4" t="s">
        <v>243</v>
      </c>
      <c r="O127" s="3">
        <v>1</v>
      </c>
      <c r="P127" s="3">
        <v>2024</v>
      </c>
      <c r="T127" s="4"/>
      <c r="X127"/>
      <c r="Y127" s="3"/>
      <c r="AA127"/>
    </row>
    <row r="128" spans="1:27" x14ac:dyDescent="0.3">
      <c r="A128" s="3">
        <v>1246</v>
      </c>
      <c r="B128" s="4" t="s">
        <v>16</v>
      </c>
      <c r="C128" s="4" t="str">
        <f>IF(D128="","Unknown",IF(D128&lt;20,"Teen",IF(D128&lt;40,"Adult","Senior")))</f>
        <v>Adult</v>
      </c>
      <c r="D128" s="3">
        <v>30</v>
      </c>
      <c r="E128" s="3" t="s">
        <v>250</v>
      </c>
      <c r="F128" s="4" t="s">
        <v>40</v>
      </c>
      <c r="G128" s="4" t="s">
        <v>51</v>
      </c>
      <c r="H128" t="s">
        <v>13</v>
      </c>
      <c r="I128" s="3">
        <v>4</v>
      </c>
      <c r="J128" s="5">
        <v>1000</v>
      </c>
      <c r="K128" s="7">
        <v>4000</v>
      </c>
      <c r="L128" s="6">
        <v>45300</v>
      </c>
      <c r="M128" s="8" t="str">
        <f>IF(K128&gt;10000,"High",IF(K128&gt;5000,"Medium","Low"))</f>
        <v>Low</v>
      </c>
      <c r="N128" s="4" t="s">
        <v>244</v>
      </c>
      <c r="O128" s="3">
        <v>1</v>
      </c>
      <c r="P128" s="3">
        <v>2024</v>
      </c>
      <c r="T128" s="4"/>
      <c r="X128"/>
      <c r="Y128" s="3"/>
      <c r="AA128"/>
    </row>
    <row r="129" spans="1:27" x14ac:dyDescent="0.3">
      <c r="A129" s="3">
        <v>1247</v>
      </c>
      <c r="B129" s="4" t="s">
        <v>16</v>
      </c>
      <c r="C129" s="4" t="str">
        <f>IF(D129="","Unknown",IF(D129&lt;20,"Teen",IF(D129&lt;40,"Adult","Senior")))</f>
        <v>Adult</v>
      </c>
      <c r="D129" s="3">
        <v>39</v>
      </c>
      <c r="E129" s="3" t="s">
        <v>249</v>
      </c>
      <c r="F129" s="4" t="s">
        <v>40</v>
      </c>
      <c r="G129" s="4" t="s">
        <v>18</v>
      </c>
      <c r="H129" t="s">
        <v>30</v>
      </c>
      <c r="I129" s="3">
        <v>2</v>
      </c>
      <c r="J129" s="5">
        <v>1000</v>
      </c>
      <c r="K129" s="7">
        <v>2000</v>
      </c>
      <c r="L129" s="6">
        <v>45305</v>
      </c>
      <c r="M129" s="8" t="str">
        <f>IF(K129&gt;10000,"High",IF(K129&gt;5000,"Medium","Low"))</f>
        <v>Low</v>
      </c>
      <c r="N129" s="4" t="s">
        <v>241</v>
      </c>
      <c r="O129" s="3">
        <v>1</v>
      </c>
      <c r="P129" s="3">
        <v>2024</v>
      </c>
      <c r="T129" s="4"/>
      <c r="X129"/>
      <c r="Y129" s="3"/>
      <c r="AA129"/>
    </row>
    <row r="130" spans="1:27" x14ac:dyDescent="0.3">
      <c r="A130" s="3">
        <v>1253</v>
      </c>
      <c r="B130" s="4" t="s">
        <v>46</v>
      </c>
      <c r="C130" s="4" t="str">
        <f>IF(D130="","Unknown",IF(D130&lt;20,"Teen",IF(D130&lt;40,"Adult","Senior")))</f>
        <v>Adult</v>
      </c>
      <c r="D130" s="3">
        <v>30</v>
      </c>
      <c r="E130" s="3" t="s">
        <v>250</v>
      </c>
      <c r="F130" s="4" t="s">
        <v>17</v>
      </c>
      <c r="G130" s="4" t="s">
        <v>51</v>
      </c>
      <c r="H130" t="s">
        <v>13</v>
      </c>
      <c r="I130" s="3">
        <v>2</v>
      </c>
      <c r="J130" s="5">
        <v>44477</v>
      </c>
      <c r="K130" s="7">
        <v>88954</v>
      </c>
      <c r="L130" s="6">
        <v>45317</v>
      </c>
      <c r="M130" s="8" t="str">
        <f>IF(K130&gt;10000,"High",IF(K130&gt;5000,"Medium","Low"))</f>
        <v>High</v>
      </c>
      <c r="N130" s="4" t="s">
        <v>240</v>
      </c>
      <c r="O130" s="3">
        <v>1</v>
      </c>
      <c r="P130" s="3">
        <v>2024</v>
      </c>
      <c r="T130" s="4"/>
      <c r="X130"/>
      <c r="Y130" s="3"/>
      <c r="AA130"/>
    </row>
    <row r="131" spans="1:27" x14ac:dyDescent="0.3">
      <c r="A131" s="3">
        <v>1254</v>
      </c>
      <c r="B131" s="4" t="s">
        <v>62</v>
      </c>
      <c r="C131" s="4" t="str">
        <f>IF(D131="","Unknown",IF(D131&lt;20,"Teen",IF(D131&lt;40,"Adult","Senior")))</f>
        <v>Adult</v>
      </c>
      <c r="D131" s="3">
        <v>23</v>
      </c>
      <c r="E131" s="3" t="s">
        <v>250</v>
      </c>
      <c r="F131" s="4" t="s">
        <v>40</v>
      </c>
      <c r="G131" s="4" t="s">
        <v>27</v>
      </c>
      <c r="H131" t="s">
        <v>13</v>
      </c>
      <c r="I131" s="3">
        <v>5</v>
      </c>
      <c r="J131" s="5">
        <v>1000</v>
      </c>
      <c r="K131" s="7">
        <v>5000</v>
      </c>
      <c r="L131" s="6">
        <v>45322</v>
      </c>
      <c r="M131" s="8" t="str">
        <f>IF(K131&gt;10000,"High",IF(K131&gt;5000,"Medium","Low"))</f>
        <v>Low</v>
      </c>
      <c r="N131" s="4" t="s">
        <v>244</v>
      </c>
      <c r="O131" s="3">
        <v>1</v>
      </c>
      <c r="P131" s="3">
        <v>2024</v>
      </c>
      <c r="T131" s="4"/>
      <c r="X131"/>
      <c r="Y131" s="3"/>
      <c r="AA131"/>
    </row>
    <row r="132" spans="1:27" x14ac:dyDescent="0.3">
      <c r="A132" s="3">
        <v>1257</v>
      </c>
      <c r="B132" s="4" t="s">
        <v>59</v>
      </c>
      <c r="C132" s="4" t="str">
        <f>IF(D132="","Unknown",IF(D132&lt;20,"Teen",IF(D132&lt;40,"Adult","Senior")))</f>
        <v>Adult</v>
      </c>
      <c r="D132" s="3">
        <v>26</v>
      </c>
      <c r="E132" s="3" t="s">
        <v>250</v>
      </c>
      <c r="F132" s="4" t="s">
        <v>40</v>
      </c>
      <c r="G132" s="4" t="s">
        <v>12</v>
      </c>
      <c r="H132" t="s">
        <v>13</v>
      </c>
      <c r="I132" s="3">
        <v>2</v>
      </c>
      <c r="J132" s="5">
        <v>1000</v>
      </c>
      <c r="K132" s="7">
        <v>2000</v>
      </c>
      <c r="L132" s="6">
        <v>45320</v>
      </c>
      <c r="M132" s="8" t="str">
        <f>IF(K132&gt;10000,"High",IF(K132&gt;5000,"Medium","Low"))</f>
        <v>Low</v>
      </c>
      <c r="N132" s="4" t="s">
        <v>243</v>
      </c>
      <c r="O132" s="3">
        <v>1</v>
      </c>
      <c r="P132" s="3">
        <v>2024</v>
      </c>
      <c r="T132" s="4"/>
      <c r="X132"/>
      <c r="Y132" s="3"/>
      <c r="AA132"/>
    </row>
    <row r="133" spans="1:27" x14ac:dyDescent="0.3">
      <c r="A133" s="3">
        <v>1258</v>
      </c>
      <c r="B133" s="4" t="s">
        <v>64</v>
      </c>
      <c r="C133" s="4" t="str">
        <f>IF(D133="","Unknown",IF(D133&lt;20,"Teen",IF(D133&lt;40,"Adult","Senior")))</f>
        <v>Adult</v>
      </c>
      <c r="D133" s="3">
        <v>20</v>
      </c>
      <c r="E133" s="3" t="s">
        <v>251</v>
      </c>
      <c r="F133" s="4" t="s">
        <v>17</v>
      </c>
      <c r="G133" s="4" t="s">
        <v>27</v>
      </c>
      <c r="H133" t="s">
        <v>13</v>
      </c>
      <c r="I133" s="3">
        <v>2</v>
      </c>
      <c r="J133" s="5">
        <v>1000</v>
      </c>
      <c r="K133" s="7">
        <v>2000</v>
      </c>
      <c r="L133" s="6">
        <v>45292</v>
      </c>
      <c r="M133" s="8" t="str">
        <f>IF(K133&gt;10000,"High",IF(K133&gt;5000,"Medium","Low"))</f>
        <v>Low</v>
      </c>
      <c r="N133" s="4" t="s">
        <v>241</v>
      </c>
      <c r="O133" s="3">
        <v>1</v>
      </c>
      <c r="P133" s="3">
        <v>2024</v>
      </c>
      <c r="T133" s="4"/>
      <c r="X133"/>
      <c r="Y133" s="3"/>
      <c r="AA133"/>
    </row>
    <row r="134" spans="1:27" x14ac:dyDescent="0.3">
      <c r="A134" s="3">
        <v>1260</v>
      </c>
      <c r="B134" s="4" t="s">
        <v>68</v>
      </c>
      <c r="C134" s="4" t="str">
        <f>IF(D134="","Unknown",IF(D134&lt;20,"Teen",IF(D134&lt;40,"Adult","Senior")))</f>
        <v>Adult</v>
      </c>
      <c r="D134" s="3">
        <v>30</v>
      </c>
      <c r="E134" s="3" t="s">
        <v>250</v>
      </c>
      <c r="F134" s="4" t="s">
        <v>40</v>
      </c>
      <c r="G134" s="4" t="s">
        <v>18</v>
      </c>
      <c r="H134" t="s">
        <v>30</v>
      </c>
      <c r="I134" s="3">
        <v>5</v>
      </c>
      <c r="J134" s="5">
        <v>41508</v>
      </c>
      <c r="K134" s="7">
        <v>207540</v>
      </c>
      <c r="L134" s="6">
        <v>45304</v>
      </c>
      <c r="M134" s="8" t="str">
        <f>IF(K134&gt;10000,"High",IF(K134&gt;5000,"Medium","Low"))</f>
        <v>High</v>
      </c>
      <c r="N134" s="4" t="s">
        <v>244</v>
      </c>
      <c r="O134" s="3">
        <v>1</v>
      </c>
      <c r="P134" s="3">
        <v>2024</v>
      </c>
      <c r="T134" s="4"/>
      <c r="X134"/>
      <c r="Y134" s="3"/>
      <c r="AA134"/>
    </row>
    <row r="135" spans="1:27" x14ac:dyDescent="0.3">
      <c r="A135" s="3">
        <v>1262</v>
      </c>
      <c r="B135" s="4" t="s">
        <v>68</v>
      </c>
      <c r="C135" s="4" t="str">
        <f>IF(D135="","Unknown",IF(D135&lt;20,"Teen",IF(D135&lt;40,"Adult","Senior")))</f>
        <v>Senior</v>
      </c>
      <c r="D135" s="3">
        <v>44</v>
      </c>
      <c r="E135" s="3" t="s">
        <v>249</v>
      </c>
      <c r="F135" s="4" t="s">
        <v>40</v>
      </c>
      <c r="G135" s="4" t="s">
        <v>51</v>
      </c>
      <c r="H135" t="s">
        <v>13</v>
      </c>
      <c r="I135" s="3">
        <v>2</v>
      </c>
      <c r="J135" s="5">
        <v>48628</v>
      </c>
      <c r="K135" s="7">
        <v>97256</v>
      </c>
      <c r="L135" s="6">
        <v>45309</v>
      </c>
      <c r="M135" s="8" t="str">
        <f>IF(K135&gt;10000,"High",IF(K135&gt;5000,"Medium","Low"))</f>
        <v>High</v>
      </c>
      <c r="N135" s="4" t="s">
        <v>241</v>
      </c>
      <c r="O135" s="3">
        <v>1</v>
      </c>
      <c r="P135" s="3">
        <v>2024</v>
      </c>
      <c r="T135" s="4"/>
      <c r="X135"/>
      <c r="Y135" s="3"/>
      <c r="AA135"/>
    </row>
    <row r="136" spans="1:27" x14ac:dyDescent="0.3">
      <c r="A136" s="3">
        <v>1264</v>
      </c>
      <c r="B136" s="4" t="s">
        <v>46</v>
      </c>
      <c r="C136" s="4" t="str">
        <f>IF(D136="","Unknown",IF(D136&lt;20,"Teen",IF(D136&lt;40,"Adult","Senior")))</f>
        <v>Adult</v>
      </c>
      <c r="D136" s="3">
        <v>30</v>
      </c>
      <c r="E136" s="3" t="s">
        <v>250</v>
      </c>
      <c r="F136" s="4" t="s">
        <v>40</v>
      </c>
      <c r="G136" s="4" t="s">
        <v>55</v>
      </c>
      <c r="H136" t="s">
        <v>36</v>
      </c>
      <c r="I136" s="3">
        <v>4</v>
      </c>
      <c r="J136" s="5">
        <v>1000</v>
      </c>
      <c r="K136" s="7">
        <v>4000</v>
      </c>
      <c r="L136" s="6">
        <v>45297</v>
      </c>
      <c r="M136" s="8" t="str">
        <f>IF(K136&gt;10000,"High",IF(K136&gt;5000,"Medium","Low"))</f>
        <v>Low</v>
      </c>
      <c r="N136" s="4" t="s">
        <v>240</v>
      </c>
      <c r="O136" s="3">
        <v>1</v>
      </c>
      <c r="P136" s="3">
        <v>2024</v>
      </c>
      <c r="T136" s="4"/>
      <c r="X136"/>
      <c r="Y136" s="3"/>
      <c r="AA136"/>
    </row>
    <row r="137" spans="1:27" x14ac:dyDescent="0.3">
      <c r="A137" s="3">
        <v>1266</v>
      </c>
      <c r="B137" s="4" t="s">
        <v>46</v>
      </c>
      <c r="C137" s="4" t="str">
        <f>IF(D137="","Unknown",IF(D137&lt;20,"Teen",IF(D137&lt;40,"Adult","Senior")))</f>
        <v>Adult</v>
      </c>
      <c r="D137" s="3">
        <v>23</v>
      </c>
      <c r="E137" s="3" t="s">
        <v>250</v>
      </c>
      <c r="F137" s="4" t="s">
        <v>17</v>
      </c>
      <c r="G137" s="4" t="s">
        <v>27</v>
      </c>
      <c r="H137" t="s">
        <v>13</v>
      </c>
      <c r="I137" s="3">
        <v>3</v>
      </c>
      <c r="J137" s="5">
        <v>1000</v>
      </c>
      <c r="K137" s="7">
        <v>3000</v>
      </c>
      <c r="L137" s="6">
        <v>45312</v>
      </c>
      <c r="M137" s="8" t="str">
        <f>IF(K137&gt;10000,"High",IF(K137&gt;5000,"Medium","Low"))</f>
        <v>Low</v>
      </c>
      <c r="N137" s="4" t="s">
        <v>241</v>
      </c>
      <c r="O137" s="3">
        <v>1</v>
      </c>
      <c r="P137" s="3">
        <v>2024</v>
      </c>
      <c r="T137" s="4"/>
      <c r="X137"/>
      <c r="Y137" s="3"/>
      <c r="AA137"/>
    </row>
    <row r="138" spans="1:27" x14ac:dyDescent="0.3">
      <c r="A138" s="3">
        <v>1267</v>
      </c>
      <c r="B138" s="4" t="s">
        <v>64</v>
      </c>
      <c r="C138" s="4" t="str">
        <f>IF(D138="","Unknown",IF(D138&lt;20,"Teen",IF(D138&lt;40,"Adult","Senior")))</f>
        <v>Adult</v>
      </c>
      <c r="D138" s="3">
        <v>32</v>
      </c>
      <c r="E138" s="3" t="s">
        <v>249</v>
      </c>
      <c r="F138" s="4" t="s">
        <v>40</v>
      </c>
      <c r="G138" s="4" t="s">
        <v>18</v>
      </c>
      <c r="H138" t="s">
        <v>30</v>
      </c>
      <c r="I138" s="3">
        <v>2</v>
      </c>
      <c r="J138" s="5">
        <v>2600</v>
      </c>
      <c r="K138" s="7">
        <v>5200</v>
      </c>
      <c r="L138" s="6">
        <v>45310</v>
      </c>
      <c r="M138" s="8" t="str">
        <f>IF(K138&gt;10000,"High",IF(K138&gt;5000,"Medium","Low"))</f>
        <v>Medium</v>
      </c>
      <c r="N138" s="4" t="s">
        <v>244</v>
      </c>
      <c r="O138" s="3">
        <v>1</v>
      </c>
      <c r="P138" s="3">
        <v>2024</v>
      </c>
      <c r="T138" s="4"/>
      <c r="X138"/>
      <c r="Y138" s="3"/>
      <c r="AA138"/>
    </row>
    <row r="139" spans="1:27" x14ac:dyDescent="0.3">
      <c r="A139" s="3">
        <v>1268</v>
      </c>
      <c r="B139" s="4" t="s">
        <v>21</v>
      </c>
      <c r="C139" s="4" t="str">
        <f>IF(D139="","Unknown",IF(D139&lt;20,"Teen",IF(D139&lt;40,"Adult","Senior")))</f>
        <v>Adult</v>
      </c>
      <c r="D139" s="3">
        <v>20</v>
      </c>
      <c r="E139" s="3" t="s">
        <v>251</v>
      </c>
      <c r="F139" s="4" t="s">
        <v>40</v>
      </c>
      <c r="G139" s="4" t="s">
        <v>23</v>
      </c>
      <c r="H139" t="s">
        <v>30</v>
      </c>
      <c r="I139" s="3">
        <v>1</v>
      </c>
      <c r="J139" s="5">
        <v>1000</v>
      </c>
      <c r="K139" s="7">
        <v>1000</v>
      </c>
      <c r="L139" s="6">
        <v>45298</v>
      </c>
      <c r="M139" s="8" t="str">
        <f>IF(K139&gt;10000,"High",IF(K139&gt;5000,"Medium","Low"))</f>
        <v>Low</v>
      </c>
      <c r="N139" s="4" t="s">
        <v>243</v>
      </c>
      <c r="O139" s="3">
        <v>1</v>
      </c>
      <c r="P139" s="3">
        <v>2024</v>
      </c>
      <c r="T139" s="4"/>
      <c r="X139"/>
      <c r="Y139" s="3"/>
      <c r="AA139"/>
    </row>
    <row r="140" spans="1:27" x14ac:dyDescent="0.3">
      <c r="A140" s="3">
        <v>1275</v>
      </c>
      <c r="B140" s="4" t="s">
        <v>68</v>
      </c>
      <c r="C140" s="4" t="str">
        <f>IF(D140="","Unknown",IF(D140&lt;20,"Teen",IF(D140&lt;40,"Adult","Senior")))</f>
        <v>Adult</v>
      </c>
      <c r="D140" s="3">
        <v>30</v>
      </c>
      <c r="E140" s="3" t="s">
        <v>250</v>
      </c>
      <c r="F140" s="4" t="s">
        <v>40</v>
      </c>
      <c r="G140" s="4" t="s">
        <v>55</v>
      </c>
      <c r="H140" t="s">
        <v>36</v>
      </c>
      <c r="I140" s="3">
        <v>2</v>
      </c>
      <c r="J140" s="5">
        <v>27437</v>
      </c>
      <c r="K140" s="7">
        <v>54874</v>
      </c>
      <c r="L140" s="6">
        <v>45303</v>
      </c>
      <c r="M140" s="8" t="str">
        <f>IF(K140&gt;10000,"High",IF(K140&gt;5000,"Medium","Low"))</f>
        <v>High</v>
      </c>
      <c r="N140" s="4" t="s">
        <v>242</v>
      </c>
      <c r="O140" s="3">
        <v>1</v>
      </c>
      <c r="P140" s="3">
        <v>2024</v>
      </c>
      <c r="T140" s="4"/>
      <c r="X140"/>
      <c r="Y140" s="3"/>
      <c r="AA140"/>
    </row>
    <row r="141" spans="1:27" x14ac:dyDescent="0.3">
      <c r="A141" s="3">
        <v>1276</v>
      </c>
      <c r="B141" s="4" t="s">
        <v>64</v>
      </c>
      <c r="C141" s="4" t="str">
        <f>IF(D141="","Unknown",IF(D141&lt;20,"Teen",IF(D141&lt;40,"Adult","Senior")))</f>
        <v>Adult</v>
      </c>
      <c r="D141" s="3">
        <v>26</v>
      </c>
      <c r="E141" s="3" t="s">
        <v>250</v>
      </c>
      <c r="F141" s="4" t="s">
        <v>40</v>
      </c>
      <c r="G141" s="4" t="s">
        <v>44</v>
      </c>
      <c r="H141" t="s">
        <v>36</v>
      </c>
      <c r="I141" s="3">
        <v>2</v>
      </c>
      <c r="J141" s="5">
        <v>1000</v>
      </c>
      <c r="K141" s="7">
        <v>2000</v>
      </c>
      <c r="L141" s="6">
        <v>45297</v>
      </c>
      <c r="M141" s="8" t="str">
        <f>IF(K141&gt;10000,"High",IF(K141&gt;5000,"Medium","Low"))</f>
        <v>Low</v>
      </c>
      <c r="N141" s="4" t="s">
        <v>244</v>
      </c>
      <c r="O141" s="3">
        <v>1</v>
      </c>
      <c r="P141" s="3">
        <v>2024</v>
      </c>
      <c r="T141" s="4"/>
      <c r="X141"/>
      <c r="Y141" s="3"/>
      <c r="AA141"/>
    </row>
    <row r="142" spans="1:27" x14ac:dyDescent="0.3">
      <c r="A142" s="3">
        <v>1280</v>
      </c>
      <c r="B142" s="4" t="s">
        <v>57</v>
      </c>
      <c r="C142" s="4" t="str">
        <f>IF(D142="","Unknown",IF(D142&lt;20,"Teen",IF(D142&lt;40,"Adult","Senior")))</f>
        <v>Teen</v>
      </c>
      <c r="D142" s="3">
        <v>19</v>
      </c>
      <c r="E142" s="3" t="s">
        <v>251</v>
      </c>
      <c r="F142" s="4" t="s">
        <v>40</v>
      </c>
      <c r="G142" s="4" t="s">
        <v>23</v>
      </c>
      <c r="H142" t="s">
        <v>30</v>
      </c>
      <c r="I142" s="3">
        <v>2</v>
      </c>
      <c r="J142" s="5">
        <v>1000</v>
      </c>
      <c r="K142" s="7">
        <v>2000</v>
      </c>
      <c r="L142" s="6">
        <v>45318</v>
      </c>
      <c r="M142" s="8" t="str">
        <f>IF(K142&gt;10000,"High",IF(K142&gt;5000,"Medium","Low"))</f>
        <v>Low</v>
      </c>
      <c r="N142" s="4" t="s">
        <v>242</v>
      </c>
      <c r="O142" s="3">
        <v>1</v>
      </c>
      <c r="P142" s="3">
        <v>2024</v>
      </c>
      <c r="T142" s="4"/>
      <c r="X142"/>
      <c r="Y142" s="3"/>
      <c r="AA142"/>
    </row>
    <row r="143" spans="1:27" x14ac:dyDescent="0.3">
      <c r="A143" s="3">
        <v>1281</v>
      </c>
      <c r="B143" s="4" t="s">
        <v>25</v>
      </c>
      <c r="C143" s="4" t="str">
        <f>IF(D143="","Unknown",IF(D143&lt;20,"Teen",IF(D143&lt;40,"Adult","Senior")))</f>
        <v>Adult</v>
      </c>
      <c r="D143" s="3">
        <v>30</v>
      </c>
      <c r="E143" s="3" t="s">
        <v>250</v>
      </c>
      <c r="F143" s="4" t="s">
        <v>40</v>
      </c>
      <c r="G143" s="4" t="s">
        <v>18</v>
      </c>
      <c r="H143" t="s">
        <v>30</v>
      </c>
      <c r="I143" s="3">
        <v>1</v>
      </c>
      <c r="J143" s="5">
        <v>23993</v>
      </c>
      <c r="K143" s="7">
        <v>23993</v>
      </c>
      <c r="L143" s="6">
        <v>45295</v>
      </c>
      <c r="M143" s="8" t="str">
        <f>IF(K143&gt;10000,"High",IF(K143&gt;5000,"Medium","Low"))</f>
        <v>High</v>
      </c>
      <c r="N143" s="4" t="s">
        <v>242</v>
      </c>
      <c r="O143" s="3">
        <v>1</v>
      </c>
      <c r="P143" s="3">
        <v>2024</v>
      </c>
      <c r="T143" s="4"/>
      <c r="X143"/>
      <c r="Y143" s="3"/>
      <c r="AA143"/>
    </row>
    <row r="144" spans="1:27" x14ac:dyDescent="0.3">
      <c r="A144" s="3">
        <v>1282</v>
      </c>
      <c r="B144" s="4" t="s">
        <v>25</v>
      </c>
      <c r="C144" s="4" t="str">
        <f>IF(D144="","Unknown",IF(D144&lt;20,"Teen",IF(D144&lt;40,"Adult","Senior")))</f>
        <v>Adult</v>
      </c>
      <c r="D144" s="3">
        <v>30</v>
      </c>
      <c r="E144" s="3" t="s">
        <v>250</v>
      </c>
      <c r="F144" s="4" t="s">
        <v>40</v>
      </c>
      <c r="G144" s="4" t="s">
        <v>18</v>
      </c>
      <c r="H144" t="s">
        <v>30</v>
      </c>
      <c r="I144" s="3">
        <v>1</v>
      </c>
      <c r="J144" s="5">
        <v>1000</v>
      </c>
      <c r="K144" s="7">
        <v>1000</v>
      </c>
      <c r="L144" s="6">
        <v>45319</v>
      </c>
      <c r="M144" s="8" t="str">
        <f>IF(K144&gt;10000,"High",IF(K144&gt;5000,"Medium","Low"))</f>
        <v>Low</v>
      </c>
      <c r="N144" s="4" t="s">
        <v>240</v>
      </c>
      <c r="O144" s="3">
        <v>1</v>
      </c>
      <c r="P144" s="3">
        <v>2024</v>
      </c>
      <c r="T144" s="4"/>
      <c r="X144"/>
      <c r="Y144" s="3"/>
      <c r="AA144"/>
    </row>
    <row r="145" spans="1:27" x14ac:dyDescent="0.3">
      <c r="A145" s="3">
        <v>1283</v>
      </c>
      <c r="B145" s="4" t="s">
        <v>21</v>
      </c>
      <c r="C145" s="4" t="str">
        <f>IF(D145="","Unknown",IF(D145&lt;20,"Teen",IF(D145&lt;40,"Adult","Senior")))</f>
        <v>Adult</v>
      </c>
      <c r="D145" s="3">
        <v>30</v>
      </c>
      <c r="E145" s="3" t="s">
        <v>250</v>
      </c>
      <c r="F145" s="4" t="s">
        <v>40</v>
      </c>
      <c r="G145" s="4" t="s">
        <v>18</v>
      </c>
      <c r="H145" t="s">
        <v>30</v>
      </c>
      <c r="I145" s="3">
        <v>2</v>
      </c>
      <c r="J145" s="5">
        <v>1000</v>
      </c>
      <c r="K145" s="7">
        <v>2000</v>
      </c>
      <c r="L145" s="6">
        <v>45314</v>
      </c>
      <c r="M145" s="8" t="str">
        <f>IF(K145&gt;10000,"High",IF(K145&gt;5000,"Medium","Low"))</f>
        <v>Low</v>
      </c>
      <c r="N145" s="4" t="s">
        <v>240</v>
      </c>
      <c r="O145" s="3">
        <v>1</v>
      </c>
      <c r="P145" s="3">
        <v>2024</v>
      </c>
      <c r="T145" s="4"/>
      <c r="X145"/>
      <c r="Y145" s="3"/>
      <c r="AA145"/>
    </row>
    <row r="146" spans="1:27" x14ac:dyDescent="0.3">
      <c r="A146" s="3">
        <v>1284</v>
      </c>
      <c r="B146" s="4" t="s">
        <v>59</v>
      </c>
      <c r="C146" s="4" t="str">
        <f>IF(D146="","Unknown",IF(D146&lt;20,"Teen",IF(D146&lt;40,"Adult","Senior")))</f>
        <v>Adult</v>
      </c>
      <c r="D146" s="3">
        <v>30</v>
      </c>
      <c r="E146" s="3" t="s">
        <v>250</v>
      </c>
      <c r="F146" s="4" t="s">
        <v>40</v>
      </c>
      <c r="G146" s="4" t="s">
        <v>27</v>
      </c>
      <c r="H146" t="s">
        <v>13</v>
      </c>
      <c r="I146" s="3">
        <v>2</v>
      </c>
      <c r="J146" s="5">
        <v>47845</v>
      </c>
      <c r="K146" s="7">
        <v>95690</v>
      </c>
      <c r="L146" s="6">
        <v>45305</v>
      </c>
      <c r="M146" s="8" t="str">
        <f>IF(K146&gt;10000,"High",IF(K146&gt;5000,"Medium","Low"))</f>
        <v>High</v>
      </c>
      <c r="N146" s="4" t="s">
        <v>240</v>
      </c>
      <c r="O146" s="3">
        <v>1</v>
      </c>
      <c r="P146" s="3">
        <v>2024</v>
      </c>
      <c r="T146" s="4"/>
      <c r="X146"/>
      <c r="Y146" s="3"/>
      <c r="AA146"/>
    </row>
    <row r="147" spans="1:27" x14ac:dyDescent="0.3">
      <c r="A147" s="3">
        <v>1286</v>
      </c>
      <c r="B147" s="4" t="s">
        <v>68</v>
      </c>
      <c r="C147" s="4" t="str">
        <f>IF(D147="","Unknown",IF(D147&lt;20,"Teen",IF(D147&lt;40,"Adult","Senior")))</f>
        <v>Adult</v>
      </c>
      <c r="D147" s="3">
        <v>30</v>
      </c>
      <c r="E147" s="3" t="s">
        <v>250</v>
      </c>
      <c r="F147" s="4" t="s">
        <v>40</v>
      </c>
      <c r="G147" s="4" t="s">
        <v>27</v>
      </c>
      <c r="H147" t="s">
        <v>13</v>
      </c>
      <c r="I147" s="3">
        <v>1</v>
      </c>
      <c r="J147" s="5">
        <v>1000</v>
      </c>
      <c r="K147" s="7">
        <v>1000</v>
      </c>
      <c r="L147" s="6">
        <v>45296</v>
      </c>
      <c r="M147" s="8" t="str">
        <f>IF(K147&gt;10000,"High",IF(K147&gt;5000,"Medium","Low"))</f>
        <v>Low</v>
      </c>
      <c r="N147" s="4" t="s">
        <v>241</v>
      </c>
      <c r="O147" s="3">
        <v>1</v>
      </c>
      <c r="P147" s="3">
        <v>2024</v>
      </c>
      <c r="T147" s="4"/>
      <c r="X147"/>
      <c r="Y147" s="3"/>
      <c r="AA147"/>
    </row>
    <row r="148" spans="1:27" x14ac:dyDescent="0.3">
      <c r="A148" s="3">
        <v>1287</v>
      </c>
      <c r="B148" s="4" t="s">
        <v>21</v>
      </c>
      <c r="C148" s="4" t="str">
        <f>IF(D148="","Unknown",IF(D148&lt;20,"Teen",IF(D148&lt;40,"Adult","Senior")))</f>
        <v>Adult</v>
      </c>
      <c r="D148" s="3">
        <v>30</v>
      </c>
      <c r="E148" s="3" t="s">
        <v>250</v>
      </c>
      <c r="F148" s="4" t="s">
        <v>40</v>
      </c>
      <c r="G148" s="4" t="s">
        <v>41</v>
      </c>
      <c r="H148" t="s">
        <v>36</v>
      </c>
      <c r="I148" s="3">
        <v>2</v>
      </c>
      <c r="J148" s="5">
        <v>1000</v>
      </c>
      <c r="K148" s="7">
        <v>2000</v>
      </c>
      <c r="L148" s="6">
        <v>45318</v>
      </c>
      <c r="M148" s="8" t="str">
        <f>IF(K148&gt;10000,"High",IF(K148&gt;5000,"Medium","Low"))</f>
        <v>Low</v>
      </c>
      <c r="N148" s="4" t="s">
        <v>243</v>
      </c>
      <c r="O148" s="3">
        <v>1</v>
      </c>
      <c r="P148" s="3">
        <v>2024</v>
      </c>
      <c r="T148" s="4"/>
      <c r="X148"/>
      <c r="Y148" s="3"/>
      <c r="AA148"/>
    </row>
    <row r="149" spans="1:27" x14ac:dyDescent="0.3">
      <c r="A149" s="3">
        <v>1290</v>
      </c>
      <c r="B149" s="4" t="s">
        <v>59</v>
      </c>
      <c r="C149" s="4" t="str">
        <f>IF(D149="","Unknown",IF(D149&lt;20,"Teen",IF(D149&lt;40,"Adult","Senior")))</f>
        <v>Senior</v>
      </c>
      <c r="D149" s="3">
        <v>40</v>
      </c>
      <c r="E149" s="3" t="s">
        <v>249</v>
      </c>
      <c r="F149" s="4" t="s">
        <v>40</v>
      </c>
      <c r="G149" s="4" t="s">
        <v>55</v>
      </c>
      <c r="H149" t="s">
        <v>36</v>
      </c>
      <c r="I149" s="3">
        <v>4</v>
      </c>
      <c r="J149" s="5">
        <v>1000</v>
      </c>
      <c r="K149" s="7">
        <v>4000</v>
      </c>
      <c r="L149" s="6">
        <v>45321</v>
      </c>
      <c r="M149" s="8" t="str">
        <f>IF(K149&gt;10000,"High",IF(K149&gt;5000,"Medium","Low"))</f>
        <v>Low</v>
      </c>
      <c r="N149" s="4" t="s">
        <v>240</v>
      </c>
      <c r="O149" s="3">
        <v>1</v>
      </c>
      <c r="P149" s="3">
        <v>2024</v>
      </c>
      <c r="T149" s="4"/>
      <c r="X149"/>
      <c r="Y149" s="3"/>
      <c r="AA149"/>
    </row>
    <row r="150" spans="1:27" x14ac:dyDescent="0.3">
      <c r="A150" s="3">
        <v>1291</v>
      </c>
      <c r="B150" s="4" t="s">
        <v>46</v>
      </c>
      <c r="C150" s="4" t="str">
        <f>IF(D150="","Unknown",IF(D150&lt;20,"Teen",IF(D150&lt;40,"Adult","Senior")))</f>
        <v>Adult</v>
      </c>
      <c r="D150" s="3">
        <v>30</v>
      </c>
      <c r="E150" s="3" t="s">
        <v>250</v>
      </c>
      <c r="F150" s="4" t="s">
        <v>17</v>
      </c>
      <c r="G150" s="4" t="s">
        <v>18</v>
      </c>
      <c r="H150" t="s">
        <v>30</v>
      </c>
      <c r="I150" s="3">
        <v>2</v>
      </c>
      <c r="J150" s="5">
        <v>27313</v>
      </c>
      <c r="K150" s="7">
        <v>54626</v>
      </c>
      <c r="L150" s="6">
        <v>45306</v>
      </c>
      <c r="M150" s="8" t="str">
        <f>IF(K150&gt;10000,"High",IF(K150&gt;5000,"Medium","Low"))</f>
        <v>High</v>
      </c>
      <c r="N150" s="4" t="s">
        <v>244</v>
      </c>
      <c r="O150" s="3">
        <v>1</v>
      </c>
      <c r="P150" s="3">
        <v>2024</v>
      </c>
      <c r="T150" s="4"/>
      <c r="X150"/>
      <c r="Y150" s="3"/>
      <c r="AA150"/>
    </row>
    <row r="151" spans="1:27" x14ac:dyDescent="0.3">
      <c r="A151" s="3">
        <v>1292</v>
      </c>
      <c r="B151" s="4" t="s">
        <v>73</v>
      </c>
      <c r="C151" s="4" t="str">
        <f>IF(D151="","Unknown",IF(D151&lt;20,"Teen",IF(D151&lt;40,"Adult","Senior")))</f>
        <v>Adult</v>
      </c>
      <c r="D151" s="3">
        <v>30</v>
      </c>
      <c r="E151" s="3" t="s">
        <v>250</v>
      </c>
      <c r="F151" s="4" t="s">
        <v>40</v>
      </c>
      <c r="G151" s="4" t="s">
        <v>44</v>
      </c>
      <c r="H151" t="s">
        <v>36</v>
      </c>
      <c r="I151" s="3">
        <v>2</v>
      </c>
      <c r="J151" s="5">
        <v>1000</v>
      </c>
      <c r="K151" s="7">
        <v>2000</v>
      </c>
      <c r="L151" s="6">
        <v>45299</v>
      </c>
      <c r="M151" s="8" t="str">
        <f>IF(K151&gt;10000,"High",IF(K151&gt;5000,"Medium","Low"))</f>
        <v>Low</v>
      </c>
      <c r="N151" s="4" t="s">
        <v>241</v>
      </c>
      <c r="O151" s="3">
        <v>1</v>
      </c>
      <c r="P151" s="3">
        <v>2024</v>
      </c>
      <c r="T151" s="4"/>
      <c r="X151"/>
      <c r="Y151" s="3"/>
      <c r="AA151"/>
    </row>
    <row r="152" spans="1:27" x14ac:dyDescent="0.3">
      <c r="A152" s="3">
        <v>1294</v>
      </c>
      <c r="B152" s="4" t="s">
        <v>38</v>
      </c>
      <c r="C152" s="4" t="str">
        <f>IF(D152="","Unknown",IF(D152&lt;20,"Teen",IF(D152&lt;40,"Adult","Senior")))</f>
        <v>Adult</v>
      </c>
      <c r="D152" s="3">
        <v>34</v>
      </c>
      <c r="E152" s="3" t="s">
        <v>249</v>
      </c>
      <c r="F152" s="4" t="s">
        <v>40</v>
      </c>
      <c r="G152" s="4" t="s">
        <v>55</v>
      </c>
      <c r="H152" t="s">
        <v>36</v>
      </c>
      <c r="I152" s="3">
        <v>4</v>
      </c>
      <c r="J152" s="5">
        <v>46799</v>
      </c>
      <c r="K152" s="7">
        <v>187196</v>
      </c>
      <c r="L152" s="6">
        <v>45316</v>
      </c>
      <c r="M152" s="8" t="str">
        <f>IF(K152&gt;10000,"High",IF(K152&gt;5000,"Medium","Low"))</f>
        <v>High</v>
      </c>
      <c r="N152" s="4" t="s">
        <v>241</v>
      </c>
      <c r="O152" s="3">
        <v>1</v>
      </c>
      <c r="P152" s="3">
        <v>2024</v>
      </c>
      <c r="T152" s="4"/>
      <c r="X152"/>
      <c r="Y152" s="3"/>
      <c r="AA152"/>
    </row>
    <row r="153" spans="1:27" x14ac:dyDescent="0.3">
      <c r="A153" s="3">
        <v>1295</v>
      </c>
      <c r="B153" s="4" t="s">
        <v>48</v>
      </c>
      <c r="C153" s="4" t="str">
        <f>IF(D153="","Unknown",IF(D153&lt;20,"Teen",IF(D153&lt;40,"Adult","Senior")))</f>
        <v>Adult</v>
      </c>
      <c r="D153" s="3">
        <v>30</v>
      </c>
      <c r="E153" s="3" t="s">
        <v>250</v>
      </c>
      <c r="F153" s="4" t="s">
        <v>40</v>
      </c>
      <c r="G153" s="4" t="s">
        <v>27</v>
      </c>
      <c r="H153" t="s">
        <v>13</v>
      </c>
      <c r="I153" s="3">
        <v>1</v>
      </c>
      <c r="J153" s="5">
        <v>1000</v>
      </c>
      <c r="K153" s="7">
        <v>1000</v>
      </c>
      <c r="L153" s="6">
        <v>45307</v>
      </c>
      <c r="M153" s="8" t="str">
        <f>IF(K153&gt;10000,"High",IF(K153&gt;5000,"Medium","Low"))</f>
        <v>Low</v>
      </c>
      <c r="N153" s="4" t="s">
        <v>241</v>
      </c>
      <c r="O153" s="3">
        <v>1</v>
      </c>
      <c r="P153" s="3">
        <v>2024</v>
      </c>
      <c r="T153" s="4"/>
      <c r="X153"/>
      <c r="Y153" s="3"/>
      <c r="AA153"/>
    </row>
    <row r="154" spans="1:27" x14ac:dyDescent="0.3">
      <c r="A154" s="3">
        <v>1299</v>
      </c>
      <c r="B154" s="4" t="s">
        <v>64</v>
      </c>
      <c r="C154" s="4" t="str">
        <f>IF(D154="","Unknown",IF(D154&lt;20,"Teen",IF(D154&lt;40,"Adult","Senior")))</f>
        <v>Adult</v>
      </c>
      <c r="D154" s="3">
        <v>30</v>
      </c>
      <c r="E154" s="3" t="s">
        <v>250</v>
      </c>
      <c r="F154" s="4" t="s">
        <v>40</v>
      </c>
      <c r="G154" s="4" t="s">
        <v>27</v>
      </c>
      <c r="H154" t="s">
        <v>13</v>
      </c>
      <c r="I154" s="3">
        <v>2</v>
      </c>
      <c r="J154" s="5">
        <v>12932</v>
      </c>
      <c r="K154" s="7">
        <v>25864</v>
      </c>
      <c r="L154" s="6">
        <v>45303</v>
      </c>
      <c r="M154" s="8" t="str">
        <f>IF(K154&gt;10000,"High",IF(K154&gt;5000,"Medium","Low"))</f>
        <v>High</v>
      </c>
      <c r="N154" s="4" t="s">
        <v>240</v>
      </c>
      <c r="O154" s="3">
        <v>1</v>
      </c>
      <c r="P154" s="3">
        <v>2024</v>
      </c>
      <c r="T154" s="4"/>
      <c r="X154"/>
      <c r="Y154" s="3"/>
      <c r="AA154"/>
    </row>
    <row r="155" spans="1:27" x14ac:dyDescent="0.3">
      <c r="A155" s="3">
        <v>1301</v>
      </c>
      <c r="B155" s="4" t="s">
        <v>69</v>
      </c>
      <c r="C155" s="4" t="str">
        <f>IF(D155="","Unknown",IF(D155&lt;20,"Teen",IF(D155&lt;40,"Adult","Senior")))</f>
        <v>Adult</v>
      </c>
      <c r="D155" s="3">
        <v>30</v>
      </c>
      <c r="E155" s="3" t="s">
        <v>250</v>
      </c>
      <c r="F155" s="4" t="s">
        <v>17</v>
      </c>
      <c r="G155" s="4" t="s">
        <v>12</v>
      </c>
      <c r="H155" t="s">
        <v>13</v>
      </c>
      <c r="I155" s="3">
        <v>1</v>
      </c>
      <c r="J155" s="5">
        <v>1000</v>
      </c>
      <c r="K155" s="7">
        <v>1000</v>
      </c>
      <c r="L155" s="6">
        <v>45307</v>
      </c>
      <c r="M155" s="8" t="str">
        <f>IF(K155&gt;10000,"High",IF(K155&gt;5000,"Medium","Low"))</f>
        <v>Low</v>
      </c>
      <c r="N155" s="4" t="s">
        <v>240</v>
      </c>
      <c r="O155" s="3">
        <v>1</v>
      </c>
      <c r="P155" s="3">
        <v>2024</v>
      </c>
      <c r="T155" s="4"/>
      <c r="X155"/>
      <c r="Y155" s="3"/>
      <c r="AA155"/>
    </row>
    <row r="156" spans="1:27" x14ac:dyDescent="0.3">
      <c r="A156" s="3">
        <v>1303</v>
      </c>
      <c r="B156" s="4" t="s">
        <v>46</v>
      </c>
      <c r="C156" s="4" t="str">
        <f>IF(D156="","Unknown",IF(D156&lt;20,"Teen",IF(D156&lt;40,"Adult","Senior")))</f>
        <v>Senior</v>
      </c>
      <c r="D156" s="3">
        <v>40</v>
      </c>
      <c r="E156" s="3" t="s">
        <v>249</v>
      </c>
      <c r="F156" s="4" t="s">
        <v>40</v>
      </c>
      <c r="G156" s="4" t="s">
        <v>55</v>
      </c>
      <c r="H156" t="s">
        <v>36</v>
      </c>
      <c r="I156" s="3">
        <v>2</v>
      </c>
      <c r="J156" s="5">
        <v>1000</v>
      </c>
      <c r="K156" s="7">
        <v>2000</v>
      </c>
      <c r="L156" s="6">
        <v>45320</v>
      </c>
      <c r="M156" s="8" t="str">
        <f>IF(K156&gt;10000,"High",IF(K156&gt;5000,"Medium","Low"))</f>
        <v>Low</v>
      </c>
      <c r="N156" s="4" t="s">
        <v>244</v>
      </c>
      <c r="O156" s="3">
        <v>1</v>
      </c>
      <c r="P156" s="3">
        <v>2024</v>
      </c>
      <c r="T156" s="4"/>
      <c r="X156"/>
      <c r="Y156" s="3"/>
      <c r="AA156"/>
    </row>
    <row r="157" spans="1:27" x14ac:dyDescent="0.3">
      <c r="A157" s="3">
        <v>1305</v>
      </c>
      <c r="B157" s="4" t="s">
        <v>21</v>
      </c>
      <c r="C157" s="4" t="str">
        <f>IF(D157="","Unknown",IF(D157&lt;20,"Teen",IF(D157&lt;40,"Adult","Senior")))</f>
        <v>Adult</v>
      </c>
      <c r="D157" s="3">
        <v>30</v>
      </c>
      <c r="E157" s="3" t="s">
        <v>250</v>
      </c>
      <c r="F157" s="4" t="s">
        <v>17</v>
      </c>
      <c r="G157" s="4" t="s">
        <v>41</v>
      </c>
      <c r="H157" t="s">
        <v>36</v>
      </c>
      <c r="I157" s="3">
        <v>2</v>
      </c>
      <c r="J157" s="5">
        <v>25140</v>
      </c>
      <c r="K157" s="7">
        <v>50280</v>
      </c>
      <c r="L157" s="6">
        <v>45292</v>
      </c>
      <c r="M157" s="8" t="str">
        <f>IF(K157&gt;10000,"High",IF(K157&gt;5000,"Medium","Low"))</f>
        <v>High</v>
      </c>
      <c r="N157" s="4" t="s">
        <v>243</v>
      </c>
      <c r="O157" s="3">
        <v>1</v>
      </c>
      <c r="P157" s="3">
        <v>2024</v>
      </c>
      <c r="T157" s="4"/>
      <c r="X157"/>
      <c r="Y157" s="3"/>
      <c r="AA157"/>
    </row>
    <row r="158" spans="1:27" x14ac:dyDescent="0.3">
      <c r="A158" s="3">
        <v>1306</v>
      </c>
      <c r="B158" s="4" t="s">
        <v>35</v>
      </c>
      <c r="C158" s="4" t="str">
        <f>IF(D158="","Unknown",IF(D158&lt;20,"Teen",IF(D158&lt;40,"Adult","Senior")))</f>
        <v>Teen</v>
      </c>
      <c r="D158" s="3">
        <v>19</v>
      </c>
      <c r="E158" s="3" t="s">
        <v>251</v>
      </c>
      <c r="F158" s="4" t="s">
        <v>40</v>
      </c>
      <c r="G158" s="4" t="s">
        <v>27</v>
      </c>
      <c r="H158" t="s">
        <v>13</v>
      </c>
      <c r="I158" s="3">
        <v>2</v>
      </c>
      <c r="J158" s="5">
        <v>1000</v>
      </c>
      <c r="K158" s="7">
        <v>2000</v>
      </c>
      <c r="L158" s="6">
        <v>45313</v>
      </c>
      <c r="M158" s="8" t="str">
        <f>IF(K158&gt;10000,"High",IF(K158&gt;5000,"Medium","Low"))</f>
        <v>Low</v>
      </c>
      <c r="N158" s="4" t="s">
        <v>243</v>
      </c>
      <c r="O158" s="3">
        <v>1</v>
      </c>
      <c r="P158" s="3">
        <v>2024</v>
      </c>
      <c r="T158" s="4"/>
      <c r="X158"/>
      <c r="Y158" s="3"/>
      <c r="AA158"/>
    </row>
    <row r="159" spans="1:27" x14ac:dyDescent="0.3">
      <c r="A159" s="3">
        <v>1309</v>
      </c>
      <c r="B159" s="4" t="s">
        <v>64</v>
      </c>
      <c r="C159" s="4" t="str">
        <f>IF(D159="","Unknown",IF(D159&lt;20,"Teen",IF(D159&lt;40,"Adult","Senior")))</f>
        <v>Adult</v>
      </c>
      <c r="D159" s="3">
        <v>36</v>
      </c>
      <c r="E159" s="3" t="s">
        <v>249</v>
      </c>
      <c r="F159" s="4" t="s">
        <v>40</v>
      </c>
      <c r="G159" s="4" t="s">
        <v>41</v>
      </c>
      <c r="H159" t="s">
        <v>36</v>
      </c>
      <c r="I159" s="3">
        <v>2</v>
      </c>
      <c r="J159" s="5">
        <v>1000</v>
      </c>
      <c r="K159" s="7">
        <v>2000</v>
      </c>
      <c r="L159" s="6">
        <v>45303</v>
      </c>
      <c r="M159" s="8" t="str">
        <f>IF(K159&gt;10000,"High",IF(K159&gt;5000,"Medium","Low"))</f>
        <v>Low</v>
      </c>
      <c r="N159" s="4" t="s">
        <v>243</v>
      </c>
      <c r="O159" s="3">
        <v>1</v>
      </c>
      <c r="P159" s="3">
        <v>2024</v>
      </c>
      <c r="T159" s="4"/>
      <c r="X159"/>
      <c r="Y159" s="3"/>
      <c r="AA159"/>
    </row>
    <row r="160" spans="1:27" x14ac:dyDescent="0.3">
      <c r="A160" s="3">
        <v>1311</v>
      </c>
      <c r="B160" s="4" t="s">
        <v>32</v>
      </c>
      <c r="C160" s="4" t="str">
        <f>IF(D160="","Unknown",IF(D160&lt;20,"Teen",IF(D160&lt;40,"Adult","Senior")))</f>
        <v>Adult</v>
      </c>
      <c r="D160" s="3">
        <v>28</v>
      </c>
      <c r="E160" s="3" t="s">
        <v>250</v>
      </c>
      <c r="F160" s="4" t="s">
        <v>40</v>
      </c>
      <c r="G160" s="4" t="s">
        <v>12</v>
      </c>
      <c r="H160" t="s">
        <v>13</v>
      </c>
      <c r="I160" s="3">
        <v>2</v>
      </c>
      <c r="J160" s="5">
        <v>1000</v>
      </c>
      <c r="K160" s="7">
        <v>2000</v>
      </c>
      <c r="L160" s="6">
        <v>45306</v>
      </c>
      <c r="M160" s="8" t="str">
        <f>IF(K160&gt;10000,"High",IF(K160&gt;5000,"Medium","Low"))</f>
        <v>Low</v>
      </c>
      <c r="N160" s="4" t="s">
        <v>244</v>
      </c>
      <c r="O160" s="3">
        <v>1</v>
      </c>
      <c r="P160" s="3">
        <v>2024</v>
      </c>
      <c r="T160" s="4"/>
      <c r="X160"/>
      <c r="Y160" s="3"/>
      <c r="AA160"/>
    </row>
    <row r="161" spans="1:27" x14ac:dyDescent="0.3">
      <c r="A161" s="3">
        <v>1314</v>
      </c>
      <c r="B161" s="4" t="s">
        <v>16</v>
      </c>
      <c r="C161" s="4" t="str">
        <f>IF(D161="","Unknown",IF(D161&lt;20,"Teen",IF(D161&lt;40,"Adult","Senior")))</f>
        <v>Adult</v>
      </c>
      <c r="D161" s="3">
        <v>30</v>
      </c>
      <c r="E161" s="3" t="s">
        <v>250</v>
      </c>
      <c r="F161" s="4" t="s">
        <v>40</v>
      </c>
      <c r="G161" s="4" t="s">
        <v>18</v>
      </c>
      <c r="H161" t="s">
        <v>30</v>
      </c>
      <c r="I161" s="3">
        <v>2</v>
      </c>
      <c r="J161" s="5">
        <v>36607</v>
      </c>
      <c r="K161" s="7">
        <v>73214</v>
      </c>
      <c r="L161" s="6">
        <v>45306</v>
      </c>
      <c r="M161" s="8" t="str">
        <f>IF(K161&gt;10000,"High",IF(K161&gt;5000,"Medium","Low"))</f>
        <v>High</v>
      </c>
      <c r="N161" s="4" t="s">
        <v>244</v>
      </c>
      <c r="O161" s="3">
        <v>1</v>
      </c>
      <c r="P161" s="3">
        <v>2024</v>
      </c>
      <c r="T161" s="4"/>
      <c r="X161"/>
      <c r="Y161" s="3"/>
      <c r="AA161"/>
    </row>
    <row r="162" spans="1:27" x14ac:dyDescent="0.3">
      <c r="A162" s="3">
        <v>1315</v>
      </c>
      <c r="B162" s="4" t="s">
        <v>32</v>
      </c>
      <c r="C162" s="4" t="str">
        <f>IF(D162="","Unknown",IF(D162&lt;20,"Teen",IF(D162&lt;40,"Adult","Senior")))</f>
        <v>Adult</v>
      </c>
      <c r="D162" s="3">
        <v>39</v>
      </c>
      <c r="E162" s="3" t="s">
        <v>249</v>
      </c>
      <c r="F162" s="4" t="s">
        <v>40</v>
      </c>
      <c r="G162" s="4" t="s">
        <v>23</v>
      </c>
      <c r="H162" t="s">
        <v>30</v>
      </c>
      <c r="I162" s="3">
        <v>5</v>
      </c>
      <c r="J162" s="5">
        <v>1000</v>
      </c>
      <c r="K162" s="7">
        <v>5000</v>
      </c>
      <c r="L162" s="6">
        <v>45294</v>
      </c>
      <c r="M162" s="8" t="str">
        <f>IF(K162&gt;10000,"High",IF(K162&gt;5000,"Medium","Low"))</f>
        <v>Low</v>
      </c>
      <c r="N162" s="4" t="s">
        <v>240</v>
      </c>
      <c r="O162" s="3">
        <v>1</v>
      </c>
      <c r="P162" s="3">
        <v>2024</v>
      </c>
      <c r="T162" s="4"/>
      <c r="X162"/>
      <c r="Y162" s="3"/>
      <c r="AA162"/>
    </row>
    <row r="163" spans="1:27" x14ac:dyDescent="0.3">
      <c r="A163" s="3">
        <v>1317</v>
      </c>
      <c r="B163" s="4" t="s">
        <v>68</v>
      </c>
      <c r="C163" s="4" t="str">
        <f>IF(D163="","Unknown",IF(D163&lt;20,"Teen",IF(D163&lt;40,"Adult","Senior")))</f>
        <v>Senior</v>
      </c>
      <c r="D163" s="3">
        <v>47</v>
      </c>
      <c r="E163" s="3" t="s">
        <v>249</v>
      </c>
      <c r="F163" s="4" t="s">
        <v>17</v>
      </c>
      <c r="G163" s="4" t="s">
        <v>23</v>
      </c>
      <c r="H163" t="s">
        <v>30</v>
      </c>
      <c r="I163" s="3">
        <v>2</v>
      </c>
      <c r="J163" s="5">
        <v>1000</v>
      </c>
      <c r="K163" s="7">
        <v>2000</v>
      </c>
      <c r="L163" s="6">
        <v>45308</v>
      </c>
      <c r="M163" s="8" t="str">
        <f>IF(K163&gt;10000,"High",IF(K163&gt;5000,"Medium","Low"))</f>
        <v>Low</v>
      </c>
      <c r="N163" s="4" t="s">
        <v>243</v>
      </c>
      <c r="O163" s="3">
        <v>1</v>
      </c>
      <c r="P163" s="3">
        <v>2024</v>
      </c>
      <c r="T163" s="4"/>
      <c r="X163"/>
      <c r="Y163" s="3"/>
      <c r="AA163"/>
    </row>
    <row r="164" spans="1:27" x14ac:dyDescent="0.3">
      <c r="A164" s="3">
        <v>1318</v>
      </c>
      <c r="B164" s="4" t="s">
        <v>21</v>
      </c>
      <c r="C164" s="4" t="str">
        <f>IF(D164="","Unknown",IF(D164&lt;20,"Teen",IF(D164&lt;40,"Adult","Senior")))</f>
        <v>Adult</v>
      </c>
      <c r="D164" s="3">
        <v>30</v>
      </c>
      <c r="E164" s="3" t="s">
        <v>250</v>
      </c>
      <c r="F164" s="4" t="s">
        <v>40</v>
      </c>
      <c r="G164" s="4" t="s">
        <v>44</v>
      </c>
      <c r="H164" t="s">
        <v>36</v>
      </c>
      <c r="I164" s="3">
        <v>2</v>
      </c>
      <c r="J164" s="5">
        <v>1000</v>
      </c>
      <c r="K164" s="7">
        <v>2000</v>
      </c>
      <c r="L164" s="6">
        <v>45310</v>
      </c>
      <c r="M164" s="8" t="str">
        <f>IF(K164&gt;10000,"High",IF(K164&gt;5000,"Medium","Low"))</f>
        <v>Low</v>
      </c>
      <c r="N164" s="4" t="s">
        <v>242</v>
      </c>
      <c r="O164" s="3">
        <v>1</v>
      </c>
      <c r="P164" s="3">
        <v>2024</v>
      </c>
      <c r="T164" s="4"/>
      <c r="X164"/>
      <c r="Y164" s="3"/>
      <c r="AA164"/>
    </row>
    <row r="165" spans="1:27" x14ac:dyDescent="0.3">
      <c r="A165" s="3">
        <v>1320</v>
      </c>
      <c r="B165" s="4" t="s">
        <v>48</v>
      </c>
      <c r="C165" s="4" t="str">
        <f>IF(D165="","Unknown",IF(D165&lt;20,"Teen",IF(D165&lt;40,"Adult","Senior")))</f>
        <v>Adult</v>
      </c>
      <c r="D165" s="3">
        <v>30</v>
      </c>
      <c r="E165" s="3" t="s">
        <v>250</v>
      </c>
      <c r="F165" s="4" t="s">
        <v>17</v>
      </c>
      <c r="G165" s="4" t="s">
        <v>27</v>
      </c>
      <c r="H165" t="s">
        <v>13</v>
      </c>
      <c r="I165" s="3">
        <v>2</v>
      </c>
      <c r="J165" s="5">
        <v>1000</v>
      </c>
      <c r="K165" s="7">
        <v>2000</v>
      </c>
      <c r="L165" s="6">
        <v>45295</v>
      </c>
      <c r="M165" s="8" t="str">
        <f>IF(K165&gt;10000,"High",IF(K165&gt;5000,"Medium","Low"))</f>
        <v>Low</v>
      </c>
      <c r="N165" s="4" t="s">
        <v>240</v>
      </c>
      <c r="O165" s="3">
        <v>1</v>
      </c>
      <c r="P165" s="3">
        <v>2024</v>
      </c>
      <c r="T165" s="4"/>
      <c r="X165"/>
      <c r="Y165" s="3"/>
      <c r="AA165"/>
    </row>
    <row r="166" spans="1:27" x14ac:dyDescent="0.3">
      <c r="A166" s="3">
        <v>1322</v>
      </c>
      <c r="B166" s="4" t="s">
        <v>69</v>
      </c>
      <c r="C166" s="4" t="str">
        <f>IF(D166="","Unknown",IF(D166&lt;20,"Teen",IF(D166&lt;40,"Adult","Senior")))</f>
        <v>Adult</v>
      </c>
      <c r="D166" s="3">
        <v>30</v>
      </c>
      <c r="E166" s="3" t="s">
        <v>250</v>
      </c>
      <c r="F166" s="4" t="s">
        <v>40</v>
      </c>
      <c r="G166" s="4" t="s">
        <v>51</v>
      </c>
      <c r="H166" t="s">
        <v>13</v>
      </c>
      <c r="I166" s="3">
        <v>2</v>
      </c>
      <c r="J166" s="5">
        <v>1000</v>
      </c>
      <c r="K166" s="7">
        <v>2000</v>
      </c>
      <c r="L166" s="6">
        <v>45312</v>
      </c>
      <c r="M166" s="8" t="str">
        <f>IF(K166&gt;10000,"High",IF(K166&gt;5000,"Medium","Low"))</f>
        <v>Low</v>
      </c>
      <c r="N166" s="4" t="s">
        <v>241</v>
      </c>
      <c r="O166" s="3">
        <v>1</v>
      </c>
      <c r="P166" s="3">
        <v>2024</v>
      </c>
      <c r="T166" s="4"/>
      <c r="X166"/>
      <c r="Y166" s="3"/>
      <c r="AA166"/>
    </row>
    <row r="167" spans="1:27" x14ac:dyDescent="0.3">
      <c r="A167" s="3">
        <v>1323</v>
      </c>
      <c r="B167" s="4" t="s">
        <v>21</v>
      </c>
      <c r="C167" s="4" t="str">
        <f>IF(D167="","Unknown",IF(D167&lt;20,"Teen",IF(D167&lt;40,"Adult","Senior")))</f>
        <v>Senior</v>
      </c>
      <c r="D167" s="3">
        <v>46</v>
      </c>
      <c r="E167" s="3" t="s">
        <v>249</v>
      </c>
      <c r="F167" s="4" t="s">
        <v>40</v>
      </c>
      <c r="G167" s="4" t="s">
        <v>51</v>
      </c>
      <c r="H167" t="s">
        <v>13</v>
      </c>
      <c r="I167" s="3">
        <v>2</v>
      </c>
      <c r="J167" s="5">
        <v>1000</v>
      </c>
      <c r="K167" s="7">
        <v>2000</v>
      </c>
      <c r="L167" s="6">
        <v>45296</v>
      </c>
      <c r="M167" s="8" t="str">
        <f>IF(K167&gt;10000,"High",IF(K167&gt;5000,"Medium","Low"))</f>
        <v>Low</v>
      </c>
      <c r="N167" s="4" t="s">
        <v>242</v>
      </c>
      <c r="O167" s="3">
        <v>1</v>
      </c>
      <c r="P167" s="3">
        <v>2024</v>
      </c>
      <c r="T167" s="4"/>
      <c r="X167"/>
      <c r="Y167" s="3"/>
      <c r="AA167"/>
    </row>
    <row r="168" spans="1:27" x14ac:dyDescent="0.3">
      <c r="A168" s="3">
        <v>1325</v>
      </c>
      <c r="B168" s="4" t="s">
        <v>21</v>
      </c>
      <c r="C168" s="4" t="str">
        <f>IF(D168="","Unknown",IF(D168&lt;20,"Teen",IF(D168&lt;40,"Adult","Senior")))</f>
        <v>Adult</v>
      </c>
      <c r="D168" s="3">
        <v>30</v>
      </c>
      <c r="E168" s="3" t="s">
        <v>250</v>
      </c>
      <c r="F168" s="4" t="s">
        <v>17</v>
      </c>
      <c r="G168" s="4" t="s">
        <v>41</v>
      </c>
      <c r="H168" t="s">
        <v>36</v>
      </c>
      <c r="I168" s="3">
        <v>2</v>
      </c>
      <c r="J168" s="5">
        <v>2992</v>
      </c>
      <c r="K168" s="7">
        <v>5984</v>
      </c>
      <c r="L168" s="6">
        <v>45310</v>
      </c>
      <c r="M168" s="8" t="str">
        <f>IF(K168&gt;10000,"High",IF(K168&gt;5000,"Medium","Low"))</f>
        <v>Medium</v>
      </c>
      <c r="N168" s="4" t="s">
        <v>240</v>
      </c>
      <c r="O168" s="3">
        <v>1</v>
      </c>
      <c r="P168" s="3">
        <v>2024</v>
      </c>
      <c r="T168" s="4"/>
      <c r="X168"/>
      <c r="Y168" s="3"/>
      <c r="AA168"/>
    </row>
    <row r="169" spans="1:27" x14ac:dyDescent="0.3">
      <c r="A169" s="3">
        <v>1328</v>
      </c>
      <c r="B169" s="4" t="s">
        <v>68</v>
      </c>
      <c r="C169" s="4" t="str">
        <f>IF(D169="","Unknown",IF(D169&lt;20,"Teen",IF(D169&lt;40,"Adult","Senior")))</f>
        <v>Senior</v>
      </c>
      <c r="D169" s="3">
        <v>46</v>
      </c>
      <c r="E169" s="3" t="s">
        <v>249</v>
      </c>
      <c r="F169" s="4" t="s">
        <v>40</v>
      </c>
      <c r="G169" s="4" t="s">
        <v>51</v>
      </c>
      <c r="H169" t="s">
        <v>13</v>
      </c>
      <c r="I169" s="3">
        <v>3</v>
      </c>
      <c r="J169" s="5">
        <v>1000</v>
      </c>
      <c r="K169" s="7">
        <v>3000</v>
      </c>
      <c r="L169" s="6">
        <v>45306</v>
      </c>
      <c r="M169" s="8" t="str">
        <f>IF(K169&gt;10000,"High",IF(K169&gt;5000,"Medium","Low"))</f>
        <v>Low</v>
      </c>
      <c r="N169" s="4" t="s">
        <v>244</v>
      </c>
      <c r="O169" s="3">
        <v>1</v>
      </c>
      <c r="P169" s="3">
        <v>2024</v>
      </c>
      <c r="T169" s="4"/>
      <c r="X169"/>
      <c r="Y169" s="3"/>
      <c r="AA169"/>
    </row>
    <row r="170" spans="1:27" x14ac:dyDescent="0.3">
      <c r="A170" s="3">
        <v>1331</v>
      </c>
      <c r="B170" s="4" t="s">
        <v>32</v>
      </c>
      <c r="C170" s="4" t="str">
        <f>IF(D170="","Unknown",IF(D170&lt;20,"Teen",IF(D170&lt;40,"Adult","Senior")))</f>
        <v>Senior</v>
      </c>
      <c r="D170" s="3">
        <v>44</v>
      </c>
      <c r="E170" s="3" t="s">
        <v>249</v>
      </c>
      <c r="F170" s="4" t="s">
        <v>40</v>
      </c>
      <c r="G170" s="4" t="s">
        <v>55</v>
      </c>
      <c r="H170" t="s">
        <v>36</v>
      </c>
      <c r="I170" s="3">
        <v>4</v>
      </c>
      <c r="J170" s="5">
        <v>1000</v>
      </c>
      <c r="K170" s="7">
        <v>4000</v>
      </c>
      <c r="L170" s="6">
        <v>45320</v>
      </c>
      <c r="M170" s="8" t="str">
        <f>IF(K170&gt;10000,"High",IF(K170&gt;5000,"Medium","Low"))</f>
        <v>Low</v>
      </c>
      <c r="N170" s="4" t="s">
        <v>241</v>
      </c>
      <c r="O170" s="3">
        <v>1</v>
      </c>
      <c r="P170" s="3">
        <v>2024</v>
      </c>
      <c r="T170" s="4"/>
      <c r="X170"/>
      <c r="Y170" s="3"/>
      <c r="AA170"/>
    </row>
    <row r="171" spans="1:27" x14ac:dyDescent="0.3">
      <c r="A171" s="3">
        <v>1332</v>
      </c>
      <c r="B171" s="4" t="s">
        <v>69</v>
      </c>
      <c r="C171" s="4" t="str">
        <f>IF(D171="","Unknown",IF(D171&lt;20,"Teen",IF(D171&lt;40,"Adult","Senior")))</f>
        <v>Adult</v>
      </c>
      <c r="D171" s="3">
        <v>30</v>
      </c>
      <c r="E171" s="3" t="s">
        <v>250</v>
      </c>
      <c r="F171" s="4" t="s">
        <v>40</v>
      </c>
      <c r="G171" s="4" t="s">
        <v>51</v>
      </c>
      <c r="H171" t="s">
        <v>13</v>
      </c>
      <c r="I171" s="3">
        <v>5</v>
      </c>
      <c r="J171" s="5">
        <v>1000</v>
      </c>
      <c r="K171" s="7">
        <v>5000</v>
      </c>
      <c r="L171" s="6">
        <v>45302</v>
      </c>
      <c r="M171" s="8" t="str">
        <f>IF(K171&gt;10000,"High",IF(K171&gt;5000,"Medium","Low"))</f>
        <v>Low</v>
      </c>
      <c r="N171" s="4" t="s">
        <v>243</v>
      </c>
      <c r="O171" s="3">
        <v>1</v>
      </c>
      <c r="P171" s="3">
        <v>2024</v>
      </c>
      <c r="T171" s="4"/>
      <c r="X171"/>
      <c r="Y171" s="3"/>
      <c r="AA171"/>
    </row>
    <row r="172" spans="1:27" x14ac:dyDescent="0.3">
      <c r="A172" s="3">
        <v>1334</v>
      </c>
      <c r="B172" s="4" t="s">
        <v>32</v>
      </c>
      <c r="C172" s="4" t="str">
        <f>IF(D172="","Unknown",IF(D172&lt;20,"Teen",IF(D172&lt;40,"Adult","Senior")))</f>
        <v>Adult</v>
      </c>
      <c r="D172" s="3">
        <v>30</v>
      </c>
      <c r="E172" s="3" t="s">
        <v>250</v>
      </c>
      <c r="F172" s="4" t="s">
        <v>17</v>
      </c>
      <c r="G172" s="4" t="s">
        <v>51</v>
      </c>
      <c r="H172" t="s">
        <v>13</v>
      </c>
      <c r="I172" s="3">
        <v>5</v>
      </c>
      <c r="J172" s="5">
        <v>27538</v>
      </c>
      <c r="K172" s="7">
        <v>137690</v>
      </c>
      <c r="L172" s="6">
        <v>45302</v>
      </c>
      <c r="M172" s="8" t="str">
        <f>IF(K172&gt;10000,"High",IF(K172&gt;5000,"Medium","Low"))</f>
        <v>High</v>
      </c>
      <c r="N172" s="4" t="s">
        <v>243</v>
      </c>
      <c r="O172" s="3">
        <v>1</v>
      </c>
      <c r="P172" s="3">
        <v>2024</v>
      </c>
      <c r="T172" s="4"/>
      <c r="X172"/>
      <c r="Y172" s="3"/>
      <c r="AA172"/>
    </row>
    <row r="173" spans="1:27" x14ac:dyDescent="0.3">
      <c r="A173" s="3">
        <v>1335</v>
      </c>
      <c r="B173" s="4" t="s">
        <v>32</v>
      </c>
      <c r="C173" s="4" t="str">
        <f>IF(D173="","Unknown",IF(D173&lt;20,"Teen",IF(D173&lt;40,"Adult","Senior")))</f>
        <v>Adult</v>
      </c>
      <c r="D173" s="3">
        <v>23</v>
      </c>
      <c r="E173" s="3" t="s">
        <v>250</v>
      </c>
      <c r="F173" s="4" t="s">
        <v>40</v>
      </c>
      <c r="G173" s="4" t="s">
        <v>12</v>
      </c>
      <c r="H173" t="s">
        <v>13</v>
      </c>
      <c r="I173" s="3">
        <v>2</v>
      </c>
      <c r="J173" s="5">
        <v>13923</v>
      </c>
      <c r="K173" s="7">
        <v>27846</v>
      </c>
      <c r="L173" s="6">
        <v>45307</v>
      </c>
      <c r="M173" s="8" t="str">
        <f>IF(K173&gt;10000,"High",IF(K173&gt;5000,"Medium","Low"))</f>
        <v>High</v>
      </c>
      <c r="N173" s="4" t="s">
        <v>244</v>
      </c>
      <c r="O173" s="3">
        <v>1</v>
      </c>
      <c r="P173" s="3">
        <v>2024</v>
      </c>
      <c r="T173" s="4"/>
      <c r="X173"/>
      <c r="Y173" s="3"/>
      <c r="AA173"/>
    </row>
    <row r="174" spans="1:27" x14ac:dyDescent="0.3">
      <c r="A174" s="3">
        <v>1337</v>
      </c>
      <c r="B174" s="4" t="s">
        <v>46</v>
      </c>
      <c r="C174" s="4" t="str">
        <f>IF(D174="","Unknown",IF(D174&lt;20,"Teen",IF(D174&lt;40,"Adult","Senior")))</f>
        <v>Adult</v>
      </c>
      <c r="D174" s="3">
        <v>39</v>
      </c>
      <c r="E174" s="3" t="s">
        <v>249</v>
      </c>
      <c r="F174" s="4" t="s">
        <v>40</v>
      </c>
      <c r="G174" s="4" t="s">
        <v>23</v>
      </c>
      <c r="H174" t="s">
        <v>30</v>
      </c>
      <c r="I174" s="3">
        <v>3</v>
      </c>
      <c r="J174" s="5">
        <v>1000</v>
      </c>
      <c r="K174" s="7">
        <v>3000</v>
      </c>
      <c r="L174" s="6">
        <v>45300</v>
      </c>
      <c r="M174" s="8" t="str">
        <f>IF(K174&gt;10000,"High",IF(K174&gt;5000,"Medium","Low"))</f>
        <v>Low</v>
      </c>
      <c r="N174" s="4" t="s">
        <v>240</v>
      </c>
      <c r="O174" s="3">
        <v>1</v>
      </c>
      <c r="P174" s="3">
        <v>2024</v>
      </c>
      <c r="T174" s="4"/>
      <c r="X174"/>
      <c r="Y174" s="3"/>
      <c r="AA174"/>
    </row>
    <row r="175" spans="1:27" x14ac:dyDescent="0.3">
      <c r="A175" s="3">
        <v>1338</v>
      </c>
      <c r="B175" s="4" t="s">
        <v>57</v>
      </c>
      <c r="C175" s="4" t="str">
        <f>IF(D175="","Unknown",IF(D175&lt;20,"Teen",IF(D175&lt;40,"Adult","Senior")))</f>
        <v>Adult</v>
      </c>
      <c r="D175" s="3">
        <v>30</v>
      </c>
      <c r="E175" s="3" t="s">
        <v>250</v>
      </c>
      <c r="F175" s="4" t="s">
        <v>40</v>
      </c>
      <c r="G175" s="4" t="s">
        <v>12</v>
      </c>
      <c r="H175" t="s">
        <v>13</v>
      </c>
      <c r="I175" s="3">
        <v>2</v>
      </c>
      <c r="J175" s="5">
        <v>975</v>
      </c>
      <c r="K175" s="7">
        <v>1950</v>
      </c>
      <c r="L175" s="6">
        <v>45312</v>
      </c>
      <c r="M175" s="8" t="str">
        <f>IF(K175&gt;10000,"High",IF(K175&gt;5000,"Medium","Low"))</f>
        <v>Low</v>
      </c>
      <c r="N175" s="4" t="s">
        <v>241</v>
      </c>
      <c r="O175" s="3">
        <v>1</v>
      </c>
      <c r="P175" s="3">
        <v>2024</v>
      </c>
      <c r="T175" s="4"/>
      <c r="X175"/>
      <c r="Y175" s="3"/>
      <c r="AA175"/>
    </row>
    <row r="176" spans="1:27" x14ac:dyDescent="0.3">
      <c r="A176" s="3">
        <v>1343</v>
      </c>
      <c r="B176" s="4" t="s">
        <v>78</v>
      </c>
      <c r="C176" s="4" t="str">
        <f>IF(D176="","Unknown",IF(D176&lt;20,"Teen",IF(D176&lt;40,"Adult","Senior")))</f>
        <v>Adult</v>
      </c>
      <c r="D176" s="3">
        <v>30</v>
      </c>
      <c r="E176" s="3" t="s">
        <v>250</v>
      </c>
      <c r="F176" s="4" t="s">
        <v>17</v>
      </c>
      <c r="G176" s="4" t="s">
        <v>55</v>
      </c>
      <c r="H176" t="s">
        <v>36</v>
      </c>
      <c r="I176" s="3">
        <v>2</v>
      </c>
      <c r="J176" s="5">
        <v>1000</v>
      </c>
      <c r="K176" s="7">
        <v>2000</v>
      </c>
      <c r="L176" s="6">
        <v>45314</v>
      </c>
      <c r="M176" s="8" t="str">
        <f>IF(K176&gt;10000,"High",IF(K176&gt;5000,"Medium","Low"))</f>
        <v>Low</v>
      </c>
      <c r="N176" s="4" t="s">
        <v>243</v>
      </c>
      <c r="O176" s="3">
        <v>1</v>
      </c>
      <c r="P176" s="3">
        <v>2024</v>
      </c>
      <c r="T176" s="4"/>
      <c r="X176"/>
      <c r="Y176" s="3"/>
      <c r="AA176"/>
    </row>
    <row r="177" spans="1:27" x14ac:dyDescent="0.3">
      <c r="A177" s="3">
        <v>1346</v>
      </c>
      <c r="B177" s="4" t="s">
        <v>46</v>
      </c>
      <c r="C177" s="4" t="str">
        <f>IF(D177="","Unknown",IF(D177&lt;20,"Teen",IF(D177&lt;40,"Adult","Senior")))</f>
        <v>Adult</v>
      </c>
      <c r="D177" s="3">
        <v>38</v>
      </c>
      <c r="E177" s="3" t="s">
        <v>249</v>
      </c>
      <c r="F177" s="4" t="s">
        <v>40</v>
      </c>
      <c r="G177" s="4" t="s">
        <v>51</v>
      </c>
      <c r="H177" t="s">
        <v>13</v>
      </c>
      <c r="I177" s="3">
        <v>2</v>
      </c>
      <c r="J177" s="5">
        <v>1000</v>
      </c>
      <c r="K177" s="7">
        <v>2000</v>
      </c>
      <c r="L177" s="6">
        <v>45300</v>
      </c>
      <c r="M177" s="8" t="str">
        <f>IF(K177&gt;10000,"High",IF(K177&gt;5000,"Medium","Low"))</f>
        <v>Low</v>
      </c>
      <c r="N177" s="4" t="s">
        <v>243</v>
      </c>
      <c r="O177" s="3">
        <v>1</v>
      </c>
      <c r="P177" s="3">
        <v>2024</v>
      </c>
      <c r="T177" s="4"/>
      <c r="X177"/>
      <c r="Y177" s="3"/>
      <c r="AA177"/>
    </row>
    <row r="178" spans="1:27" x14ac:dyDescent="0.3">
      <c r="A178" s="3">
        <v>1349</v>
      </c>
      <c r="B178" s="4" t="s">
        <v>21</v>
      </c>
      <c r="C178" s="4" t="str">
        <f>IF(D178="","Unknown",IF(D178&lt;20,"Teen",IF(D178&lt;40,"Adult","Senior")))</f>
        <v>Adult</v>
      </c>
      <c r="D178" s="3">
        <v>30</v>
      </c>
      <c r="E178" s="3" t="s">
        <v>250</v>
      </c>
      <c r="F178" s="4" t="s">
        <v>40</v>
      </c>
      <c r="G178" s="4" t="s">
        <v>23</v>
      </c>
      <c r="H178" t="s">
        <v>30</v>
      </c>
      <c r="I178" s="3">
        <v>4</v>
      </c>
      <c r="J178" s="5">
        <v>1000</v>
      </c>
      <c r="K178" s="7">
        <v>4000</v>
      </c>
      <c r="L178" s="6">
        <v>45292</v>
      </c>
      <c r="M178" s="8" t="str">
        <f>IF(K178&gt;10000,"High",IF(K178&gt;5000,"Medium","Low"))</f>
        <v>Low</v>
      </c>
      <c r="N178" s="4" t="s">
        <v>241</v>
      </c>
      <c r="O178" s="3">
        <v>1</v>
      </c>
      <c r="P178" s="3">
        <v>2024</v>
      </c>
      <c r="T178" s="4"/>
      <c r="X178"/>
      <c r="Y178" s="3"/>
      <c r="AA178"/>
    </row>
    <row r="179" spans="1:27" x14ac:dyDescent="0.3">
      <c r="A179" s="3">
        <v>1350</v>
      </c>
      <c r="B179" s="4" t="s">
        <v>10</v>
      </c>
      <c r="C179" s="4" t="str">
        <f>IF(D179="","Unknown",IF(D179&lt;20,"Teen",IF(D179&lt;40,"Adult","Senior")))</f>
        <v>Adult</v>
      </c>
      <c r="D179" s="3">
        <v>38</v>
      </c>
      <c r="E179" s="3" t="s">
        <v>249</v>
      </c>
      <c r="F179" s="4" t="s">
        <v>40</v>
      </c>
      <c r="G179" s="4" t="s">
        <v>41</v>
      </c>
      <c r="H179" t="s">
        <v>36</v>
      </c>
      <c r="I179" s="3">
        <v>5</v>
      </c>
      <c r="J179" s="5">
        <v>35110</v>
      </c>
      <c r="K179" s="7">
        <v>175550</v>
      </c>
      <c r="L179" s="6">
        <v>45311</v>
      </c>
      <c r="M179" s="8" t="str">
        <f>IF(K179&gt;10000,"High",IF(K179&gt;5000,"Medium","Low"))</f>
        <v>High</v>
      </c>
      <c r="N179" s="4" t="s">
        <v>244</v>
      </c>
      <c r="O179" s="3">
        <v>1</v>
      </c>
      <c r="P179" s="3">
        <v>2024</v>
      </c>
      <c r="T179" s="4"/>
      <c r="X179"/>
      <c r="Y179" s="3"/>
      <c r="AA179"/>
    </row>
    <row r="180" spans="1:27" x14ac:dyDescent="0.3">
      <c r="A180" s="3">
        <v>1351</v>
      </c>
      <c r="B180" s="4" t="s">
        <v>62</v>
      </c>
      <c r="C180" s="4" t="str">
        <f>IF(D180="","Unknown",IF(D180&lt;20,"Teen",IF(D180&lt;40,"Adult","Senior")))</f>
        <v>Adult</v>
      </c>
      <c r="D180" s="3">
        <v>30</v>
      </c>
      <c r="E180" s="3" t="s">
        <v>250</v>
      </c>
      <c r="F180" s="4" t="s">
        <v>17</v>
      </c>
      <c r="G180" s="4" t="s">
        <v>12</v>
      </c>
      <c r="H180" t="s">
        <v>13</v>
      </c>
      <c r="I180" s="3">
        <v>2</v>
      </c>
      <c r="J180" s="5">
        <v>1000</v>
      </c>
      <c r="K180" s="7">
        <v>2000</v>
      </c>
      <c r="L180" s="6">
        <v>45313</v>
      </c>
      <c r="M180" s="8" t="str">
        <f>IF(K180&gt;10000,"High",IF(K180&gt;5000,"Medium","Low"))</f>
        <v>Low</v>
      </c>
      <c r="N180" s="4" t="s">
        <v>241</v>
      </c>
      <c r="O180" s="3">
        <v>1</v>
      </c>
      <c r="P180" s="3">
        <v>2024</v>
      </c>
      <c r="T180" s="4"/>
      <c r="X180"/>
      <c r="Y180" s="3"/>
      <c r="AA180"/>
    </row>
    <row r="181" spans="1:27" x14ac:dyDescent="0.3">
      <c r="A181" s="3">
        <v>1353</v>
      </c>
      <c r="B181" s="4" t="s">
        <v>73</v>
      </c>
      <c r="C181" s="4" t="str">
        <f>IF(D181="","Unknown",IF(D181&lt;20,"Teen",IF(D181&lt;40,"Adult","Senior")))</f>
        <v>Adult</v>
      </c>
      <c r="D181" s="3">
        <v>30</v>
      </c>
      <c r="E181" s="3" t="s">
        <v>250</v>
      </c>
      <c r="F181" s="4" t="s">
        <v>17</v>
      </c>
      <c r="G181" s="4" t="s">
        <v>55</v>
      </c>
      <c r="H181" t="s">
        <v>36</v>
      </c>
      <c r="I181" s="3">
        <v>4</v>
      </c>
      <c r="J181" s="5">
        <v>1000</v>
      </c>
      <c r="K181" s="7">
        <v>4000</v>
      </c>
      <c r="L181" s="6">
        <v>45321</v>
      </c>
      <c r="M181" s="8" t="str">
        <f>IF(K181&gt;10000,"High",IF(K181&gt;5000,"Medium","Low"))</f>
        <v>Low</v>
      </c>
      <c r="N181" s="4" t="s">
        <v>241</v>
      </c>
      <c r="O181" s="3">
        <v>1</v>
      </c>
      <c r="P181" s="3">
        <v>2024</v>
      </c>
      <c r="T181" s="4"/>
      <c r="X181"/>
      <c r="Y181" s="3"/>
      <c r="AA181"/>
    </row>
    <row r="182" spans="1:27" x14ac:dyDescent="0.3">
      <c r="A182" s="3">
        <v>1354</v>
      </c>
      <c r="B182" s="4" t="s">
        <v>57</v>
      </c>
      <c r="C182" s="4" t="str">
        <f>IF(D182="","Unknown",IF(D182&lt;20,"Teen",IF(D182&lt;40,"Adult","Senior")))</f>
        <v>Adult</v>
      </c>
      <c r="D182" s="3">
        <v>25</v>
      </c>
      <c r="E182" s="3" t="s">
        <v>250</v>
      </c>
      <c r="F182" s="4" t="s">
        <v>40</v>
      </c>
      <c r="G182" s="4" t="s">
        <v>51</v>
      </c>
      <c r="H182" t="s">
        <v>13</v>
      </c>
      <c r="I182" s="3">
        <v>1</v>
      </c>
      <c r="J182" s="5">
        <v>1000</v>
      </c>
      <c r="K182" s="7">
        <v>1000</v>
      </c>
      <c r="L182" s="6">
        <v>45294</v>
      </c>
      <c r="M182" s="8" t="str">
        <f>IF(K182&gt;10000,"High",IF(K182&gt;5000,"Medium","Low"))</f>
        <v>Low</v>
      </c>
      <c r="N182" s="4" t="s">
        <v>240</v>
      </c>
      <c r="O182" s="3">
        <v>1</v>
      </c>
      <c r="P182" s="3">
        <v>2024</v>
      </c>
      <c r="T182" s="4"/>
      <c r="X182"/>
      <c r="Y182" s="3"/>
      <c r="AA182"/>
    </row>
    <row r="183" spans="1:27" x14ac:dyDescent="0.3">
      <c r="A183" s="3">
        <v>1355</v>
      </c>
      <c r="B183" s="4" t="s">
        <v>73</v>
      </c>
      <c r="C183" s="4" t="str">
        <f>IF(D183="","Unknown",IF(D183&lt;20,"Teen",IF(D183&lt;40,"Adult","Senior")))</f>
        <v>Senior</v>
      </c>
      <c r="D183" s="3">
        <v>46</v>
      </c>
      <c r="E183" s="3" t="s">
        <v>249</v>
      </c>
      <c r="F183" s="4" t="s">
        <v>17</v>
      </c>
      <c r="G183" s="4" t="s">
        <v>44</v>
      </c>
      <c r="H183" t="s">
        <v>36</v>
      </c>
      <c r="I183" s="3">
        <v>1</v>
      </c>
      <c r="J183" s="5">
        <v>1000</v>
      </c>
      <c r="K183" s="7">
        <v>1000</v>
      </c>
      <c r="L183" s="6">
        <v>45313</v>
      </c>
      <c r="M183" s="8" t="str">
        <f>IF(K183&gt;10000,"High",IF(K183&gt;5000,"Medium","Low"))</f>
        <v>Low</v>
      </c>
      <c r="N183" s="4" t="s">
        <v>240</v>
      </c>
      <c r="O183" s="3">
        <v>1</v>
      </c>
      <c r="P183" s="3">
        <v>2024</v>
      </c>
      <c r="T183" s="4"/>
      <c r="X183"/>
      <c r="Y183" s="3"/>
      <c r="AA183"/>
    </row>
    <row r="184" spans="1:27" x14ac:dyDescent="0.3">
      <c r="A184" s="3">
        <v>1356</v>
      </c>
      <c r="B184" s="4" t="s">
        <v>68</v>
      </c>
      <c r="C184" s="4" t="str">
        <f>IF(D184="","Unknown",IF(D184&lt;20,"Teen",IF(D184&lt;40,"Adult","Senior")))</f>
        <v>Senior</v>
      </c>
      <c r="D184" s="3">
        <v>44</v>
      </c>
      <c r="E184" s="3" t="s">
        <v>249</v>
      </c>
      <c r="F184" s="4" t="s">
        <v>40</v>
      </c>
      <c r="G184" s="4" t="s">
        <v>23</v>
      </c>
      <c r="H184" t="s">
        <v>30</v>
      </c>
      <c r="I184" s="3">
        <v>5</v>
      </c>
      <c r="J184" s="5">
        <v>18769</v>
      </c>
      <c r="K184" s="7">
        <v>93845</v>
      </c>
      <c r="L184" s="6">
        <v>45308</v>
      </c>
      <c r="M184" s="8" t="str">
        <f>IF(K184&gt;10000,"High",IF(K184&gt;5000,"Medium","Low"))</f>
        <v>High</v>
      </c>
      <c r="N184" s="4" t="s">
        <v>244</v>
      </c>
      <c r="O184" s="3">
        <v>1</v>
      </c>
      <c r="P184" s="3">
        <v>2024</v>
      </c>
      <c r="T184" s="4"/>
      <c r="X184"/>
      <c r="Y184" s="3"/>
      <c r="AA184"/>
    </row>
    <row r="185" spans="1:27" x14ac:dyDescent="0.3">
      <c r="A185" s="3">
        <v>1358</v>
      </c>
      <c r="B185" s="4" t="s">
        <v>46</v>
      </c>
      <c r="C185" s="4" t="str">
        <f>IF(D185="","Unknown",IF(D185&lt;20,"Teen",IF(D185&lt;40,"Adult","Senior")))</f>
        <v>Adult</v>
      </c>
      <c r="D185" s="3">
        <v>30</v>
      </c>
      <c r="E185" s="3" t="s">
        <v>250</v>
      </c>
      <c r="F185" s="4" t="s">
        <v>17</v>
      </c>
      <c r="G185" s="4" t="s">
        <v>44</v>
      </c>
      <c r="H185" t="s">
        <v>36</v>
      </c>
      <c r="I185" s="3">
        <v>2</v>
      </c>
      <c r="J185" s="5">
        <v>1000</v>
      </c>
      <c r="K185" s="7">
        <v>2000</v>
      </c>
      <c r="L185" s="6">
        <v>45303</v>
      </c>
      <c r="M185" s="8" t="str">
        <f>IF(K185&gt;10000,"High",IF(K185&gt;5000,"Medium","Low"))</f>
        <v>Low</v>
      </c>
      <c r="N185" s="4" t="s">
        <v>242</v>
      </c>
      <c r="O185" s="3">
        <v>1</v>
      </c>
      <c r="P185" s="3">
        <v>2024</v>
      </c>
      <c r="T185" s="4"/>
      <c r="X185"/>
      <c r="Y185" s="3"/>
      <c r="AA185"/>
    </row>
    <row r="186" spans="1:27" x14ac:dyDescent="0.3">
      <c r="A186" s="3">
        <v>1359</v>
      </c>
      <c r="B186" s="4" t="s">
        <v>48</v>
      </c>
      <c r="C186" s="4" t="str">
        <f>IF(D186="","Unknown",IF(D186&lt;20,"Teen",IF(D186&lt;40,"Adult","Senior")))</f>
        <v>Adult</v>
      </c>
      <c r="D186" s="3">
        <v>30</v>
      </c>
      <c r="E186" s="3" t="s">
        <v>250</v>
      </c>
      <c r="F186" s="4" t="s">
        <v>40</v>
      </c>
      <c r="G186" s="4" t="s">
        <v>12</v>
      </c>
      <c r="H186" t="s">
        <v>13</v>
      </c>
      <c r="I186" s="3">
        <v>2</v>
      </c>
      <c r="J186" s="5">
        <v>6751</v>
      </c>
      <c r="K186" s="7">
        <v>13502</v>
      </c>
      <c r="L186" s="6">
        <v>45292</v>
      </c>
      <c r="M186" s="8" t="str">
        <f>IF(K186&gt;10000,"High",IF(K186&gt;5000,"Medium","Low"))</f>
        <v>High</v>
      </c>
      <c r="N186" s="4" t="s">
        <v>244</v>
      </c>
      <c r="O186" s="3">
        <v>1</v>
      </c>
      <c r="P186" s="3">
        <v>2024</v>
      </c>
      <c r="T186" s="4"/>
      <c r="X186"/>
      <c r="Y186" s="3"/>
      <c r="AA186"/>
    </row>
    <row r="187" spans="1:27" x14ac:dyDescent="0.3">
      <c r="A187" s="3">
        <v>1360</v>
      </c>
      <c r="B187" s="4" t="s">
        <v>46</v>
      </c>
      <c r="C187" s="4" t="str">
        <f>IF(D187="","Unknown",IF(D187&lt;20,"Teen",IF(D187&lt;40,"Adult","Senior")))</f>
        <v>Adult</v>
      </c>
      <c r="D187" s="3">
        <v>30</v>
      </c>
      <c r="E187" s="3" t="s">
        <v>250</v>
      </c>
      <c r="F187" s="4" t="s">
        <v>40</v>
      </c>
      <c r="G187" s="4" t="s">
        <v>41</v>
      </c>
      <c r="H187" t="s">
        <v>36</v>
      </c>
      <c r="I187" s="3">
        <v>2</v>
      </c>
      <c r="J187" s="5">
        <v>1000</v>
      </c>
      <c r="K187" s="7">
        <v>2000</v>
      </c>
      <c r="L187" s="6">
        <v>45294</v>
      </c>
      <c r="M187" s="8" t="str">
        <f>IF(K187&gt;10000,"High",IF(K187&gt;5000,"Medium","Low"))</f>
        <v>Low</v>
      </c>
      <c r="N187" s="4" t="s">
        <v>240</v>
      </c>
      <c r="O187" s="3">
        <v>1</v>
      </c>
      <c r="P187" s="3">
        <v>2024</v>
      </c>
      <c r="T187" s="4"/>
      <c r="X187"/>
      <c r="Y187" s="3"/>
      <c r="AA187"/>
    </row>
    <row r="188" spans="1:27" x14ac:dyDescent="0.3">
      <c r="A188" s="3">
        <v>1362</v>
      </c>
      <c r="B188" s="4" t="s">
        <v>64</v>
      </c>
      <c r="C188" s="4" t="str">
        <f>IF(D188="","Unknown",IF(D188&lt;20,"Teen",IF(D188&lt;40,"Adult","Senior")))</f>
        <v>Senior</v>
      </c>
      <c r="D188" s="3">
        <v>48</v>
      </c>
      <c r="E188" s="3" t="s">
        <v>249</v>
      </c>
      <c r="F188" s="4" t="s">
        <v>17</v>
      </c>
      <c r="G188" s="4" t="s">
        <v>27</v>
      </c>
      <c r="H188" t="s">
        <v>13</v>
      </c>
      <c r="I188" s="3">
        <v>2</v>
      </c>
      <c r="J188" s="5">
        <v>1000</v>
      </c>
      <c r="K188" s="7">
        <v>2000</v>
      </c>
      <c r="L188" s="6">
        <v>45301</v>
      </c>
      <c r="M188" s="8" t="str">
        <f>IF(K188&gt;10000,"High",IF(K188&gt;5000,"Medium","Low"))</f>
        <v>Low</v>
      </c>
      <c r="N188" s="4" t="s">
        <v>241</v>
      </c>
      <c r="O188" s="3">
        <v>1</v>
      </c>
      <c r="P188" s="3">
        <v>2024</v>
      </c>
      <c r="T188" s="4"/>
      <c r="X188"/>
      <c r="Y188" s="3"/>
      <c r="AA188"/>
    </row>
    <row r="189" spans="1:27" x14ac:dyDescent="0.3">
      <c r="A189" s="3">
        <v>1365</v>
      </c>
      <c r="B189" s="4" t="s">
        <v>21</v>
      </c>
      <c r="C189" s="4" t="str">
        <f>IF(D189="","Unknown",IF(D189&lt;20,"Teen",IF(D189&lt;40,"Adult","Senior")))</f>
        <v>Adult</v>
      </c>
      <c r="D189" s="3">
        <v>30</v>
      </c>
      <c r="E189" s="3" t="s">
        <v>250</v>
      </c>
      <c r="F189" s="4" t="s">
        <v>17</v>
      </c>
      <c r="G189" s="4" t="s">
        <v>55</v>
      </c>
      <c r="H189" t="s">
        <v>36</v>
      </c>
      <c r="I189" s="3">
        <v>3</v>
      </c>
      <c r="J189" s="5">
        <v>1000</v>
      </c>
      <c r="K189" s="7">
        <v>3000</v>
      </c>
      <c r="L189" s="6">
        <v>45322</v>
      </c>
      <c r="M189" s="8" t="str">
        <f>IF(K189&gt;10000,"High",IF(K189&gt;5000,"Medium","Low"))</f>
        <v>Low</v>
      </c>
      <c r="N189" s="4" t="s">
        <v>242</v>
      </c>
      <c r="O189" s="3">
        <v>1</v>
      </c>
      <c r="P189" s="3">
        <v>2024</v>
      </c>
      <c r="T189" s="4"/>
      <c r="X189"/>
      <c r="Y189" s="3"/>
      <c r="AA189"/>
    </row>
    <row r="190" spans="1:27" x14ac:dyDescent="0.3">
      <c r="A190" s="3">
        <v>1366</v>
      </c>
      <c r="B190" s="4" t="s">
        <v>16</v>
      </c>
      <c r="C190" s="4" t="str">
        <f>IF(D190="","Unknown",IF(D190&lt;20,"Teen",IF(D190&lt;40,"Adult","Senior")))</f>
        <v>Adult</v>
      </c>
      <c r="D190" s="3">
        <v>21</v>
      </c>
      <c r="E190" s="3" t="s">
        <v>250</v>
      </c>
      <c r="F190" s="4" t="s">
        <v>17</v>
      </c>
      <c r="G190" s="4" t="s">
        <v>12</v>
      </c>
      <c r="H190" t="s">
        <v>13</v>
      </c>
      <c r="I190" s="3">
        <v>1</v>
      </c>
      <c r="J190" s="5">
        <v>1000</v>
      </c>
      <c r="K190" s="7">
        <v>1000</v>
      </c>
      <c r="L190" s="6">
        <v>45316</v>
      </c>
      <c r="M190" s="8" t="str">
        <f>IF(K190&gt;10000,"High",IF(K190&gt;5000,"Medium","Low"))</f>
        <v>Low</v>
      </c>
      <c r="N190" s="4" t="s">
        <v>240</v>
      </c>
      <c r="O190" s="3">
        <v>1</v>
      </c>
      <c r="P190" s="3">
        <v>2024</v>
      </c>
      <c r="T190" s="4"/>
      <c r="X190"/>
      <c r="Y190" s="3"/>
      <c r="AA190"/>
    </row>
    <row r="191" spans="1:27" x14ac:dyDescent="0.3">
      <c r="A191" s="3">
        <v>1367</v>
      </c>
      <c r="B191" s="4" t="s">
        <v>68</v>
      </c>
      <c r="C191" s="4" t="str">
        <f>IF(D191="","Unknown",IF(D191&lt;20,"Teen",IF(D191&lt;40,"Adult","Senior")))</f>
        <v>Adult</v>
      </c>
      <c r="D191" s="3">
        <v>30</v>
      </c>
      <c r="E191" s="3" t="s">
        <v>250</v>
      </c>
      <c r="F191" s="4" t="s">
        <v>40</v>
      </c>
      <c r="G191" s="4" t="s">
        <v>27</v>
      </c>
      <c r="H191" t="s">
        <v>13</v>
      </c>
      <c r="I191" s="3">
        <v>3</v>
      </c>
      <c r="J191" s="5">
        <v>1000</v>
      </c>
      <c r="K191" s="7">
        <v>3000</v>
      </c>
      <c r="L191" s="6">
        <v>45309</v>
      </c>
      <c r="M191" s="8" t="str">
        <f>IF(K191&gt;10000,"High",IF(K191&gt;5000,"Medium","Low"))</f>
        <v>Low</v>
      </c>
      <c r="N191" s="4" t="s">
        <v>243</v>
      </c>
      <c r="O191" s="3">
        <v>1</v>
      </c>
      <c r="P191" s="3">
        <v>2024</v>
      </c>
      <c r="T191" s="4"/>
      <c r="X191"/>
      <c r="Y191" s="3"/>
      <c r="AA191"/>
    </row>
    <row r="192" spans="1:27" x14ac:dyDescent="0.3">
      <c r="A192" s="3">
        <v>1368</v>
      </c>
      <c r="B192" s="4" t="s">
        <v>38</v>
      </c>
      <c r="C192" s="4" t="str">
        <f>IF(D192="","Unknown",IF(D192&lt;20,"Teen",IF(D192&lt;40,"Adult","Senior")))</f>
        <v>Adult</v>
      </c>
      <c r="D192" s="3">
        <v>30</v>
      </c>
      <c r="E192" s="3" t="s">
        <v>250</v>
      </c>
      <c r="F192" s="4" t="s">
        <v>40</v>
      </c>
      <c r="G192" s="4" t="s">
        <v>18</v>
      </c>
      <c r="H192" t="s">
        <v>30</v>
      </c>
      <c r="I192" s="3">
        <v>2</v>
      </c>
      <c r="J192" s="5">
        <v>1000</v>
      </c>
      <c r="K192" s="7">
        <v>2000</v>
      </c>
      <c r="L192" s="6">
        <v>45314</v>
      </c>
      <c r="M192" s="8" t="str">
        <f>IF(K192&gt;10000,"High",IF(K192&gt;5000,"Medium","Low"))</f>
        <v>Low</v>
      </c>
      <c r="N192" s="4" t="s">
        <v>243</v>
      </c>
      <c r="O192" s="3">
        <v>1</v>
      </c>
      <c r="P192" s="3">
        <v>2024</v>
      </c>
      <c r="T192" s="4"/>
      <c r="X192"/>
      <c r="Y192" s="3"/>
      <c r="AA192"/>
    </row>
    <row r="193" spans="1:27" x14ac:dyDescent="0.3">
      <c r="A193" s="3">
        <v>1369</v>
      </c>
      <c r="B193" s="4" t="s">
        <v>21</v>
      </c>
      <c r="C193" s="4" t="str">
        <f>IF(D193="","Unknown",IF(D193&lt;20,"Teen",IF(D193&lt;40,"Adult","Senior")))</f>
        <v>Adult</v>
      </c>
      <c r="D193" s="3">
        <v>31</v>
      </c>
      <c r="E193" s="3" t="s">
        <v>249</v>
      </c>
      <c r="F193" s="4" t="s">
        <v>40</v>
      </c>
      <c r="G193" s="4" t="s">
        <v>18</v>
      </c>
      <c r="H193" t="s">
        <v>30</v>
      </c>
      <c r="I193" s="3">
        <v>2</v>
      </c>
      <c r="J193" s="5">
        <v>3988</v>
      </c>
      <c r="K193" s="7">
        <v>7976</v>
      </c>
      <c r="L193" s="6">
        <v>45297</v>
      </c>
      <c r="M193" s="8" t="str">
        <f>IF(K193&gt;10000,"High",IF(K193&gt;5000,"Medium","Low"))</f>
        <v>Medium</v>
      </c>
      <c r="N193" s="4" t="s">
        <v>241</v>
      </c>
      <c r="O193" s="3">
        <v>1</v>
      </c>
      <c r="P193" s="3">
        <v>2024</v>
      </c>
      <c r="T193" s="4"/>
      <c r="X193"/>
      <c r="Y193" s="3"/>
      <c r="AA193"/>
    </row>
    <row r="194" spans="1:27" x14ac:dyDescent="0.3">
      <c r="A194" s="3">
        <v>1372</v>
      </c>
      <c r="B194" s="4" t="s">
        <v>32</v>
      </c>
      <c r="C194" s="4" t="str">
        <f>IF(D194="","Unknown",IF(D194&lt;20,"Teen",IF(D194&lt;40,"Adult","Senior")))</f>
        <v>Adult</v>
      </c>
      <c r="D194" s="3">
        <v>30</v>
      </c>
      <c r="E194" s="3" t="s">
        <v>250</v>
      </c>
      <c r="F194" s="4" t="s">
        <v>40</v>
      </c>
      <c r="G194" s="4" t="s">
        <v>12</v>
      </c>
      <c r="H194" t="s">
        <v>13</v>
      </c>
      <c r="I194" s="3">
        <v>2</v>
      </c>
      <c r="J194" s="5">
        <v>1000</v>
      </c>
      <c r="K194" s="7">
        <v>2000</v>
      </c>
      <c r="L194" s="6">
        <v>45313</v>
      </c>
      <c r="M194" s="8" t="str">
        <f>IF(K194&gt;10000,"High",IF(K194&gt;5000,"Medium","Low"))</f>
        <v>Low</v>
      </c>
      <c r="N194" s="4" t="s">
        <v>242</v>
      </c>
      <c r="O194" s="3">
        <v>1</v>
      </c>
      <c r="P194" s="3">
        <v>2024</v>
      </c>
      <c r="T194" s="4"/>
      <c r="X194"/>
      <c r="Y194" s="3"/>
      <c r="AA194"/>
    </row>
    <row r="195" spans="1:27" x14ac:dyDescent="0.3">
      <c r="A195" s="3">
        <v>1373</v>
      </c>
      <c r="B195" s="4" t="s">
        <v>21</v>
      </c>
      <c r="C195" s="4" t="str">
        <f>IF(D195="","Unknown",IF(D195&lt;20,"Teen",IF(D195&lt;40,"Adult","Senior")))</f>
        <v>Adult</v>
      </c>
      <c r="D195" s="3">
        <v>34</v>
      </c>
      <c r="E195" s="3" t="s">
        <v>249</v>
      </c>
      <c r="F195" s="4" t="s">
        <v>17</v>
      </c>
      <c r="G195" s="4" t="s">
        <v>41</v>
      </c>
      <c r="H195" t="s">
        <v>36</v>
      </c>
      <c r="I195" s="3">
        <v>1</v>
      </c>
      <c r="J195" s="5">
        <v>1000</v>
      </c>
      <c r="K195" s="7">
        <v>1000</v>
      </c>
      <c r="L195" s="6">
        <v>45295</v>
      </c>
      <c r="M195" s="8" t="str">
        <f>IF(K195&gt;10000,"High",IF(K195&gt;5000,"Medium","Low"))</f>
        <v>Low</v>
      </c>
      <c r="N195" s="4" t="s">
        <v>241</v>
      </c>
      <c r="O195" s="3">
        <v>1</v>
      </c>
      <c r="P195" s="3">
        <v>2024</v>
      </c>
      <c r="T195" s="4"/>
      <c r="X195"/>
      <c r="Y195" s="3"/>
      <c r="AA195"/>
    </row>
    <row r="196" spans="1:27" x14ac:dyDescent="0.3">
      <c r="A196" s="3">
        <v>1375</v>
      </c>
      <c r="B196" s="4" t="s">
        <v>21</v>
      </c>
      <c r="C196" s="4" t="str">
        <f>IF(D196="","Unknown",IF(D196&lt;20,"Teen",IF(D196&lt;40,"Adult","Senior")))</f>
        <v>Adult</v>
      </c>
      <c r="D196" s="3">
        <v>33</v>
      </c>
      <c r="E196" s="3" t="s">
        <v>249</v>
      </c>
      <c r="F196" s="4" t="s">
        <v>40</v>
      </c>
      <c r="G196" s="4" t="s">
        <v>18</v>
      </c>
      <c r="H196" t="s">
        <v>30</v>
      </c>
      <c r="I196" s="3">
        <v>2</v>
      </c>
      <c r="J196" s="5">
        <v>1000</v>
      </c>
      <c r="K196" s="7">
        <v>2000</v>
      </c>
      <c r="L196" s="6">
        <v>45295</v>
      </c>
      <c r="M196" s="8" t="str">
        <f>IF(K196&gt;10000,"High",IF(K196&gt;5000,"Medium","Low"))</f>
        <v>Low</v>
      </c>
      <c r="N196" s="4" t="s">
        <v>241</v>
      </c>
      <c r="O196" s="3">
        <v>1</v>
      </c>
      <c r="P196" s="3">
        <v>2024</v>
      </c>
      <c r="T196" s="4"/>
      <c r="X196"/>
      <c r="Y196" s="3"/>
      <c r="AA196"/>
    </row>
    <row r="197" spans="1:27" x14ac:dyDescent="0.3">
      <c r="A197" s="3">
        <v>1376</v>
      </c>
      <c r="B197" s="4" t="s">
        <v>68</v>
      </c>
      <c r="C197" s="4" t="str">
        <f>IF(D197="","Unknown",IF(D197&lt;20,"Teen",IF(D197&lt;40,"Adult","Senior")))</f>
        <v>Adult</v>
      </c>
      <c r="D197" s="3">
        <v>30</v>
      </c>
      <c r="E197" s="3" t="s">
        <v>250</v>
      </c>
      <c r="F197" s="4" t="s">
        <v>40</v>
      </c>
      <c r="G197" s="4" t="s">
        <v>12</v>
      </c>
      <c r="H197" t="s">
        <v>13</v>
      </c>
      <c r="I197" s="3">
        <v>1</v>
      </c>
      <c r="J197" s="5">
        <v>1000</v>
      </c>
      <c r="K197" s="7">
        <v>1000</v>
      </c>
      <c r="L197" s="6">
        <v>45322</v>
      </c>
      <c r="M197" s="8" t="str">
        <f>IF(K197&gt;10000,"High",IF(K197&gt;5000,"Medium","Low"))</f>
        <v>Low</v>
      </c>
      <c r="N197" s="4" t="s">
        <v>243</v>
      </c>
      <c r="O197" s="3">
        <v>1</v>
      </c>
      <c r="P197" s="3">
        <v>2024</v>
      </c>
      <c r="T197" s="4"/>
      <c r="X197"/>
      <c r="Y197" s="3"/>
      <c r="AA197"/>
    </row>
    <row r="198" spans="1:27" x14ac:dyDescent="0.3">
      <c r="A198" s="3">
        <v>1378</v>
      </c>
      <c r="B198" s="4" t="s">
        <v>62</v>
      </c>
      <c r="C198" s="4" t="str">
        <f>IF(D198="","Unknown",IF(D198&lt;20,"Teen",IF(D198&lt;40,"Adult","Senior")))</f>
        <v>Adult</v>
      </c>
      <c r="D198" s="3">
        <v>38</v>
      </c>
      <c r="E198" s="3" t="s">
        <v>249</v>
      </c>
      <c r="F198" s="4" t="s">
        <v>40</v>
      </c>
      <c r="G198" s="4" t="s">
        <v>12</v>
      </c>
      <c r="H198" t="s">
        <v>13</v>
      </c>
      <c r="I198" s="3">
        <v>2</v>
      </c>
      <c r="J198" s="5">
        <v>39171</v>
      </c>
      <c r="K198" s="7">
        <v>78342</v>
      </c>
      <c r="L198" s="6">
        <v>45295</v>
      </c>
      <c r="M198" s="8" t="str">
        <f>IF(K198&gt;10000,"High",IF(K198&gt;5000,"Medium","Low"))</f>
        <v>High</v>
      </c>
      <c r="N198" s="4" t="s">
        <v>241</v>
      </c>
      <c r="O198" s="3">
        <v>1</v>
      </c>
      <c r="P198" s="3">
        <v>2024</v>
      </c>
      <c r="T198" s="4"/>
      <c r="X198"/>
      <c r="Y198" s="3"/>
      <c r="AA198"/>
    </row>
    <row r="199" spans="1:27" x14ac:dyDescent="0.3">
      <c r="A199" s="3">
        <v>1380</v>
      </c>
      <c r="B199" s="4" t="s">
        <v>38</v>
      </c>
      <c r="C199" s="4" t="str">
        <f>IF(D199="","Unknown",IF(D199&lt;20,"Teen",IF(D199&lt;40,"Adult","Senior")))</f>
        <v>Senior</v>
      </c>
      <c r="D199" s="3">
        <v>44</v>
      </c>
      <c r="E199" s="3" t="s">
        <v>249</v>
      </c>
      <c r="F199" s="4" t="s">
        <v>40</v>
      </c>
      <c r="G199" s="4" t="s">
        <v>18</v>
      </c>
      <c r="H199" t="s">
        <v>30</v>
      </c>
      <c r="I199" s="3">
        <v>2</v>
      </c>
      <c r="J199" s="5">
        <v>1000</v>
      </c>
      <c r="K199" s="7">
        <v>2000</v>
      </c>
      <c r="L199" s="6">
        <v>45321</v>
      </c>
      <c r="M199" s="8" t="str">
        <f>IF(K199&gt;10000,"High",IF(K199&gt;5000,"Medium","Low"))</f>
        <v>Low</v>
      </c>
      <c r="N199" s="4" t="s">
        <v>242</v>
      </c>
      <c r="O199" s="3">
        <v>1</v>
      </c>
      <c r="P199" s="3">
        <v>2024</v>
      </c>
      <c r="T199" s="4"/>
      <c r="X199"/>
      <c r="Y199" s="3"/>
      <c r="AA199"/>
    </row>
    <row r="200" spans="1:27" x14ac:dyDescent="0.3">
      <c r="A200" s="3">
        <v>1382</v>
      </c>
      <c r="B200" s="4" t="s">
        <v>38</v>
      </c>
      <c r="C200" s="4" t="str">
        <f>IF(D200="","Unknown",IF(D200&lt;20,"Teen",IF(D200&lt;40,"Adult","Senior")))</f>
        <v>Adult</v>
      </c>
      <c r="D200" s="3">
        <v>29</v>
      </c>
      <c r="E200" s="3" t="s">
        <v>250</v>
      </c>
      <c r="F200" s="4" t="s">
        <v>40</v>
      </c>
      <c r="G200" s="4" t="s">
        <v>18</v>
      </c>
      <c r="H200" t="s">
        <v>30</v>
      </c>
      <c r="I200" s="3">
        <v>2</v>
      </c>
      <c r="J200" s="5">
        <v>18967</v>
      </c>
      <c r="K200" s="7">
        <v>37934</v>
      </c>
      <c r="L200" s="6">
        <v>45310</v>
      </c>
      <c r="M200" s="8" t="str">
        <f>IF(K200&gt;10000,"High",IF(K200&gt;5000,"Medium","Low"))</f>
        <v>High</v>
      </c>
      <c r="N200" s="4" t="s">
        <v>244</v>
      </c>
      <c r="O200" s="3">
        <v>1</v>
      </c>
      <c r="P200" s="3">
        <v>2024</v>
      </c>
      <c r="T200" s="4"/>
      <c r="X200"/>
      <c r="Y200" s="3"/>
      <c r="AA200"/>
    </row>
    <row r="201" spans="1:27" x14ac:dyDescent="0.3">
      <c r="A201" s="3">
        <v>1383</v>
      </c>
      <c r="B201" s="4" t="s">
        <v>10</v>
      </c>
      <c r="C201" s="4" t="str">
        <f>IF(D201="","Unknown",IF(D201&lt;20,"Teen",IF(D201&lt;40,"Adult","Senior")))</f>
        <v>Adult</v>
      </c>
      <c r="D201" s="3">
        <v>30</v>
      </c>
      <c r="E201" s="3" t="s">
        <v>250</v>
      </c>
      <c r="F201" s="4" t="s">
        <v>17</v>
      </c>
      <c r="G201" s="4" t="s">
        <v>27</v>
      </c>
      <c r="H201" t="s">
        <v>13</v>
      </c>
      <c r="I201" s="3">
        <v>2</v>
      </c>
      <c r="J201" s="5">
        <v>1000</v>
      </c>
      <c r="K201" s="7">
        <v>2000</v>
      </c>
      <c r="L201" s="6">
        <v>45308</v>
      </c>
      <c r="M201" s="8" t="str">
        <f>IF(K201&gt;10000,"High",IF(K201&gt;5000,"Medium","Low"))</f>
        <v>Low</v>
      </c>
      <c r="N201" s="4" t="s">
        <v>243</v>
      </c>
      <c r="O201" s="3">
        <v>1</v>
      </c>
      <c r="P201" s="3">
        <v>2024</v>
      </c>
      <c r="T201" s="4"/>
      <c r="X201"/>
      <c r="Y201" s="3"/>
      <c r="AA201"/>
    </row>
    <row r="202" spans="1:27" x14ac:dyDescent="0.3">
      <c r="A202" s="3">
        <v>1386</v>
      </c>
      <c r="B202" s="4" t="s">
        <v>46</v>
      </c>
      <c r="C202" s="4" t="str">
        <f>IF(D202="","Unknown",IF(D202&lt;20,"Teen",IF(D202&lt;40,"Adult","Senior")))</f>
        <v>Senior</v>
      </c>
      <c r="D202" s="3">
        <v>49</v>
      </c>
      <c r="E202" s="3" t="s">
        <v>249</v>
      </c>
      <c r="F202" s="4" t="s">
        <v>40</v>
      </c>
      <c r="G202" s="4" t="s">
        <v>18</v>
      </c>
      <c r="H202" t="s">
        <v>30</v>
      </c>
      <c r="I202" s="3">
        <v>2</v>
      </c>
      <c r="J202" s="5">
        <v>1000</v>
      </c>
      <c r="K202" s="7">
        <v>2000</v>
      </c>
      <c r="L202" s="6">
        <v>45292</v>
      </c>
      <c r="M202" s="8" t="str">
        <f>IF(K202&gt;10000,"High",IF(K202&gt;5000,"Medium","Low"))</f>
        <v>Low</v>
      </c>
      <c r="N202" s="4" t="s">
        <v>242</v>
      </c>
      <c r="O202" s="3">
        <v>1</v>
      </c>
      <c r="P202" s="3">
        <v>2024</v>
      </c>
      <c r="T202" s="4"/>
      <c r="X202"/>
      <c r="Y202" s="3"/>
      <c r="AA202"/>
    </row>
    <row r="203" spans="1:27" x14ac:dyDescent="0.3">
      <c r="A203" s="3">
        <v>1387</v>
      </c>
      <c r="B203" s="4" t="s">
        <v>16</v>
      </c>
      <c r="C203" s="4" t="str">
        <f>IF(D203="","Unknown",IF(D203&lt;20,"Teen",IF(D203&lt;40,"Adult","Senior")))</f>
        <v>Adult</v>
      </c>
      <c r="D203" s="3">
        <v>21</v>
      </c>
      <c r="E203" s="3" t="s">
        <v>250</v>
      </c>
      <c r="F203" s="4" t="s">
        <v>40</v>
      </c>
      <c r="G203" s="4" t="s">
        <v>12</v>
      </c>
      <c r="H203" t="s">
        <v>13</v>
      </c>
      <c r="I203" s="3">
        <v>2</v>
      </c>
      <c r="J203" s="5">
        <v>31040</v>
      </c>
      <c r="K203" s="7">
        <v>62080</v>
      </c>
      <c r="L203" s="6">
        <v>45317</v>
      </c>
      <c r="M203" s="8" t="str">
        <f>IF(K203&gt;10000,"High",IF(K203&gt;5000,"Medium","Low"))</f>
        <v>High</v>
      </c>
      <c r="N203" s="4" t="s">
        <v>240</v>
      </c>
      <c r="O203" s="3">
        <v>1</v>
      </c>
      <c r="P203" s="3">
        <v>2024</v>
      </c>
      <c r="T203" s="4"/>
      <c r="X203"/>
      <c r="Y203" s="3"/>
      <c r="AA203"/>
    </row>
    <row r="204" spans="1:27" x14ac:dyDescent="0.3">
      <c r="A204" s="3">
        <v>1388</v>
      </c>
      <c r="B204" s="4" t="s">
        <v>68</v>
      </c>
      <c r="C204" s="4" t="str">
        <f>IF(D204="","Unknown",IF(D204&lt;20,"Teen",IF(D204&lt;40,"Adult","Senior")))</f>
        <v>Senior</v>
      </c>
      <c r="D204" s="3">
        <v>50</v>
      </c>
      <c r="E204" s="3" t="s">
        <v>249</v>
      </c>
      <c r="F204" s="4" t="s">
        <v>40</v>
      </c>
      <c r="G204" s="4" t="s">
        <v>51</v>
      </c>
      <c r="H204" t="s">
        <v>13</v>
      </c>
      <c r="I204" s="3">
        <v>3</v>
      </c>
      <c r="J204" s="5">
        <v>18842</v>
      </c>
      <c r="K204" s="7">
        <v>56526</v>
      </c>
      <c r="L204" s="6">
        <v>45314</v>
      </c>
      <c r="M204" s="8" t="str">
        <f>IF(K204&gt;10000,"High",IF(K204&gt;5000,"Medium","Low"))</f>
        <v>High</v>
      </c>
      <c r="N204" s="4" t="s">
        <v>241</v>
      </c>
      <c r="O204" s="3">
        <v>1</v>
      </c>
      <c r="P204" s="3">
        <v>2024</v>
      </c>
      <c r="T204" s="4"/>
      <c r="X204"/>
      <c r="Y204" s="3"/>
      <c r="AA204"/>
    </row>
    <row r="205" spans="1:27" x14ac:dyDescent="0.3">
      <c r="A205" s="3">
        <v>1389</v>
      </c>
      <c r="B205" s="4" t="s">
        <v>10</v>
      </c>
      <c r="C205" s="4" t="str">
        <f>IF(D205="","Unknown",IF(D205&lt;20,"Teen",IF(D205&lt;40,"Adult","Senior")))</f>
        <v>Adult</v>
      </c>
      <c r="D205" s="3">
        <v>26</v>
      </c>
      <c r="E205" s="3" t="s">
        <v>250</v>
      </c>
      <c r="F205" s="4" t="s">
        <v>40</v>
      </c>
      <c r="G205" s="4" t="s">
        <v>41</v>
      </c>
      <c r="H205" t="s">
        <v>36</v>
      </c>
      <c r="I205" s="3">
        <v>2</v>
      </c>
      <c r="J205" s="5">
        <v>8786</v>
      </c>
      <c r="K205" s="7">
        <v>17572</v>
      </c>
      <c r="L205" s="6">
        <v>45295</v>
      </c>
      <c r="M205" s="8" t="str">
        <f>IF(K205&gt;10000,"High",IF(K205&gt;5000,"Medium","Low"))</f>
        <v>High</v>
      </c>
      <c r="N205" s="4" t="s">
        <v>241</v>
      </c>
      <c r="O205" s="3">
        <v>1</v>
      </c>
      <c r="P205" s="3">
        <v>2024</v>
      </c>
      <c r="T205" s="4"/>
      <c r="X205"/>
      <c r="Y205" s="3"/>
      <c r="AA205"/>
    </row>
    <row r="206" spans="1:27" x14ac:dyDescent="0.3">
      <c r="A206" s="3">
        <v>1390</v>
      </c>
      <c r="B206" s="4" t="s">
        <v>62</v>
      </c>
      <c r="C206" s="4" t="str">
        <f>IF(D206="","Unknown",IF(D206&lt;20,"Teen",IF(D206&lt;40,"Adult","Senior")))</f>
        <v>Adult</v>
      </c>
      <c r="D206" s="3">
        <v>30</v>
      </c>
      <c r="E206" s="3" t="s">
        <v>250</v>
      </c>
      <c r="F206" s="4" t="s">
        <v>17</v>
      </c>
      <c r="G206" s="4" t="s">
        <v>23</v>
      </c>
      <c r="H206" t="s">
        <v>30</v>
      </c>
      <c r="I206" s="3">
        <v>5</v>
      </c>
      <c r="J206" s="5">
        <v>1000</v>
      </c>
      <c r="K206" s="7">
        <v>5000</v>
      </c>
      <c r="L206" s="6">
        <v>45294</v>
      </c>
      <c r="M206" s="8" t="str">
        <f>IF(K206&gt;10000,"High",IF(K206&gt;5000,"Medium","Low"))</f>
        <v>Low</v>
      </c>
      <c r="N206" s="4" t="s">
        <v>241</v>
      </c>
      <c r="O206" s="3">
        <v>1</v>
      </c>
      <c r="P206" s="3">
        <v>2024</v>
      </c>
      <c r="T206" s="4"/>
      <c r="X206"/>
      <c r="Y206" s="3"/>
      <c r="AA206"/>
    </row>
    <row r="207" spans="1:27" x14ac:dyDescent="0.3">
      <c r="A207" s="3">
        <v>1392</v>
      </c>
      <c r="B207" s="4" t="s">
        <v>46</v>
      </c>
      <c r="C207" s="4" t="str">
        <f>IF(D207="","Unknown",IF(D207&lt;20,"Teen",IF(D207&lt;40,"Adult","Senior")))</f>
        <v>Adult</v>
      </c>
      <c r="D207" s="3">
        <v>21</v>
      </c>
      <c r="E207" s="3" t="s">
        <v>250</v>
      </c>
      <c r="F207" s="4" t="s">
        <v>40</v>
      </c>
      <c r="G207" s="4" t="s">
        <v>41</v>
      </c>
      <c r="H207" t="s">
        <v>36</v>
      </c>
      <c r="I207" s="3">
        <v>2</v>
      </c>
      <c r="J207" s="5">
        <v>1000</v>
      </c>
      <c r="K207" s="7">
        <v>2000</v>
      </c>
      <c r="L207" s="6">
        <v>45321</v>
      </c>
      <c r="M207" s="8" t="str">
        <f>IF(K207&gt;10000,"High",IF(K207&gt;5000,"Medium","Low"))</f>
        <v>Low</v>
      </c>
      <c r="N207" s="4" t="s">
        <v>241</v>
      </c>
      <c r="O207" s="3">
        <v>1</v>
      </c>
      <c r="P207" s="3">
        <v>2024</v>
      </c>
      <c r="T207" s="4"/>
      <c r="X207"/>
      <c r="Y207" s="3"/>
      <c r="AA207"/>
    </row>
    <row r="208" spans="1:27" x14ac:dyDescent="0.3">
      <c r="A208" s="3">
        <v>1393</v>
      </c>
      <c r="B208" s="4" t="s">
        <v>69</v>
      </c>
      <c r="C208" s="4" t="str">
        <f>IF(D208="","Unknown",IF(D208&lt;20,"Teen",IF(D208&lt;40,"Adult","Senior")))</f>
        <v>Adult</v>
      </c>
      <c r="D208" s="3">
        <v>33</v>
      </c>
      <c r="E208" s="3" t="s">
        <v>249</v>
      </c>
      <c r="F208" s="4" t="s">
        <v>17</v>
      </c>
      <c r="G208" s="4" t="s">
        <v>51</v>
      </c>
      <c r="H208" t="s">
        <v>13</v>
      </c>
      <c r="I208" s="3">
        <v>2</v>
      </c>
      <c r="J208" s="5">
        <v>1000</v>
      </c>
      <c r="K208" s="7">
        <v>2000</v>
      </c>
      <c r="L208" s="6">
        <v>45295</v>
      </c>
      <c r="M208" s="8" t="str">
        <f>IF(K208&gt;10000,"High",IF(K208&gt;5000,"Medium","Low"))</f>
        <v>Low</v>
      </c>
      <c r="N208" s="4" t="s">
        <v>243</v>
      </c>
      <c r="O208" s="3">
        <v>1</v>
      </c>
      <c r="P208" s="3">
        <v>2024</v>
      </c>
      <c r="T208" s="4"/>
      <c r="X208"/>
      <c r="Y208" s="3"/>
      <c r="AA208"/>
    </row>
    <row r="209" spans="1:27" x14ac:dyDescent="0.3">
      <c r="A209" s="3">
        <v>1396</v>
      </c>
      <c r="B209" s="4" t="s">
        <v>62</v>
      </c>
      <c r="C209" s="4" t="str">
        <f>IF(D209="","Unknown",IF(D209&lt;20,"Teen",IF(D209&lt;40,"Adult","Senior")))</f>
        <v>Senior</v>
      </c>
      <c r="D209" s="3">
        <v>49</v>
      </c>
      <c r="E209" s="3" t="s">
        <v>249</v>
      </c>
      <c r="F209" s="4" t="s">
        <v>17</v>
      </c>
      <c r="G209" s="4" t="s">
        <v>18</v>
      </c>
      <c r="H209" t="s">
        <v>30</v>
      </c>
      <c r="I209" s="3">
        <v>2</v>
      </c>
      <c r="J209" s="5">
        <v>1000</v>
      </c>
      <c r="K209" s="7">
        <v>2000</v>
      </c>
      <c r="L209" s="6">
        <v>45293</v>
      </c>
      <c r="M209" s="8" t="str">
        <f>IF(K209&gt;10000,"High",IF(K209&gt;5000,"Medium","Low"))</f>
        <v>Low</v>
      </c>
      <c r="N209" s="4" t="s">
        <v>242</v>
      </c>
      <c r="O209" s="3">
        <v>1</v>
      </c>
      <c r="P209" s="3">
        <v>2024</v>
      </c>
      <c r="T209" s="4"/>
      <c r="X209"/>
      <c r="Y209" s="3"/>
      <c r="AA209"/>
    </row>
    <row r="210" spans="1:27" x14ac:dyDescent="0.3">
      <c r="A210" s="3">
        <v>1397</v>
      </c>
      <c r="B210" s="4" t="s">
        <v>48</v>
      </c>
      <c r="C210" s="4" t="str">
        <f>IF(D210="","Unknown",IF(D210&lt;20,"Teen",IF(D210&lt;40,"Adult","Senior")))</f>
        <v>Senior</v>
      </c>
      <c r="D210" s="3">
        <v>40</v>
      </c>
      <c r="E210" s="3" t="s">
        <v>249</v>
      </c>
      <c r="F210" s="4" t="s">
        <v>40</v>
      </c>
      <c r="G210" s="4" t="s">
        <v>44</v>
      </c>
      <c r="H210" t="s">
        <v>36</v>
      </c>
      <c r="I210" s="3">
        <v>2</v>
      </c>
      <c r="J210" s="5">
        <v>1000</v>
      </c>
      <c r="K210" s="7">
        <v>2000</v>
      </c>
      <c r="L210" s="6">
        <v>45304</v>
      </c>
      <c r="M210" s="8" t="str">
        <f>IF(K210&gt;10000,"High",IF(K210&gt;5000,"Medium","Low"))</f>
        <v>Low</v>
      </c>
      <c r="N210" s="4" t="s">
        <v>241</v>
      </c>
      <c r="O210" s="3">
        <v>1</v>
      </c>
      <c r="P210" s="3">
        <v>2024</v>
      </c>
      <c r="T210" s="4"/>
      <c r="X210"/>
      <c r="Y210" s="3"/>
      <c r="AA210"/>
    </row>
    <row r="211" spans="1:27" x14ac:dyDescent="0.3">
      <c r="A211" s="3">
        <v>1400</v>
      </c>
      <c r="B211" s="4" t="s">
        <v>32</v>
      </c>
      <c r="C211" s="4" t="str">
        <f>IF(D211="","Unknown",IF(D211&lt;20,"Teen",IF(D211&lt;40,"Adult","Senior")))</f>
        <v>Adult</v>
      </c>
      <c r="D211" s="3">
        <v>36</v>
      </c>
      <c r="E211" s="3" t="s">
        <v>249</v>
      </c>
      <c r="F211" s="4" t="s">
        <v>40</v>
      </c>
      <c r="G211" s="4" t="s">
        <v>44</v>
      </c>
      <c r="H211" t="s">
        <v>36</v>
      </c>
      <c r="I211" s="3">
        <v>2</v>
      </c>
      <c r="J211" s="5">
        <v>48438</v>
      </c>
      <c r="K211" s="7">
        <v>96876</v>
      </c>
      <c r="L211" s="6">
        <v>45298</v>
      </c>
      <c r="M211" s="8" t="str">
        <f>IF(K211&gt;10000,"High",IF(K211&gt;5000,"Medium","Low"))</f>
        <v>High</v>
      </c>
      <c r="N211" s="4" t="s">
        <v>241</v>
      </c>
      <c r="O211" s="3">
        <v>1</v>
      </c>
      <c r="P211" s="3">
        <v>2024</v>
      </c>
      <c r="T211" s="4"/>
      <c r="X211"/>
      <c r="Y211" s="3"/>
      <c r="AA211"/>
    </row>
    <row r="212" spans="1:27" x14ac:dyDescent="0.3">
      <c r="A212" s="3">
        <v>1403</v>
      </c>
      <c r="B212" s="4" t="s">
        <v>32</v>
      </c>
      <c r="C212" s="4" t="str">
        <f>IF(D212="","Unknown",IF(D212&lt;20,"Teen",IF(D212&lt;40,"Adult","Senior")))</f>
        <v>Adult</v>
      </c>
      <c r="D212" s="3">
        <v>25</v>
      </c>
      <c r="E212" s="3" t="s">
        <v>250</v>
      </c>
      <c r="F212" s="4" t="s">
        <v>17</v>
      </c>
      <c r="G212" s="4" t="s">
        <v>27</v>
      </c>
      <c r="H212" t="s">
        <v>13</v>
      </c>
      <c r="I212" s="3">
        <v>2</v>
      </c>
      <c r="J212" s="5">
        <v>1000</v>
      </c>
      <c r="K212" s="7">
        <v>2000</v>
      </c>
      <c r="L212" s="6">
        <v>45301</v>
      </c>
      <c r="M212" s="8" t="str">
        <f>IF(K212&gt;10000,"High",IF(K212&gt;5000,"Medium","Low"))</f>
        <v>Low</v>
      </c>
      <c r="N212" s="4" t="s">
        <v>241</v>
      </c>
      <c r="O212" s="3">
        <v>1</v>
      </c>
      <c r="P212" s="3">
        <v>2024</v>
      </c>
      <c r="T212" s="4"/>
      <c r="X212"/>
      <c r="Y212" s="3"/>
      <c r="AA212"/>
    </row>
    <row r="213" spans="1:27" x14ac:dyDescent="0.3">
      <c r="A213" s="3">
        <v>1404</v>
      </c>
      <c r="B213" s="4" t="s">
        <v>48</v>
      </c>
      <c r="C213" s="4" t="str">
        <f>IF(D213="","Unknown",IF(D213&lt;20,"Teen",IF(D213&lt;40,"Adult","Senior")))</f>
        <v>Adult</v>
      </c>
      <c r="D213" s="3">
        <v>35</v>
      </c>
      <c r="E213" s="3" t="s">
        <v>249</v>
      </c>
      <c r="F213" s="4" t="s">
        <v>40</v>
      </c>
      <c r="G213" s="4" t="s">
        <v>27</v>
      </c>
      <c r="H213" t="s">
        <v>13</v>
      </c>
      <c r="I213" s="3">
        <v>2</v>
      </c>
      <c r="J213" s="5">
        <v>3451</v>
      </c>
      <c r="K213" s="7">
        <v>6902</v>
      </c>
      <c r="L213" s="6">
        <v>45297</v>
      </c>
      <c r="M213" s="8" t="str">
        <f>IF(K213&gt;10000,"High",IF(K213&gt;5000,"Medium","Low"))</f>
        <v>Medium</v>
      </c>
      <c r="N213" s="4" t="s">
        <v>243</v>
      </c>
      <c r="O213" s="3">
        <v>1</v>
      </c>
      <c r="P213" s="3">
        <v>2024</v>
      </c>
      <c r="T213" s="4"/>
      <c r="X213"/>
      <c r="Y213" s="3"/>
      <c r="AA213"/>
    </row>
    <row r="214" spans="1:27" x14ac:dyDescent="0.3">
      <c r="A214" s="3">
        <v>1405</v>
      </c>
      <c r="B214" s="4" t="s">
        <v>21</v>
      </c>
      <c r="C214" s="4" t="str">
        <f>IF(D214="","Unknown",IF(D214&lt;20,"Teen",IF(D214&lt;40,"Adult","Senior")))</f>
        <v>Adult</v>
      </c>
      <c r="D214" s="3">
        <v>30</v>
      </c>
      <c r="E214" s="3" t="s">
        <v>250</v>
      </c>
      <c r="F214" s="4" t="s">
        <v>17</v>
      </c>
      <c r="G214" s="4" t="s">
        <v>18</v>
      </c>
      <c r="H214" t="s">
        <v>30</v>
      </c>
      <c r="I214" s="3">
        <v>4</v>
      </c>
      <c r="J214" s="5">
        <v>1000</v>
      </c>
      <c r="K214" s="7">
        <v>4000</v>
      </c>
      <c r="L214" s="6">
        <v>45302</v>
      </c>
      <c r="M214" s="8" t="str">
        <f>IF(K214&gt;10000,"High",IF(K214&gt;5000,"Medium","Low"))</f>
        <v>Low</v>
      </c>
      <c r="N214" s="4" t="s">
        <v>242</v>
      </c>
      <c r="O214" s="3">
        <v>1</v>
      </c>
      <c r="P214" s="3">
        <v>2024</v>
      </c>
      <c r="T214" s="4"/>
      <c r="X214"/>
      <c r="Y214" s="3"/>
      <c r="AA214"/>
    </row>
    <row r="215" spans="1:27" x14ac:dyDescent="0.3">
      <c r="A215" s="3">
        <v>1407</v>
      </c>
      <c r="B215" s="4" t="s">
        <v>21</v>
      </c>
      <c r="C215" s="4" t="str">
        <f>IF(D215="","Unknown",IF(D215&lt;20,"Teen",IF(D215&lt;40,"Adult","Senior")))</f>
        <v>Adult</v>
      </c>
      <c r="D215" s="3">
        <v>36</v>
      </c>
      <c r="E215" s="3" t="s">
        <v>249</v>
      </c>
      <c r="F215" s="4" t="s">
        <v>40</v>
      </c>
      <c r="G215" s="4" t="s">
        <v>23</v>
      </c>
      <c r="H215" t="s">
        <v>30</v>
      </c>
      <c r="I215" s="3">
        <v>2</v>
      </c>
      <c r="J215" s="5">
        <v>1000</v>
      </c>
      <c r="K215" s="7">
        <v>2000</v>
      </c>
      <c r="L215" s="6">
        <v>45306</v>
      </c>
      <c r="M215" s="8" t="str">
        <f>IF(K215&gt;10000,"High",IF(K215&gt;5000,"Medium","Low"))</f>
        <v>Low</v>
      </c>
      <c r="N215" s="4" t="s">
        <v>242</v>
      </c>
      <c r="O215" s="3">
        <v>1</v>
      </c>
      <c r="P215" s="3">
        <v>2024</v>
      </c>
      <c r="T215" s="4"/>
      <c r="X215"/>
      <c r="Y215" s="3"/>
      <c r="AA215"/>
    </row>
    <row r="216" spans="1:27" x14ac:dyDescent="0.3">
      <c r="A216" s="3">
        <v>1408</v>
      </c>
      <c r="B216" s="4" t="s">
        <v>46</v>
      </c>
      <c r="C216" s="4" t="str">
        <f>IF(D216="","Unknown",IF(D216&lt;20,"Teen",IF(D216&lt;40,"Adult","Senior")))</f>
        <v>Adult</v>
      </c>
      <c r="D216" s="3">
        <v>30</v>
      </c>
      <c r="E216" s="3" t="s">
        <v>250</v>
      </c>
      <c r="F216" s="4" t="s">
        <v>40</v>
      </c>
      <c r="G216" s="4" t="s">
        <v>12</v>
      </c>
      <c r="H216" t="s">
        <v>13</v>
      </c>
      <c r="I216" s="3">
        <v>2</v>
      </c>
      <c r="J216" s="5">
        <v>1000</v>
      </c>
      <c r="K216" s="7">
        <v>2000</v>
      </c>
      <c r="L216" s="6">
        <v>45293</v>
      </c>
      <c r="M216" s="8" t="str">
        <f>IF(K216&gt;10000,"High",IF(K216&gt;5000,"Medium","Low"))</f>
        <v>Low</v>
      </c>
      <c r="N216" s="4" t="s">
        <v>243</v>
      </c>
      <c r="O216" s="3">
        <v>1</v>
      </c>
      <c r="P216" s="3">
        <v>2024</v>
      </c>
      <c r="T216" s="4"/>
      <c r="X216"/>
      <c r="Y216" s="3"/>
      <c r="AA216"/>
    </row>
    <row r="217" spans="1:27" x14ac:dyDescent="0.3">
      <c r="A217" s="3">
        <v>1412</v>
      </c>
      <c r="B217" s="4" t="s">
        <v>54</v>
      </c>
      <c r="C217" s="4" t="str">
        <f>IF(D217="","Unknown",IF(D217&lt;20,"Teen",IF(D217&lt;40,"Adult","Senior")))</f>
        <v>Adult</v>
      </c>
      <c r="D217" s="3">
        <v>30</v>
      </c>
      <c r="E217" s="3" t="s">
        <v>250</v>
      </c>
      <c r="F217" s="4" t="s">
        <v>17</v>
      </c>
      <c r="G217" s="4" t="s">
        <v>18</v>
      </c>
      <c r="H217" t="s">
        <v>30</v>
      </c>
      <c r="I217" s="3">
        <v>1</v>
      </c>
      <c r="J217" s="5">
        <v>1000</v>
      </c>
      <c r="K217" s="7">
        <v>1000</v>
      </c>
      <c r="L217" s="6">
        <v>45300</v>
      </c>
      <c r="M217" s="8" t="str">
        <f>IF(K217&gt;10000,"High",IF(K217&gt;5000,"Medium","Low"))</f>
        <v>Low</v>
      </c>
      <c r="N217" s="4" t="s">
        <v>244</v>
      </c>
      <c r="O217" s="3">
        <v>1</v>
      </c>
      <c r="P217" s="3">
        <v>2024</v>
      </c>
      <c r="T217" s="4"/>
      <c r="X217"/>
      <c r="Y217" s="3"/>
      <c r="AA217"/>
    </row>
    <row r="218" spans="1:27" x14ac:dyDescent="0.3">
      <c r="A218" s="3">
        <v>1414</v>
      </c>
      <c r="B218" s="4" t="s">
        <v>73</v>
      </c>
      <c r="C218" s="4" t="str">
        <f>IF(D218="","Unknown",IF(D218&lt;20,"Teen",IF(D218&lt;40,"Adult","Senior")))</f>
        <v>Adult</v>
      </c>
      <c r="D218" s="3">
        <v>30</v>
      </c>
      <c r="E218" s="3" t="s">
        <v>250</v>
      </c>
      <c r="F218" s="4" t="s">
        <v>17</v>
      </c>
      <c r="G218" s="4" t="s">
        <v>51</v>
      </c>
      <c r="H218" t="s">
        <v>13</v>
      </c>
      <c r="I218" s="3">
        <v>3</v>
      </c>
      <c r="J218" s="5">
        <v>35711</v>
      </c>
      <c r="K218" s="7">
        <v>107133</v>
      </c>
      <c r="L218" s="6">
        <v>45301</v>
      </c>
      <c r="M218" s="8" t="str">
        <f>IF(K218&gt;10000,"High",IF(K218&gt;5000,"Medium","Low"))</f>
        <v>High</v>
      </c>
      <c r="N218" s="4" t="s">
        <v>243</v>
      </c>
      <c r="O218" s="3">
        <v>1</v>
      </c>
      <c r="P218" s="3">
        <v>2024</v>
      </c>
      <c r="T218" s="4"/>
      <c r="X218"/>
      <c r="Y218" s="3"/>
      <c r="AA218"/>
    </row>
    <row r="219" spans="1:27" x14ac:dyDescent="0.3">
      <c r="A219" s="3">
        <v>1415</v>
      </c>
      <c r="B219" s="4" t="s">
        <v>57</v>
      </c>
      <c r="C219" s="4" t="str">
        <f>IF(D219="","Unknown",IF(D219&lt;20,"Teen",IF(D219&lt;40,"Adult","Senior")))</f>
        <v>Adult</v>
      </c>
      <c r="D219" s="3">
        <v>30</v>
      </c>
      <c r="E219" s="3" t="s">
        <v>250</v>
      </c>
      <c r="F219" s="4" t="s">
        <v>40</v>
      </c>
      <c r="G219" s="4" t="s">
        <v>51</v>
      </c>
      <c r="H219" t="s">
        <v>13</v>
      </c>
      <c r="I219" s="3">
        <v>2</v>
      </c>
      <c r="J219" s="5">
        <v>1000</v>
      </c>
      <c r="K219" s="7">
        <v>2000</v>
      </c>
      <c r="L219" s="6">
        <v>45298</v>
      </c>
      <c r="M219" s="8" t="str">
        <f>IF(K219&gt;10000,"High",IF(K219&gt;5000,"Medium","Low"))</f>
        <v>Low</v>
      </c>
      <c r="N219" s="4" t="s">
        <v>243</v>
      </c>
      <c r="O219" s="3">
        <v>1</v>
      </c>
      <c r="P219" s="3">
        <v>2024</v>
      </c>
      <c r="T219" s="4"/>
      <c r="X219"/>
      <c r="Y219" s="3"/>
      <c r="AA219"/>
    </row>
    <row r="220" spans="1:27" x14ac:dyDescent="0.3">
      <c r="A220" s="3">
        <v>1417</v>
      </c>
      <c r="B220" s="4" t="s">
        <v>48</v>
      </c>
      <c r="C220" s="4" t="str">
        <f>IF(D220="","Unknown",IF(D220&lt;20,"Teen",IF(D220&lt;40,"Adult","Senior")))</f>
        <v>Adult</v>
      </c>
      <c r="D220" s="3">
        <v>38</v>
      </c>
      <c r="E220" s="3" t="s">
        <v>249</v>
      </c>
      <c r="F220" s="4" t="s">
        <v>40</v>
      </c>
      <c r="G220" s="4" t="s">
        <v>23</v>
      </c>
      <c r="H220" t="s">
        <v>30</v>
      </c>
      <c r="I220" s="3">
        <v>2</v>
      </c>
      <c r="J220" s="5">
        <v>19513</v>
      </c>
      <c r="K220" s="7">
        <v>39026</v>
      </c>
      <c r="L220" s="6">
        <v>45299</v>
      </c>
      <c r="M220" s="8" t="str">
        <f>IF(K220&gt;10000,"High",IF(K220&gt;5000,"Medium","Low"))</f>
        <v>High</v>
      </c>
      <c r="N220" s="4" t="s">
        <v>241</v>
      </c>
      <c r="O220" s="3">
        <v>1</v>
      </c>
      <c r="P220" s="3">
        <v>2024</v>
      </c>
      <c r="T220" s="4"/>
      <c r="X220"/>
      <c r="Y220" s="3"/>
      <c r="AA220"/>
    </row>
    <row r="221" spans="1:27" x14ac:dyDescent="0.3">
      <c r="A221" s="3">
        <v>1418</v>
      </c>
      <c r="B221" s="4" t="s">
        <v>57</v>
      </c>
      <c r="C221" s="4" t="str">
        <f>IF(D221="","Unknown",IF(D221&lt;20,"Teen",IF(D221&lt;40,"Adult","Senior")))</f>
        <v>Teen</v>
      </c>
      <c r="D221" s="3">
        <v>18</v>
      </c>
      <c r="E221" s="3" t="s">
        <v>251</v>
      </c>
      <c r="F221" s="4" t="s">
        <v>40</v>
      </c>
      <c r="G221" s="4" t="s">
        <v>51</v>
      </c>
      <c r="H221" t="s">
        <v>13</v>
      </c>
      <c r="I221" s="3">
        <v>2</v>
      </c>
      <c r="J221" s="5">
        <v>1000</v>
      </c>
      <c r="K221" s="7">
        <v>2000</v>
      </c>
      <c r="L221" s="6">
        <v>45311</v>
      </c>
      <c r="M221" s="8" t="str">
        <f>IF(K221&gt;10000,"High",IF(K221&gt;5000,"Medium","Low"))</f>
        <v>Low</v>
      </c>
      <c r="N221" s="4" t="s">
        <v>242</v>
      </c>
      <c r="O221" s="3">
        <v>1</v>
      </c>
      <c r="P221" s="3">
        <v>2024</v>
      </c>
      <c r="T221" s="4"/>
      <c r="X221"/>
      <c r="Y221" s="3"/>
      <c r="AA221"/>
    </row>
    <row r="222" spans="1:27" x14ac:dyDescent="0.3">
      <c r="A222" s="3">
        <v>1420</v>
      </c>
      <c r="B222" s="4" t="s">
        <v>59</v>
      </c>
      <c r="C222" s="4" t="str">
        <f>IF(D222="","Unknown",IF(D222&lt;20,"Teen",IF(D222&lt;40,"Adult","Senior")))</f>
        <v>Adult</v>
      </c>
      <c r="D222" s="3">
        <v>39</v>
      </c>
      <c r="E222" s="3" t="s">
        <v>249</v>
      </c>
      <c r="F222" s="4" t="s">
        <v>40</v>
      </c>
      <c r="G222" s="4" t="s">
        <v>18</v>
      </c>
      <c r="H222" t="s">
        <v>30</v>
      </c>
      <c r="I222" s="3">
        <v>2</v>
      </c>
      <c r="J222" s="5">
        <v>1000</v>
      </c>
      <c r="K222" s="7">
        <v>2000</v>
      </c>
      <c r="L222" s="6">
        <v>45317</v>
      </c>
      <c r="M222" s="8" t="str">
        <f>IF(K222&gt;10000,"High",IF(K222&gt;5000,"Medium","Low"))</f>
        <v>Low</v>
      </c>
      <c r="N222" s="4" t="s">
        <v>242</v>
      </c>
      <c r="O222" s="3">
        <v>1</v>
      </c>
      <c r="P222" s="3">
        <v>2024</v>
      </c>
      <c r="T222" s="4"/>
      <c r="X222"/>
      <c r="Y222" s="3"/>
      <c r="AA222"/>
    </row>
    <row r="223" spans="1:27" x14ac:dyDescent="0.3">
      <c r="A223" s="3">
        <v>1421</v>
      </c>
      <c r="B223" s="4" t="s">
        <v>35</v>
      </c>
      <c r="C223" s="4" t="str">
        <f>IF(D223="","Unknown",IF(D223&lt;20,"Teen",IF(D223&lt;40,"Adult","Senior")))</f>
        <v>Senior</v>
      </c>
      <c r="D223" s="3">
        <v>48</v>
      </c>
      <c r="E223" s="3" t="s">
        <v>249</v>
      </c>
      <c r="F223" s="4" t="s">
        <v>17</v>
      </c>
      <c r="G223" s="4" t="s">
        <v>27</v>
      </c>
      <c r="H223" t="s">
        <v>13</v>
      </c>
      <c r="I223" s="3">
        <v>3</v>
      </c>
      <c r="J223" s="5">
        <v>1000</v>
      </c>
      <c r="K223" s="7">
        <v>3000</v>
      </c>
      <c r="L223" s="6">
        <v>45292</v>
      </c>
      <c r="M223" s="8" t="str">
        <f>IF(K223&gt;10000,"High",IF(K223&gt;5000,"Medium","Low"))</f>
        <v>Low</v>
      </c>
      <c r="N223" s="4" t="s">
        <v>241</v>
      </c>
      <c r="O223" s="3">
        <v>1</v>
      </c>
      <c r="P223" s="3">
        <v>2024</v>
      </c>
      <c r="T223" s="4"/>
      <c r="X223"/>
      <c r="Y223" s="3"/>
      <c r="AA223"/>
    </row>
    <row r="224" spans="1:27" x14ac:dyDescent="0.3">
      <c r="A224" s="3">
        <v>1423</v>
      </c>
      <c r="B224" s="4" t="s">
        <v>10</v>
      </c>
      <c r="C224" s="4" t="str">
        <f>IF(D224="","Unknown",IF(D224&lt;20,"Teen",IF(D224&lt;40,"Adult","Senior")))</f>
        <v>Adult</v>
      </c>
      <c r="D224" s="3">
        <v>39</v>
      </c>
      <c r="E224" s="3" t="s">
        <v>249</v>
      </c>
      <c r="F224" s="4" t="s">
        <v>40</v>
      </c>
      <c r="G224" s="4" t="s">
        <v>51</v>
      </c>
      <c r="H224" t="s">
        <v>13</v>
      </c>
      <c r="I224" s="3">
        <v>2</v>
      </c>
      <c r="J224" s="5">
        <v>1000</v>
      </c>
      <c r="K224" s="7">
        <v>2000</v>
      </c>
      <c r="L224" s="6">
        <v>45307</v>
      </c>
      <c r="M224" s="8" t="str">
        <f>IF(K224&gt;10000,"High",IF(K224&gt;5000,"Medium","Low"))</f>
        <v>Low</v>
      </c>
      <c r="N224" s="4" t="s">
        <v>244</v>
      </c>
      <c r="O224" s="3">
        <v>1</v>
      </c>
      <c r="P224" s="3">
        <v>2024</v>
      </c>
      <c r="T224" s="4"/>
      <c r="X224"/>
      <c r="Y224" s="3"/>
      <c r="AA224"/>
    </row>
    <row r="225" spans="1:27" x14ac:dyDescent="0.3">
      <c r="A225" s="3">
        <v>1425</v>
      </c>
      <c r="B225" s="4" t="s">
        <v>32</v>
      </c>
      <c r="C225" s="4" t="str">
        <f>IF(D225="","Unknown",IF(D225&lt;20,"Teen",IF(D225&lt;40,"Adult","Senior")))</f>
        <v>Senior</v>
      </c>
      <c r="D225" s="3">
        <v>48</v>
      </c>
      <c r="E225" s="3" t="s">
        <v>249</v>
      </c>
      <c r="F225" s="4" t="s">
        <v>40</v>
      </c>
      <c r="G225" s="4" t="s">
        <v>51</v>
      </c>
      <c r="H225" t="s">
        <v>13</v>
      </c>
      <c r="I225" s="3">
        <v>5</v>
      </c>
      <c r="J225" s="5">
        <v>1000</v>
      </c>
      <c r="K225" s="7">
        <v>5000</v>
      </c>
      <c r="L225" s="6">
        <v>45296</v>
      </c>
      <c r="M225" s="8" t="str">
        <f>IF(K225&gt;10000,"High",IF(K225&gt;5000,"Medium","Low"))</f>
        <v>Low</v>
      </c>
      <c r="N225" s="4" t="s">
        <v>241</v>
      </c>
      <c r="O225" s="3">
        <v>1</v>
      </c>
      <c r="P225" s="3">
        <v>2024</v>
      </c>
      <c r="T225" s="4"/>
      <c r="X225"/>
      <c r="Y225" s="3"/>
      <c r="AA225"/>
    </row>
    <row r="226" spans="1:27" x14ac:dyDescent="0.3">
      <c r="A226" s="3">
        <v>1426</v>
      </c>
      <c r="B226" s="4" t="s">
        <v>46</v>
      </c>
      <c r="C226" s="4" t="str">
        <f>IF(D226="","Unknown",IF(D226&lt;20,"Teen",IF(D226&lt;40,"Adult","Senior")))</f>
        <v>Adult</v>
      </c>
      <c r="D226" s="3">
        <v>21</v>
      </c>
      <c r="E226" s="3" t="s">
        <v>250</v>
      </c>
      <c r="F226" s="4" t="s">
        <v>17</v>
      </c>
      <c r="G226" s="4" t="s">
        <v>44</v>
      </c>
      <c r="H226" t="s">
        <v>36</v>
      </c>
      <c r="I226" s="3">
        <v>2</v>
      </c>
      <c r="J226" s="5">
        <v>1000</v>
      </c>
      <c r="K226" s="7">
        <v>2000</v>
      </c>
      <c r="L226" s="6">
        <v>45317</v>
      </c>
      <c r="M226" s="8" t="str">
        <f>IF(K226&gt;10000,"High",IF(K226&gt;5000,"Medium","Low"))</f>
        <v>Low</v>
      </c>
      <c r="N226" s="4" t="s">
        <v>242</v>
      </c>
      <c r="O226" s="3">
        <v>1</v>
      </c>
      <c r="P226" s="3">
        <v>2024</v>
      </c>
      <c r="T226" s="4"/>
      <c r="X226"/>
      <c r="Y226" s="3"/>
      <c r="AA226"/>
    </row>
    <row r="227" spans="1:27" x14ac:dyDescent="0.3">
      <c r="A227" s="3">
        <v>1427</v>
      </c>
      <c r="B227" s="4" t="s">
        <v>64</v>
      </c>
      <c r="C227" s="4" t="str">
        <f>IF(D227="","Unknown",IF(D227&lt;20,"Teen",IF(D227&lt;40,"Adult","Senior")))</f>
        <v>Senior</v>
      </c>
      <c r="D227" s="3">
        <v>50</v>
      </c>
      <c r="E227" s="3" t="s">
        <v>249</v>
      </c>
      <c r="F227" s="4" t="s">
        <v>40</v>
      </c>
      <c r="G227" s="4" t="s">
        <v>55</v>
      </c>
      <c r="H227" t="s">
        <v>36</v>
      </c>
      <c r="I227" s="3">
        <v>5</v>
      </c>
      <c r="J227" s="5">
        <v>1000</v>
      </c>
      <c r="K227" s="7">
        <v>5000</v>
      </c>
      <c r="L227" s="6">
        <v>45313</v>
      </c>
      <c r="M227" s="8" t="str">
        <f>IF(K227&gt;10000,"High",IF(K227&gt;5000,"Medium","Low"))</f>
        <v>Low</v>
      </c>
      <c r="N227" s="4" t="s">
        <v>240</v>
      </c>
      <c r="O227" s="3">
        <v>1</v>
      </c>
      <c r="P227" s="3">
        <v>2024</v>
      </c>
      <c r="T227" s="4"/>
      <c r="X227"/>
      <c r="Y227" s="3"/>
      <c r="AA227"/>
    </row>
    <row r="228" spans="1:27" x14ac:dyDescent="0.3">
      <c r="A228" s="3">
        <v>1431</v>
      </c>
      <c r="B228" s="4" t="s">
        <v>62</v>
      </c>
      <c r="C228" s="4" t="str">
        <f>IF(D228="","Unknown",IF(D228&lt;20,"Teen",IF(D228&lt;40,"Adult","Senior")))</f>
        <v>Adult</v>
      </c>
      <c r="D228" s="3">
        <v>28</v>
      </c>
      <c r="E228" s="3" t="s">
        <v>250</v>
      </c>
      <c r="F228" s="4" t="s">
        <v>40</v>
      </c>
      <c r="G228" s="4" t="s">
        <v>44</v>
      </c>
      <c r="H228" t="s">
        <v>36</v>
      </c>
      <c r="I228" s="3">
        <v>4</v>
      </c>
      <c r="J228" s="5">
        <v>1000</v>
      </c>
      <c r="K228" s="7">
        <v>4000</v>
      </c>
      <c r="L228" s="6">
        <v>45302</v>
      </c>
      <c r="M228" s="8" t="str">
        <f>IF(K228&gt;10000,"High",IF(K228&gt;5000,"Medium","Low"))</f>
        <v>Low</v>
      </c>
      <c r="N228" s="4" t="s">
        <v>243</v>
      </c>
      <c r="O228" s="3">
        <v>1</v>
      </c>
      <c r="P228" s="3">
        <v>2024</v>
      </c>
      <c r="T228" s="4"/>
      <c r="X228"/>
      <c r="Y228" s="3"/>
      <c r="AA228"/>
    </row>
    <row r="229" spans="1:27" x14ac:dyDescent="0.3">
      <c r="A229" s="3">
        <v>1432</v>
      </c>
      <c r="B229" s="4" t="s">
        <v>64</v>
      </c>
      <c r="C229" s="4" t="str">
        <f>IF(D229="","Unknown",IF(D229&lt;20,"Teen",IF(D229&lt;40,"Adult","Senior")))</f>
        <v>Adult</v>
      </c>
      <c r="D229" s="3">
        <v>30</v>
      </c>
      <c r="E229" s="3" t="s">
        <v>250</v>
      </c>
      <c r="F229" s="4" t="s">
        <v>40</v>
      </c>
      <c r="G229" s="4" t="s">
        <v>12</v>
      </c>
      <c r="H229" t="s">
        <v>13</v>
      </c>
      <c r="I229" s="3">
        <v>4</v>
      </c>
      <c r="J229" s="5">
        <v>48197</v>
      </c>
      <c r="K229" s="7">
        <v>192788</v>
      </c>
      <c r="L229" s="6">
        <v>45300</v>
      </c>
      <c r="M229" s="8" t="str">
        <f>IF(K229&gt;10000,"High",IF(K229&gt;5000,"Medium","Low"))</f>
        <v>High</v>
      </c>
      <c r="N229" s="4" t="s">
        <v>244</v>
      </c>
      <c r="O229" s="3">
        <v>1</v>
      </c>
      <c r="P229" s="3">
        <v>2024</v>
      </c>
      <c r="T229" s="4"/>
      <c r="X229"/>
      <c r="Y229" s="3"/>
      <c r="AA229"/>
    </row>
    <row r="230" spans="1:27" x14ac:dyDescent="0.3">
      <c r="A230" s="3">
        <v>1434</v>
      </c>
      <c r="B230" s="4" t="s">
        <v>35</v>
      </c>
      <c r="C230" s="4" t="str">
        <f>IF(D230="","Unknown",IF(D230&lt;20,"Teen",IF(D230&lt;40,"Adult","Senior")))</f>
        <v>Adult</v>
      </c>
      <c r="D230" s="3">
        <v>20</v>
      </c>
      <c r="E230" s="3" t="s">
        <v>251</v>
      </c>
      <c r="F230" s="4" t="s">
        <v>40</v>
      </c>
      <c r="G230" s="4" t="s">
        <v>23</v>
      </c>
      <c r="H230" t="s">
        <v>30</v>
      </c>
      <c r="I230" s="3">
        <v>2</v>
      </c>
      <c r="J230" s="5">
        <v>1000</v>
      </c>
      <c r="K230" s="7">
        <v>2000</v>
      </c>
      <c r="L230" s="6">
        <v>45310</v>
      </c>
      <c r="M230" s="8" t="str">
        <f>IF(K230&gt;10000,"High",IF(K230&gt;5000,"Medium","Low"))</f>
        <v>Low</v>
      </c>
      <c r="N230" s="4" t="s">
        <v>243</v>
      </c>
      <c r="O230" s="3">
        <v>1</v>
      </c>
      <c r="P230" s="3">
        <v>2024</v>
      </c>
      <c r="T230" s="4"/>
      <c r="X230"/>
      <c r="Y230" s="3"/>
      <c r="AA230"/>
    </row>
    <row r="231" spans="1:27" x14ac:dyDescent="0.3">
      <c r="A231" s="3">
        <v>1435</v>
      </c>
      <c r="B231" s="4" t="s">
        <v>69</v>
      </c>
      <c r="C231" s="4" t="str">
        <f>IF(D231="","Unknown",IF(D231&lt;20,"Teen",IF(D231&lt;40,"Adult","Senior")))</f>
        <v>Adult</v>
      </c>
      <c r="D231" s="3">
        <v>30</v>
      </c>
      <c r="E231" s="3" t="s">
        <v>250</v>
      </c>
      <c r="F231" s="4" t="s">
        <v>17</v>
      </c>
      <c r="G231" s="4" t="s">
        <v>23</v>
      </c>
      <c r="H231" t="s">
        <v>30</v>
      </c>
      <c r="I231" s="3">
        <v>5</v>
      </c>
      <c r="J231" s="5">
        <v>1000</v>
      </c>
      <c r="K231" s="7">
        <v>5000</v>
      </c>
      <c r="L231" s="6">
        <v>45295</v>
      </c>
      <c r="M231" s="8" t="str">
        <f>IF(K231&gt;10000,"High",IF(K231&gt;5000,"Medium","Low"))</f>
        <v>Low</v>
      </c>
      <c r="N231" s="4" t="s">
        <v>243</v>
      </c>
      <c r="O231" s="3">
        <v>1</v>
      </c>
      <c r="P231" s="3">
        <v>2024</v>
      </c>
      <c r="T231" s="4"/>
      <c r="X231"/>
      <c r="Y231" s="3"/>
      <c r="AA231"/>
    </row>
    <row r="232" spans="1:27" x14ac:dyDescent="0.3">
      <c r="A232" s="3">
        <v>1437</v>
      </c>
      <c r="B232" s="4" t="s">
        <v>46</v>
      </c>
      <c r="C232" s="4" t="str">
        <f>IF(D232="","Unknown",IF(D232&lt;20,"Teen",IF(D232&lt;40,"Adult","Senior")))</f>
        <v>Adult</v>
      </c>
      <c r="D232" s="3">
        <v>30</v>
      </c>
      <c r="E232" s="3" t="s">
        <v>250</v>
      </c>
      <c r="F232" s="4" t="s">
        <v>40</v>
      </c>
      <c r="G232" s="4" t="s">
        <v>41</v>
      </c>
      <c r="H232" t="s">
        <v>36</v>
      </c>
      <c r="I232" s="3">
        <v>3</v>
      </c>
      <c r="J232" s="5">
        <v>19011</v>
      </c>
      <c r="K232" s="7">
        <v>57033</v>
      </c>
      <c r="L232" s="6">
        <v>45321</v>
      </c>
      <c r="M232" s="8" t="str">
        <f>IF(K232&gt;10000,"High",IF(K232&gt;5000,"Medium","Low"))</f>
        <v>High</v>
      </c>
      <c r="N232" s="4" t="s">
        <v>244</v>
      </c>
      <c r="O232" s="3">
        <v>1</v>
      </c>
      <c r="P232" s="3">
        <v>2024</v>
      </c>
      <c r="T232" s="4"/>
      <c r="X232"/>
      <c r="Y232" s="3"/>
      <c r="AA232"/>
    </row>
    <row r="233" spans="1:27" x14ac:dyDescent="0.3">
      <c r="A233" s="3">
        <v>1438</v>
      </c>
      <c r="B233" s="4" t="s">
        <v>10</v>
      </c>
      <c r="C233" s="4" t="str">
        <f>IF(D233="","Unknown",IF(D233&lt;20,"Teen",IF(D233&lt;40,"Adult","Senior")))</f>
        <v>Adult</v>
      </c>
      <c r="D233" s="3">
        <v>30</v>
      </c>
      <c r="E233" s="3" t="s">
        <v>250</v>
      </c>
      <c r="F233" s="4" t="s">
        <v>17</v>
      </c>
      <c r="G233" s="4" t="s">
        <v>23</v>
      </c>
      <c r="H233" t="s">
        <v>30</v>
      </c>
      <c r="I233" s="3">
        <v>2</v>
      </c>
      <c r="J233" s="5">
        <v>10141</v>
      </c>
      <c r="K233" s="7">
        <v>20282</v>
      </c>
      <c r="L233" s="6">
        <v>45307</v>
      </c>
      <c r="M233" s="8" t="str">
        <f>IF(K233&gt;10000,"High",IF(K233&gt;5000,"Medium","Low"))</f>
        <v>High</v>
      </c>
      <c r="N233" s="4" t="s">
        <v>244</v>
      </c>
      <c r="O233" s="3">
        <v>1</v>
      </c>
      <c r="P233" s="3">
        <v>2024</v>
      </c>
      <c r="T233" s="4"/>
      <c r="X233"/>
      <c r="Y233" s="3"/>
      <c r="AA233"/>
    </row>
    <row r="234" spans="1:27" x14ac:dyDescent="0.3">
      <c r="A234" s="3">
        <v>1442</v>
      </c>
      <c r="B234" s="4" t="s">
        <v>78</v>
      </c>
      <c r="C234" s="4" t="str">
        <f>IF(D234="","Unknown",IF(D234&lt;20,"Teen",IF(D234&lt;40,"Adult","Senior")))</f>
        <v>Senior</v>
      </c>
      <c r="D234" s="3">
        <v>48</v>
      </c>
      <c r="E234" s="3" t="s">
        <v>249</v>
      </c>
      <c r="F234" s="4" t="s">
        <v>40</v>
      </c>
      <c r="G234" s="4" t="s">
        <v>23</v>
      </c>
      <c r="H234" t="s">
        <v>30</v>
      </c>
      <c r="I234" s="3">
        <v>2</v>
      </c>
      <c r="J234" s="5">
        <v>1000</v>
      </c>
      <c r="K234" s="7">
        <v>2000</v>
      </c>
      <c r="L234" s="6">
        <v>45322</v>
      </c>
      <c r="M234" s="8" t="str">
        <f>IF(K234&gt;10000,"High",IF(K234&gt;5000,"Medium","Low"))</f>
        <v>Low</v>
      </c>
      <c r="N234" s="4" t="s">
        <v>241</v>
      </c>
      <c r="O234" s="3">
        <v>1</v>
      </c>
      <c r="P234" s="3">
        <v>2024</v>
      </c>
      <c r="T234" s="4"/>
      <c r="X234"/>
      <c r="Y234" s="3"/>
      <c r="AA234"/>
    </row>
    <row r="235" spans="1:27" x14ac:dyDescent="0.3">
      <c r="A235" s="3">
        <v>1443</v>
      </c>
      <c r="B235" s="4" t="s">
        <v>21</v>
      </c>
      <c r="C235" s="4" t="str">
        <f>IF(D235="","Unknown",IF(D235&lt;20,"Teen",IF(D235&lt;40,"Adult","Senior")))</f>
        <v>Adult</v>
      </c>
      <c r="D235" s="3">
        <v>30</v>
      </c>
      <c r="E235" s="3" t="s">
        <v>250</v>
      </c>
      <c r="F235" s="4" t="s">
        <v>17</v>
      </c>
      <c r="G235" s="4" t="s">
        <v>12</v>
      </c>
      <c r="H235" t="s">
        <v>13</v>
      </c>
      <c r="I235" s="3">
        <v>2</v>
      </c>
      <c r="J235" s="5">
        <v>28766</v>
      </c>
      <c r="K235" s="7">
        <v>57532</v>
      </c>
      <c r="L235" s="6">
        <v>45316</v>
      </c>
      <c r="M235" s="8" t="str">
        <f>IF(K235&gt;10000,"High",IF(K235&gt;5000,"Medium","Low"))</f>
        <v>High</v>
      </c>
      <c r="N235" s="4" t="s">
        <v>241</v>
      </c>
      <c r="O235" s="3">
        <v>1</v>
      </c>
      <c r="P235" s="3">
        <v>2024</v>
      </c>
      <c r="T235" s="4"/>
      <c r="X235"/>
      <c r="Y235" s="3"/>
      <c r="AA235"/>
    </row>
    <row r="236" spans="1:27" x14ac:dyDescent="0.3">
      <c r="A236" s="3">
        <v>1444</v>
      </c>
      <c r="B236" s="4" t="s">
        <v>46</v>
      </c>
      <c r="C236" s="4" t="str">
        <f>IF(D236="","Unknown",IF(D236&lt;20,"Teen",IF(D236&lt;40,"Adult","Senior")))</f>
        <v>Adult</v>
      </c>
      <c r="D236" s="3">
        <v>30</v>
      </c>
      <c r="E236" s="3" t="s">
        <v>250</v>
      </c>
      <c r="F236" s="4" t="s">
        <v>40</v>
      </c>
      <c r="G236" s="4" t="s">
        <v>23</v>
      </c>
      <c r="H236" t="s">
        <v>30</v>
      </c>
      <c r="I236" s="3">
        <v>1</v>
      </c>
      <c r="J236" s="5">
        <v>1000</v>
      </c>
      <c r="K236" s="7">
        <v>1000</v>
      </c>
      <c r="L236" s="6">
        <v>45292</v>
      </c>
      <c r="M236" s="8" t="str">
        <f>IF(K236&gt;10000,"High",IF(K236&gt;5000,"Medium","Low"))</f>
        <v>Low</v>
      </c>
      <c r="N236" s="4" t="s">
        <v>241</v>
      </c>
      <c r="O236" s="3">
        <v>1</v>
      </c>
      <c r="P236" s="3">
        <v>2024</v>
      </c>
      <c r="T236" s="4"/>
      <c r="X236"/>
      <c r="Y236" s="3"/>
      <c r="AA236"/>
    </row>
    <row r="237" spans="1:27" x14ac:dyDescent="0.3">
      <c r="A237" s="3">
        <v>1447</v>
      </c>
      <c r="B237" s="4" t="s">
        <v>21</v>
      </c>
      <c r="C237" s="4" t="str">
        <f>IF(D237="","Unknown",IF(D237&lt;20,"Teen",IF(D237&lt;40,"Adult","Senior")))</f>
        <v>Adult</v>
      </c>
      <c r="D237" s="3">
        <v>35</v>
      </c>
      <c r="E237" s="3" t="s">
        <v>249</v>
      </c>
      <c r="F237" s="4" t="s">
        <v>40</v>
      </c>
      <c r="G237" s="4" t="s">
        <v>41</v>
      </c>
      <c r="H237" t="s">
        <v>36</v>
      </c>
      <c r="I237" s="3">
        <v>5</v>
      </c>
      <c r="J237" s="5">
        <v>1000</v>
      </c>
      <c r="K237" s="7">
        <v>5000</v>
      </c>
      <c r="L237" s="6">
        <v>45312</v>
      </c>
      <c r="M237" s="8" t="str">
        <f>IF(K237&gt;10000,"High",IF(K237&gt;5000,"Medium","Low"))</f>
        <v>Low</v>
      </c>
      <c r="N237" s="4" t="s">
        <v>243</v>
      </c>
      <c r="O237" s="3">
        <v>1</v>
      </c>
      <c r="P237" s="3">
        <v>2024</v>
      </c>
      <c r="T237" s="4"/>
      <c r="X237"/>
      <c r="Y237" s="3"/>
      <c r="AA237"/>
    </row>
    <row r="238" spans="1:27" x14ac:dyDescent="0.3">
      <c r="A238" s="3">
        <v>1450</v>
      </c>
      <c r="B238" s="4" t="s">
        <v>78</v>
      </c>
      <c r="C238" s="4" t="str">
        <f>IF(D238="","Unknown",IF(D238&lt;20,"Teen",IF(D238&lt;40,"Adult","Senior")))</f>
        <v>Senior</v>
      </c>
      <c r="D238" s="3">
        <v>47</v>
      </c>
      <c r="E238" s="3" t="s">
        <v>249</v>
      </c>
      <c r="F238" s="4" t="s">
        <v>17</v>
      </c>
      <c r="G238" s="4" t="s">
        <v>27</v>
      </c>
      <c r="H238" t="s">
        <v>13</v>
      </c>
      <c r="I238" s="3">
        <v>2</v>
      </c>
      <c r="J238" s="5">
        <v>32514</v>
      </c>
      <c r="K238" s="7">
        <v>65028</v>
      </c>
      <c r="L238" s="6">
        <v>45315</v>
      </c>
      <c r="M238" s="8" t="str">
        <f>IF(K238&gt;10000,"High",IF(K238&gt;5000,"Medium","Low"))</f>
        <v>High</v>
      </c>
      <c r="N238" s="4" t="s">
        <v>242</v>
      </c>
      <c r="O238" s="3">
        <v>1</v>
      </c>
      <c r="P238" s="3">
        <v>2024</v>
      </c>
      <c r="T238" s="4"/>
      <c r="X238"/>
      <c r="Y238" s="3"/>
      <c r="AA238"/>
    </row>
    <row r="239" spans="1:27" x14ac:dyDescent="0.3">
      <c r="A239" s="3">
        <v>1451</v>
      </c>
      <c r="B239" s="4" t="s">
        <v>46</v>
      </c>
      <c r="C239" s="4" t="str">
        <f>IF(D239="","Unknown",IF(D239&lt;20,"Teen",IF(D239&lt;40,"Adult","Senior")))</f>
        <v>Adult</v>
      </c>
      <c r="D239" s="3">
        <v>30</v>
      </c>
      <c r="E239" s="3" t="s">
        <v>250</v>
      </c>
      <c r="F239" s="4" t="s">
        <v>40</v>
      </c>
      <c r="G239" s="4" t="s">
        <v>41</v>
      </c>
      <c r="H239" t="s">
        <v>36</v>
      </c>
      <c r="I239" s="3">
        <v>3</v>
      </c>
      <c r="J239" s="5">
        <v>1000</v>
      </c>
      <c r="K239" s="7">
        <v>3000</v>
      </c>
      <c r="L239" s="6">
        <v>45301</v>
      </c>
      <c r="M239" s="8" t="str">
        <f>IF(K239&gt;10000,"High",IF(K239&gt;5000,"Medium","Low"))</f>
        <v>Low</v>
      </c>
      <c r="N239" s="4" t="s">
        <v>243</v>
      </c>
      <c r="O239" s="3">
        <v>1</v>
      </c>
      <c r="P239" s="3">
        <v>2024</v>
      </c>
      <c r="T239" s="4"/>
      <c r="X239"/>
      <c r="Y239" s="3"/>
      <c r="AA239"/>
    </row>
    <row r="240" spans="1:27" x14ac:dyDescent="0.3">
      <c r="A240" s="3">
        <v>1452</v>
      </c>
      <c r="B240" s="4" t="s">
        <v>16</v>
      </c>
      <c r="C240" s="4" t="str">
        <f>IF(D240="","Unknown",IF(D240&lt;20,"Teen",IF(D240&lt;40,"Adult","Senior")))</f>
        <v>Adult</v>
      </c>
      <c r="D240" s="3">
        <v>30</v>
      </c>
      <c r="E240" s="3" t="s">
        <v>250</v>
      </c>
      <c r="F240" s="4" t="s">
        <v>40</v>
      </c>
      <c r="G240" s="4" t="s">
        <v>12</v>
      </c>
      <c r="H240" t="s">
        <v>13</v>
      </c>
      <c r="I240" s="3">
        <v>2</v>
      </c>
      <c r="J240" s="5">
        <v>1000</v>
      </c>
      <c r="K240" s="7">
        <v>2000</v>
      </c>
      <c r="L240" s="6">
        <v>45293</v>
      </c>
      <c r="M240" s="8" t="str">
        <f>IF(K240&gt;10000,"High",IF(K240&gt;5000,"Medium","Low"))</f>
        <v>Low</v>
      </c>
      <c r="N240" s="4" t="s">
        <v>240</v>
      </c>
      <c r="O240" s="3">
        <v>1</v>
      </c>
      <c r="P240" s="3">
        <v>2024</v>
      </c>
      <c r="T240" s="4"/>
      <c r="X240"/>
      <c r="Y240" s="3"/>
      <c r="AA240"/>
    </row>
    <row r="241" spans="1:27" x14ac:dyDescent="0.3">
      <c r="A241" s="3">
        <v>1456</v>
      </c>
      <c r="B241" s="4" t="s">
        <v>68</v>
      </c>
      <c r="C241" s="4" t="str">
        <f>IF(D241="","Unknown",IF(D241&lt;20,"Teen",IF(D241&lt;40,"Adult","Senior")))</f>
        <v>Adult</v>
      </c>
      <c r="D241" s="3">
        <v>30</v>
      </c>
      <c r="E241" s="3" t="s">
        <v>250</v>
      </c>
      <c r="F241" s="4" t="s">
        <v>17</v>
      </c>
      <c r="G241" s="4" t="s">
        <v>12</v>
      </c>
      <c r="H241" t="s">
        <v>13</v>
      </c>
      <c r="I241" s="3">
        <v>2</v>
      </c>
      <c r="J241" s="5">
        <v>15208</v>
      </c>
      <c r="K241" s="7">
        <v>30416</v>
      </c>
      <c r="L241" s="6">
        <v>45305</v>
      </c>
      <c r="M241" s="8" t="str">
        <f>IF(K241&gt;10000,"High",IF(K241&gt;5000,"Medium","Low"))</f>
        <v>High</v>
      </c>
      <c r="N241" s="4" t="s">
        <v>241</v>
      </c>
      <c r="O241" s="3">
        <v>1</v>
      </c>
      <c r="P241" s="3">
        <v>2024</v>
      </c>
      <c r="T241" s="4"/>
      <c r="X241"/>
      <c r="Y241" s="3"/>
      <c r="AA241"/>
    </row>
    <row r="242" spans="1:27" x14ac:dyDescent="0.3">
      <c r="A242" s="3">
        <v>1457</v>
      </c>
      <c r="B242" s="4" t="s">
        <v>57</v>
      </c>
      <c r="C242" s="4" t="str">
        <f>IF(D242="","Unknown",IF(D242&lt;20,"Teen",IF(D242&lt;40,"Adult","Senior")))</f>
        <v>Adult</v>
      </c>
      <c r="D242" s="3">
        <v>30</v>
      </c>
      <c r="E242" s="3" t="s">
        <v>250</v>
      </c>
      <c r="F242" s="4" t="s">
        <v>17</v>
      </c>
      <c r="G242" s="4" t="s">
        <v>23</v>
      </c>
      <c r="H242" t="s">
        <v>30</v>
      </c>
      <c r="I242" s="3">
        <v>2</v>
      </c>
      <c r="J242" s="5">
        <v>1000</v>
      </c>
      <c r="K242" s="7">
        <v>2000</v>
      </c>
      <c r="L242" s="6">
        <v>45311</v>
      </c>
      <c r="M242" s="8" t="str">
        <f>IF(K242&gt;10000,"High",IF(K242&gt;5000,"Medium","Low"))</f>
        <v>Low</v>
      </c>
      <c r="N242" s="4" t="s">
        <v>244</v>
      </c>
      <c r="O242" s="3">
        <v>1</v>
      </c>
      <c r="P242" s="3">
        <v>2024</v>
      </c>
      <c r="T242" s="4"/>
      <c r="X242"/>
      <c r="Y242" s="3"/>
      <c r="AA242"/>
    </row>
    <row r="243" spans="1:27" x14ac:dyDescent="0.3">
      <c r="A243" s="3">
        <v>1460</v>
      </c>
      <c r="B243" s="4" t="s">
        <v>69</v>
      </c>
      <c r="C243" s="4" t="str">
        <f>IF(D243="","Unknown",IF(D243&lt;20,"Teen",IF(D243&lt;40,"Adult","Senior")))</f>
        <v>Adult</v>
      </c>
      <c r="D243" s="3">
        <v>30</v>
      </c>
      <c r="E243" s="3" t="s">
        <v>250</v>
      </c>
      <c r="F243" s="4" t="s">
        <v>40</v>
      </c>
      <c r="G243" s="4" t="s">
        <v>51</v>
      </c>
      <c r="H243" t="s">
        <v>13</v>
      </c>
      <c r="I243" s="3">
        <v>3</v>
      </c>
      <c r="J243" s="5">
        <v>1000</v>
      </c>
      <c r="K243" s="7">
        <v>3000</v>
      </c>
      <c r="L243" s="6">
        <v>45313</v>
      </c>
      <c r="M243" s="8" t="str">
        <f>IF(K243&gt;10000,"High",IF(K243&gt;5000,"Medium","Low"))</f>
        <v>Low</v>
      </c>
      <c r="N243" s="4" t="s">
        <v>244</v>
      </c>
      <c r="O243" s="3">
        <v>1</v>
      </c>
      <c r="P243" s="3">
        <v>2024</v>
      </c>
      <c r="T243" s="4"/>
      <c r="X243"/>
      <c r="Y243" s="3"/>
      <c r="AA243"/>
    </row>
    <row r="244" spans="1:27" x14ac:dyDescent="0.3">
      <c r="A244" s="3">
        <v>1461</v>
      </c>
      <c r="B244" s="4" t="s">
        <v>59</v>
      </c>
      <c r="C244" s="4" t="str">
        <f>IF(D244="","Unknown",IF(D244&lt;20,"Teen",IF(D244&lt;40,"Adult","Senior")))</f>
        <v>Adult</v>
      </c>
      <c r="D244" s="3">
        <v>30</v>
      </c>
      <c r="E244" s="3" t="s">
        <v>250</v>
      </c>
      <c r="F244" s="4" t="s">
        <v>40</v>
      </c>
      <c r="G244" s="4" t="s">
        <v>23</v>
      </c>
      <c r="H244" t="s">
        <v>30</v>
      </c>
      <c r="I244" s="3">
        <v>2</v>
      </c>
      <c r="J244" s="5">
        <v>1000</v>
      </c>
      <c r="K244" s="7">
        <v>2000</v>
      </c>
      <c r="L244" s="6">
        <v>45317</v>
      </c>
      <c r="M244" s="8" t="str">
        <f>IF(K244&gt;10000,"High",IF(K244&gt;5000,"Medium","Low"))</f>
        <v>Low</v>
      </c>
      <c r="N244" s="4" t="s">
        <v>243</v>
      </c>
      <c r="O244" s="3">
        <v>1</v>
      </c>
      <c r="P244" s="3">
        <v>2024</v>
      </c>
      <c r="T244" s="4"/>
      <c r="X244"/>
      <c r="Y244" s="3"/>
      <c r="AA244"/>
    </row>
    <row r="245" spans="1:27" x14ac:dyDescent="0.3">
      <c r="A245" s="3">
        <v>1462</v>
      </c>
      <c r="B245" s="4" t="s">
        <v>46</v>
      </c>
      <c r="C245" s="4" t="str">
        <f>IF(D245="","Unknown",IF(D245&lt;20,"Teen",IF(D245&lt;40,"Adult","Senior")))</f>
        <v>Adult</v>
      </c>
      <c r="D245" s="3">
        <v>30</v>
      </c>
      <c r="E245" s="3" t="s">
        <v>250</v>
      </c>
      <c r="F245" s="4" t="s">
        <v>40</v>
      </c>
      <c r="G245" s="4" t="s">
        <v>41</v>
      </c>
      <c r="H245" t="s">
        <v>36</v>
      </c>
      <c r="I245" s="3">
        <v>5</v>
      </c>
      <c r="J245" s="5">
        <v>1000</v>
      </c>
      <c r="K245" s="7">
        <v>5000</v>
      </c>
      <c r="L245" s="6">
        <v>45306</v>
      </c>
      <c r="M245" s="8" t="str">
        <f>IF(K245&gt;10000,"High",IF(K245&gt;5000,"Medium","Low"))</f>
        <v>Low</v>
      </c>
      <c r="N245" s="4" t="s">
        <v>243</v>
      </c>
      <c r="O245" s="3">
        <v>1</v>
      </c>
      <c r="P245" s="3">
        <v>2024</v>
      </c>
      <c r="T245" s="4"/>
      <c r="X245"/>
      <c r="Y245" s="3"/>
      <c r="AA245"/>
    </row>
    <row r="246" spans="1:27" x14ac:dyDescent="0.3">
      <c r="A246" s="3">
        <v>1465</v>
      </c>
      <c r="B246" s="4" t="s">
        <v>46</v>
      </c>
      <c r="C246" s="4" t="str">
        <f>IF(D246="","Unknown",IF(D246&lt;20,"Teen",IF(D246&lt;40,"Adult","Senior")))</f>
        <v>Adult</v>
      </c>
      <c r="D246" s="3">
        <v>33</v>
      </c>
      <c r="E246" s="3" t="s">
        <v>249</v>
      </c>
      <c r="F246" s="4" t="s">
        <v>40</v>
      </c>
      <c r="G246" s="4" t="s">
        <v>51</v>
      </c>
      <c r="H246" t="s">
        <v>13</v>
      </c>
      <c r="I246" s="3">
        <v>2</v>
      </c>
      <c r="J246" s="5">
        <v>1000</v>
      </c>
      <c r="K246" s="7">
        <v>2000</v>
      </c>
      <c r="L246" s="6">
        <v>45315</v>
      </c>
      <c r="M246" s="8" t="str">
        <f>IF(K246&gt;10000,"High",IF(K246&gt;5000,"Medium","Low"))</f>
        <v>Low</v>
      </c>
      <c r="N246" s="4" t="s">
        <v>241</v>
      </c>
      <c r="O246" s="3">
        <v>1</v>
      </c>
      <c r="P246" s="3">
        <v>2024</v>
      </c>
      <c r="T246" s="4"/>
      <c r="X246"/>
      <c r="Y246" s="3"/>
      <c r="AA246"/>
    </row>
    <row r="247" spans="1:27" x14ac:dyDescent="0.3">
      <c r="A247" s="3">
        <v>1467</v>
      </c>
      <c r="B247" s="4" t="s">
        <v>48</v>
      </c>
      <c r="C247" s="4" t="str">
        <f>IF(D247="","Unknown",IF(D247&lt;20,"Teen",IF(D247&lt;40,"Adult","Senior")))</f>
        <v>Adult</v>
      </c>
      <c r="D247" s="3">
        <v>30</v>
      </c>
      <c r="E247" s="3" t="s">
        <v>250</v>
      </c>
      <c r="F247" s="4" t="s">
        <v>17</v>
      </c>
      <c r="G247" s="4" t="s">
        <v>27</v>
      </c>
      <c r="H247" t="s">
        <v>13</v>
      </c>
      <c r="I247" s="3">
        <v>3</v>
      </c>
      <c r="J247" s="5">
        <v>992</v>
      </c>
      <c r="K247" s="7">
        <v>2976</v>
      </c>
      <c r="L247" s="6">
        <v>45318</v>
      </c>
      <c r="M247" s="8" t="str">
        <f>IF(K247&gt;10000,"High",IF(K247&gt;5000,"Medium","Low"))</f>
        <v>Low</v>
      </c>
      <c r="N247" s="4" t="s">
        <v>241</v>
      </c>
      <c r="O247" s="3">
        <v>1</v>
      </c>
      <c r="P247" s="3">
        <v>2024</v>
      </c>
      <c r="T247" s="4"/>
      <c r="X247"/>
      <c r="Y247" s="3"/>
      <c r="AA247"/>
    </row>
    <row r="248" spans="1:27" x14ac:dyDescent="0.3">
      <c r="A248" s="3">
        <v>1468</v>
      </c>
      <c r="B248" s="4" t="s">
        <v>25</v>
      </c>
      <c r="C248" s="4" t="str">
        <f>IF(D248="","Unknown",IF(D248&lt;20,"Teen",IF(D248&lt;40,"Adult","Senior")))</f>
        <v>Adult</v>
      </c>
      <c r="D248" s="3">
        <v>29</v>
      </c>
      <c r="E248" s="3" t="s">
        <v>250</v>
      </c>
      <c r="F248" s="4" t="s">
        <v>17</v>
      </c>
      <c r="G248" s="4" t="s">
        <v>44</v>
      </c>
      <c r="H248" t="s">
        <v>36</v>
      </c>
      <c r="I248" s="3">
        <v>5</v>
      </c>
      <c r="J248" s="5">
        <v>1000</v>
      </c>
      <c r="K248" s="7">
        <v>5000</v>
      </c>
      <c r="L248" s="6">
        <v>45318</v>
      </c>
      <c r="M248" s="8" t="str">
        <f>IF(K248&gt;10000,"High",IF(K248&gt;5000,"Medium","Low"))</f>
        <v>Low</v>
      </c>
      <c r="N248" s="4" t="s">
        <v>243</v>
      </c>
      <c r="O248" s="3">
        <v>1</v>
      </c>
      <c r="P248" s="3">
        <v>2024</v>
      </c>
      <c r="T248" s="4"/>
      <c r="X248"/>
      <c r="Y248" s="3"/>
      <c r="AA248"/>
    </row>
    <row r="249" spans="1:27" x14ac:dyDescent="0.3">
      <c r="A249" s="3">
        <v>1469</v>
      </c>
      <c r="B249" s="4" t="s">
        <v>10</v>
      </c>
      <c r="C249" s="4" t="str">
        <f>IF(D249="","Unknown",IF(D249&lt;20,"Teen",IF(D249&lt;40,"Adult","Senior")))</f>
        <v>Senior</v>
      </c>
      <c r="D249" s="3">
        <v>42</v>
      </c>
      <c r="E249" s="3" t="s">
        <v>249</v>
      </c>
      <c r="F249" s="4" t="s">
        <v>40</v>
      </c>
      <c r="G249" s="4" t="s">
        <v>23</v>
      </c>
      <c r="H249" t="s">
        <v>30</v>
      </c>
      <c r="I249" s="3">
        <v>4</v>
      </c>
      <c r="J249" s="5">
        <v>1000</v>
      </c>
      <c r="K249" s="7">
        <v>4000</v>
      </c>
      <c r="L249" s="6">
        <v>45298</v>
      </c>
      <c r="M249" s="8" t="str">
        <f>IF(K249&gt;10000,"High",IF(K249&gt;5000,"Medium","Low"))</f>
        <v>Low</v>
      </c>
      <c r="N249" s="4" t="s">
        <v>242</v>
      </c>
      <c r="O249" s="3">
        <v>1</v>
      </c>
      <c r="P249" s="3">
        <v>2024</v>
      </c>
      <c r="T249" s="4"/>
      <c r="X249"/>
      <c r="Y249" s="3"/>
      <c r="AA249"/>
    </row>
    <row r="250" spans="1:27" x14ac:dyDescent="0.3">
      <c r="A250" s="3">
        <v>1470</v>
      </c>
      <c r="B250" s="4" t="s">
        <v>62</v>
      </c>
      <c r="C250" s="4" t="str">
        <f>IF(D250="","Unknown",IF(D250&lt;20,"Teen",IF(D250&lt;40,"Adult","Senior")))</f>
        <v>Adult</v>
      </c>
      <c r="D250" s="3">
        <v>36</v>
      </c>
      <c r="E250" s="3" t="s">
        <v>249</v>
      </c>
      <c r="F250" s="4" t="s">
        <v>40</v>
      </c>
      <c r="G250" s="4" t="s">
        <v>44</v>
      </c>
      <c r="H250" t="s">
        <v>36</v>
      </c>
      <c r="I250" s="3">
        <v>2</v>
      </c>
      <c r="J250" s="5">
        <v>1000</v>
      </c>
      <c r="K250" s="7">
        <v>2000</v>
      </c>
      <c r="L250" s="6">
        <v>45306</v>
      </c>
      <c r="M250" s="8" t="str">
        <f>IF(K250&gt;10000,"High",IF(K250&gt;5000,"Medium","Low"))</f>
        <v>Low</v>
      </c>
      <c r="N250" s="4" t="s">
        <v>244</v>
      </c>
      <c r="O250" s="3">
        <v>1</v>
      </c>
      <c r="P250" s="3">
        <v>2024</v>
      </c>
      <c r="T250" s="4"/>
      <c r="X250"/>
      <c r="Y250" s="3"/>
      <c r="AA250"/>
    </row>
    <row r="251" spans="1:27" x14ac:dyDescent="0.3">
      <c r="A251" s="3">
        <v>1471</v>
      </c>
      <c r="B251" s="4" t="s">
        <v>68</v>
      </c>
      <c r="C251" s="4" t="str">
        <f>IF(D251="","Unknown",IF(D251&lt;20,"Teen",IF(D251&lt;40,"Adult","Senior")))</f>
        <v>Senior</v>
      </c>
      <c r="D251" s="3">
        <v>46</v>
      </c>
      <c r="E251" s="3" t="s">
        <v>249</v>
      </c>
      <c r="F251" s="4" t="s">
        <v>40</v>
      </c>
      <c r="G251" s="4" t="s">
        <v>27</v>
      </c>
      <c r="H251" t="s">
        <v>13</v>
      </c>
      <c r="I251" s="3">
        <v>2</v>
      </c>
      <c r="J251" s="5">
        <v>1000</v>
      </c>
      <c r="K251" s="7">
        <v>2000</v>
      </c>
      <c r="L251" s="6">
        <v>45301</v>
      </c>
      <c r="M251" s="8" t="str">
        <f>IF(K251&gt;10000,"High",IF(K251&gt;5000,"Medium","Low"))</f>
        <v>Low</v>
      </c>
      <c r="N251" s="4" t="s">
        <v>240</v>
      </c>
      <c r="O251" s="3">
        <v>1</v>
      </c>
      <c r="P251" s="3">
        <v>2024</v>
      </c>
      <c r="T251" s="4"/>
      <c r="X251"/>
      <c r="Y251" s="3"/>
      <c r="AA251"/>
    </row>
    <row r="252" spans="1:27" x14ac:dyDescent="0.3">
      <c r="A252" s="3">
        <v>1475</v>
      </c>
      <c r="B252" s="4" t="s">
        <v>64</v>
      </c>
      <c r="C252" s="4" t="str">
        <f>IF(D252="","Unknown",IF(D252&lt;20,"Teen",IF(D252&lt;40,"Adult","Senior")))</f>
        <v>Adult</v>
      </c>
      <c r="D252" s="3">
        <v>38</v>
      </c>
      <c r="E252" s="3" t="s">
        <v>249</v>
      </c>
      <c r="F252" s="4" t="s">
        <v>17</v>
      </c>
      <c r="G252" s="4" t="s">
        <v>23</v>
      </c>
      <c r="H252" t="s">
        <v>30</v>
      </c>
      <c r="I252" s="3">
        <v>2</v>
      </c>
      <c r="J252" s="5">
        <v>1000</v>
      </c>
      <c r="K252" s="7">
        <v>2000</v>
      </c>
      <c r="L252" s="6">
        <v>45307</v>
      </c>
      <c r="M252" s="8" t="str">
        <f>IF(K252&gt;10000,"High",IF(K252&gt;5000,"Medium","Low"))</f>
        <v>Low</v>
      </c>
      <c r="N252" s="4" t="s">
        <v>241</v>
      </c>
      <c r="O252" s="3">
        <v>1</v>
      </c>
      <c r="P252" s="3">
        <v>2024</v>
      </c>
      <c r="T252" s="4"/>
      <c r="X252"/>
      <c r="Y252" s="3"/>
      <c r="AA252"/>
    </row>
    <row r="253" spans="1:27" x14ac:dyDescent="0.3">
      <c r="A253" s="3">
        <v>1476</v>
      </c>
      <c r="B253" s="4" t="s">
        <v>25</v>
      </c>
      <c r="C253" s="4" t="str">
        <f>IF(D253="","Unknown",IF(D253&lt;20,"Teen",IF(D253&lt;40,"Adult","Senior")))</f>
        <v>Adult</v>
      </c>
      <c r="D253" s="3">
        <v>30</v>
      </c>
      <c r="E253" s="3" t="s">
        <v>250</v>
      </c>
      <c r="F253" s="4" t="s">
        <v>40</v>
      </c>
      <c r="G253" s="4" t="s">
        <v>44</v>
      </c>
      <c r="H253" t="s">
        <v>36</v>
      </c>
      <c r="I253" s="3">
        <v>3</v>
      </c>
      <c r="J253" s="5">
        <v>18229</v>
      </c>
      <c r="K253" s="7">
        <v>54687</v>
      </c>
      <c r="L253" s="6">
        <v>45312</v>
      </c>
      <c r="M253" s="8" t="str">
        <f>IF(K253&gt;10000,"High",IF(K253&gt;5000,"Medium","Low"))</f>
        <v>High</v>
      </c>
      <c r="N253" s="4" t="s">
        <v>241</v>
      </c>
      <c r="O253" s="3">
        <v>1</v>
      </c>
      <c r="P253" s="3">
        <v>2024</v>
      </c>
      <c r="T253" s="4"/>
      <c r="X253"/>
      <c r="Y253" s="3"/>
      <c r="AA253"/>
    </row>
    <row r="254" spans="1:27" x14ac:dyDescent="0.3">
      <c r="A254" s="3">
        <v>1478</v>
      </c>
      <c r="B254" s="4" t="s">
        <v>46</v>
      </c>
      <c r="C254" s="4" t="str">
        <f>IF(D254="","Unknown",IF(D254&lt;20,"Teen",IF(D254&lt;40,"Adult","Senior")))</f>
        <v>Adult</v>
      </c>
      <c r="D254" s="3">
        <v>30</v>
      </c>
      <c r="E254" s="3" t="s">
        <v>250</v>
      </c>
      <c r="F254" s="4" t="s">
        <v>40</v>
      </c>
      <c r="G254" s="4" t="s">
        <v>41</v>
      </c>
      <c r="H254" t="s">
        <v>36</v>
      </c>
      <c r="I254" s="3">
        <v>2</v>
      </c>
      <c r="J254" s="5">
        <v>8613</v>
      </c>
      <c r="K254" s="7">
        <v>17226</v>
      </c>
      <c r="L254" s="6">
        <v>45297</v>
      </c>
      <c r="M254" s="8" t="str">
        <f>IF(K254&gt;10000,"High",IF(K254&gt;5000,"Medium","Low"))</f>
        <v>High</v>
      </c>
      <c r="N254" s="4" t="s">
        <v>241</v>
      </c>
      <c r="O254" s="3">
        <v>1</v>
      </c>
      <c r="P254" s="3">
        <v>2024</v>
      </c>
      <c r="T254" s="4"/>
      <c r="X254"/>
      <c r="Y254" s="3"/>
      <c r="AA254"/>
    </row>
    <row r="255" spans="1:27" x14ac:dyDescent="0.3">
      <c r="A255" s="3">
        <v>1481</v>
      </c>
      <c r="B255" s="4" t="s">
        <v>10</v>
      </c>
      <c r="C255" s="4" t="str">
        <f>IF(D255="","Unknown",IF(D255&lt;20,"Teen",IF(D255&lt;40,"Adult","Senior")))</f>
        <v>Adult</v>
      </c>
      <c r="D255" s="3">
        <v>30</v>
      </c>
      <c r="E255" s="3" t="s">
        <v>250</v>
      </c>
      <c r="F255" s="4" t="s">
        <v>17</v>
      </c>
      <c r="G255" s="4" t="s">
        <v>23</v>
      </c>
      <c r="H255" t="s">
        <v>30</v>
      </c>
      <c r="I255" s="3">
        <v>1</v>
      </c>
      <c r="J255" s="5">
        <v>1000</v>
      </c>
      <c r="K255" s="7">
        <v>1000</v>
      </c>
      <c r="L255" s="6">
        <v>45305</v>
      </c>
      <c r="M255" s="8" t="str">
        <f>IF(K255&gt;10000,"High",IF(K255&gt;5000,"Medium","Low"))</f>
        <v>Low</v>
      </c>
      <c r="N255" s="4" t="s">
        <v>243</v>
      </c>
      <c r="O255" s="3">
        <v>1</v>
      </c>
      <c r="P255" s="3">
        <v>2024</v>
      </c>
      <c r="T255" s="4"/>
      <c r="X255"/>
      <c r="Y255" s="3"/>
      <c r="AA255"/>
    </row>
    <row r="256" spans="1:27" x14ac:dyDescent="0.3">
      <c r="A256" s="3">
        <v>1482</v>
      </c>
      <c r="B256" s="4" t="s">
        <v>48</v>
      </c>
      <c r="C256" s="4" t="str">
        <f>IF(D256="","Unknown",IF(D256&lt;20,"Teen",IF(D256&lt;40,"Adult","Senior")))</f>
        <v>Adult</v>
      </c>
      <c r="D256" s="3">
        <v>30</v>
      </c>
      <c r="E256" s="3" t="s">
        <v>250</v>
      </c>
      <c r="F256" s="4" t="s">
        <v>40</v>
      </c>
      <c r="G256" s="4" t="s">
        <v>44</v>
      </c>
      <c r="H256" t="s">
        <v>36</v>
      </c>
      <c r="I256" s="3">
        <v>2</v>
      </c>
      <c r="J256" s="5">
        <v>1000</v>
      </c>
      <c r="K256" s="7">
        <v>2000</v>
      </c>
      <c r="L256" s="6">
        <v>45300</v>
      </c>
      <c r="M256" s="8" t="str">
        <f>IF(K256&gt;10000,"High",IF(K256&gt;5000,"Medium","Low"))</f>
        <v>Low</v>
      </c>
      <c r="N256" s="4" t="s">
        <v>242</v>
      </c>
      <c r="O256" s="3">
        <v>1</v>
      </c>
      <c r="P256" s="3">
        <v>2024</v>
      </c>
      <c r="T256" s="4"/>
      <c r="X256"/>
      <c r="Y256" s="3"/>
      <c r="AA256"/>
    </row>
    <row r="257" spans="1:27" x14ac:dyDescent="0.3">
      <c r="A257" s="3">
        <v>1483</v>
      </c>
      <c r="B257" s="4" t="s">
        <v>62</v>
      </c>
      <c r="C257" s="4" t="str">
        <f>IF(D257="","Unknown",IF(D257&lt;20,"Teen",IF(D257&lt;40,"Adult","Senior")))</f>
        <v>Adult</v>
      </c>
      <c r="D257" s="3">
        <v>30</v>
      </c>
      <c r="E257" s="3" t="s">
        <v>250</v>
      </c>
      <c r="F257" s="4" t="s">
        <v>17</v>
      </c>
      <c r="G257" s="4" t="s">
        <v>23</v>
      </c>
      <c r="H257" t="s">
        <v>30</v>
      </c>
      <c r="I257" s="3">
        <v>2</v>
      </c>
      <c r="J257" s="5">
        <v>35277</v>
      </c>
      <c r="K257" s="7">
        <v>70554</v>
      </c>
      <c r="L257" s="6">
        <v>45293</v>
      </c>
      <c r="M257" s="8" t="str">
        <f>IF(K257&gt;10000,"High",IF(K257&gt;5000,"Medium","Low"))</f>
        <v>High</v>
      </c>
      <c r="N257" s="4" t="s">
        <v>241</v>
      </c>
      <c r="O257" s="3">
        <v>1</v>
      </c>
      <c r="P257" s="3">
        <v>2024</v>
      </c>
      <c r="T257" s="4"/>
      <c r="X257"/>
      <c r="Y257" s="3"/>
      <c r="AA257"/>
    </row>
    <row r="258" spans="1:27" x14ac:dyDescent="0.3">
      <c r="A258" s="3">
        <v>1486</v>
      </c>
      <c r="B258" s="4" t="s">
        <v>57</v>
      </c>
      <c r="C258" s="4" t="str">
        <f>IF(D258="","Unknown",IF(D258&lt;20,"Teen",IF(D258&lt;40,"Adult","Senior")))</f>
        <v>Adult</v>
      </c>
      <c r="D258" s="3">
        <v>30</v>
      </c>
      <c r="E258" s="3" t="s">
        <v>250</v>
      </c>
      <c r="F258" s="4" t="s">
        <v>40</v>
      </c>
      <c r="G258" s="4" t="s">
        <v>12</v>
      </c>
      <c r="H258" t="s">
        <v>13</v>
      </c>
      <c r="I258" s="3">
        <v>2</v>
      </c>
      <c r="J258" s="5">
        <v>1000</v>
      </c>
      <c r="K258" s="7">
        <v>2000</v>
      </c>
      <c r="L258" s="6">
        <v>45303</v>
      </c>
      <c r="M258" s="8" t="str">
        <f>IF(K258&gt;10000,"High",IF(K258&gt;5000,"Medium","Low"))</f>
        <v>Low</v>
      </c>
      <c r="N258" s="4" t="s">
        <v>241</v>
      </c>
      <c r="O258" s="3">
        <v>1</v>
      </c>
      <c r="P258" s="3">
        <v>2024</v>
      </c>
      <c r="T258" s="4"/>
      <c r="X258"/>
      <c r="Y258" s="3"/>
      <c r="AA258"/>
    </row>
    <row r="259" spans="1:27" x14ac:dyDescent="0.3">
      <c r="A259" s="3">
        <v>1487</v>
      </c>
      <c r="B259" s="4" t="s">
        <v>21</v>
      </c>
      <c r="C259" s="4" t="str">
        <f>IF(D259="","Unknown",IF(D259&lt;20,"Teen",IF(D259&lt;40,"Adult","Senior")))</f>
        <v>Adult</v>
      </c>
      <c r="D259" s="3">
        <v>30</v>
      </c>
      <c r="E259" s="3" t="s">
        <v>250</v>
      </c>
      <c r="F259" s="4" t="s">
        <v>17</v>
      </c>
      <c r="G259" s="4" t="s">
        <v>27</v>
      </c>
      <c r="H259" t="s">
        <v>13</v>
      </c>
      <c r="I259" s="3">
        <v>2</v>
      </c>
      <c r="J259" s="5">
        <v>1000</v>
      </c>
      <c r="K259" s="7">
        <v>2000</v>
      </c>
      <c r="L259" s="6">
        <v>45304</v>
      </c>
      <c r="M259" s="8" t="str">
        <f>IF(K259&gt;10000,"High",IF(K259&gt;5000,"Medium","Low"))</f>
        <v>Low</v>
      </c>
      <c r="N259" s="4" t="s">
        <v>241</v>
      </c>
      <c r="O259" s="3">
        <v>1</v>
      </c>
      <c r="P259" s="3">
        <v>2024</v>
      </c>
      <c r="T259" s="4"/>
      <c r="X259"/>
      <c r="Y259" s="3"/>
      <c r="AA259"/>
    </row>
    <row r="260" spans="1:27" x14ac:dyDescent="0.3">
      <c r="A260" s="3">
        <v>1491</v>
      </c>
      <c r="B260" s="4" t="s">
        <v>69</v>
      </c>
      <c r="C260" s="4" t="str">
        <f>IF(D260="","Unknown",IF(D260&lt;20,"Teen",IF(D260&lt;40,"Adult","Senior")))</f>
        <v>Adult</v>
      </c>
      <c r="D260" s="3">
        <v>24</v>
      </c>
      <c r="E260" s="3" t="s">
        <v>250</v>
      </c>
      <c r="F260" s="4" t="s">
        <v>17</v>
      </c>
      <c r="G260" s="4" t="s">
        <v>55</v>
      </c>
      <c r="H260" t="s">
        <v>36</v>
      </c>
      <c r="I260" s="3">
        <v>5</v>
      </c>
      <c r="J260" s="5">
        <v>1000</v>
      </c>
      <c r="K260" s="7">
        <v>5000</v>
      </c>
      <c r="L260" s="6">
        <v>45318</v>
      </c>
      <c r="M260" s="8" t="str">
        <f>IF(K260&gt;10000,"High",IF(K260&gt;5000,"Medium","Low"))</f>
        <v>Low</v>
      </c>
      <c r="N260" s="4" t="s">
        <v>244</v>
      </c>
      <c r="O260" s="3">
        <v>1</v>
      </c>
      <c r="P260" s="3">
        <v>2024</v>
      </c>
      <c r="T260" s="4"/>
      <c r="X260"/>
      <c r="Y260" s="3"/>
      <c r="AA260"/>
    </row>
    <row r="261" spans="1:27" x14ac:dyDescent="0.3">
      <c r="A261" s="3">
        <v>1492</v>
      </c>
      <c r="B261" s="4" t="s">
        <v>32</v>
      </c>
      <c r="C261" s="4" t="str">
        <f>IF(D261="","Unknown",IF(D261&lt;20,"Teen",IF(D261&lt;40,"Adult","Senior")))</f>
        <v>Senior</v>
      </c>
      <c r="D261" s="3">
        <v>42</v>
      </c>
      <c r="E261" s="3" t="s">
        <v>249</v>
      </c>
      <c r="F261" s="4" t="s">
        <v>17</v>
      </c>
      <c r="G261" s="4" t="s">
        <v>23</v>
      </c>
      <c r="H261" t="s">
        <v>30</v>
      </c>
      <c r="I261" s="3">
        <v>3</v>
      </c>
      <c r="J261" s="5">
        <v>35997</v>
      </c>
      <c r="K261" s="7">
        <v>107991</v>
      </c>
      <c r="L261" s="6">
        <v>45321</v>
      </c>
      <c r="M261" s="8" t="str">
        <f>IF(K261&gt;10000,"High",IF(K261&gt;5000,"Medium","Low"))</f>
        <v>High</v>
      </c>
      <c r="N261" s="4" t="s">
        <v>241</v>
      </c>
      <c r="O261" s="3">
        <v>1</v>
      </c>
      <c r="P261" s="3">
        <v>2024</v>
      </c>
      <c r="T261" s="4"/>
      <c r="X261"/>
      <c r="Y261" s="3"/>
      <c r="AA261"/>
    </row>
    <row r="262" spans="1:27" x14ac:dyDescent="0.3">
      <c r="A262" s="3">
        <v>1493</v>
      </c>
      <c r="B262" s="4" t="s">
        <v>54</v>
      </c>
      <c r="C262" s="4" t="str">
        <f>IF(D262="","Unknown",IF(D262&lt;20,"Teen",IF(D262&lt;40,"Adult","Senior")))</f>
        <v>Adult</v>
      </c>
      <c r="D262" s="3">
        <v>30</v>
      </c>
      <c r="E262" s="3" t="s">
        <v>250</v>
      </c>
      <c r="F262" s="4" t="s">
        <v>40</v>
      </c>
      <c r="G262" s="4" t="s">
        <v>41</v>
      </c>
      <c r="H262" t="s">
        <v>36</v>
      </c>
      <c r="I262" s="3">
        <v>2</v>
      </c>
      <c r="J262" s="5">
        <v>26007</v>
      </c>
      <c r="K262" s="7">
        <v>52014</v>
      </c>
      <c r="L262" s="6">
        <v>45310</v>
      </c>
      <c r="M262" s="8" t="str">
        <f>IF(K262&gt;10000,"High",IF(K262&gt;5000,"Medium","Low"))</f>
        <v>High</v>
      </c>
      <c r="N262" s="4" t="s">
        <v>243</v>
      </c>
      <c r="O262" s="3">
        <v>1</v>
      </c>
      <c r="P262" s="3">
        <v>2024</v>
      </c>
      <c r="T262" s="4"/>
      <c r="X262"/>
      <c r="Y262" s="3"/>
      <c r="AA262"/>
    </row>
    <row r="263" spans="1:27" x14ac:dyDescent="0.3">
      <c r="A263" s="3">
        <v>1496</v>
      </c>
      <c r="B263" s="4" t="s">
        <v>54</v>
      </c>
      <c r="C263" s="4" t="str">
        <f>IF(D263="","Unknown",IF(D263&lt;20,"Teen",IF(D263&lt;40,"Adult","Senior")))</f>
        <v>Adult</v>
      </c>
      <c r="D263" s="3">
        <v>30</v>
      </c>
      <c r="E263" s="3" t="s">
        <v>250</v>
      </c>
      <c r="F263" s="4" t="s">
        <v>40</v>
      </c>
      <c r="G263" s="4" t="s">
        <v>55</v>
      </c>
      <c r="H263" t="s">
        <v>36</v>
      </c>
      <c r="I263" s="3">
        <v>2</v>
      </c>
      <c r="J263" s="5">
        <v>1000</v>
      </c>
      <c r="K263" s="7">
        <v>2000</v>
      </c>
      <c r="L263" s="6">
        <v>45309</v>
      </c>
      <c r="M263" s="8" t="str">
        <f>IF(K263&gt;10000,"High",IF(K263&gt;5000,"Medium","Low"))</f>
        <v>Low</v>
      </c>
      <c r="N263" s="4" t="s">
        <v>244</v>
      </c>
      <c r="O263" s="3">
        <v>1</v>
      </c>
      <c r="P263" s="3">
        <v>2024</v>
      </c>
      <c r="T263" s="4"/>
      <c r="X263"/>
      <c r="Y263" s="3"/>
      <c r="AA263"/>
    </row>
    <row r="264" spans="1:27" x14ac:dyDescent="0.3">
      <c r="A264" s="3">
        <v>1498</v>
      </c>
      <c r="B264" s="4" t="s">
        <v>68</v>
      </c>
      <c r="C264" s="4" t="str">
        <f>IF(D264="","Unknown",IF(D264&lt;20,"Teen",IF(D264&lt;40,"Adult","Senior")))</f>
        <v>Adult</v>
      </c>
      <c r="D264" s="3">
        <v>30</v>
      </c>
      <c r="E264" s="3" t="s">
        <v>250</v>
      </c>
      <c r="F264" s="4" t="s">
        <v>40</v>
      </c>
      <c r="G264" s="4" t="s">
        <v>18</v>
      </c>
      <c r="H264" t="s">
        <v>30</v>
      </c>
      <c r="I264" s="3">
        <v>2</v>
      </c>
      <c r="J264" s="5">
        <v>1000</v>
      </c>
      <c r="K264" s="7">
        <v>2000</v>
      </c>
      <c r="L264" s="6">
        <v>45311</v>
      </c>
      <c r="M264" s="8" t="str">
        <f>IF(K264&gt;10000,"High",IF(K264&gt;5000,"Medium","Low"))</f>
        <v>Low</v>
      </c>
      <c r="N264" s="4" t="s">
        <v>243</v>
      </c>
      <c r="O264" s="3">
        <v>1</v>
      </c>
      <c r="P264" s="3">
        <v>2024</v>
      </c>
      <c r="T264" s="4"/>
      <c r="X264"/>
      <c r="Y264" s="3"/>
      <c r="AA264"/>
    </row>
    <row r="265" spans="1:27" x14ac:dyDescent="0.3">
      <c r="A265" s="3">
        <v>1500</v>
      </c>
      <c r="B265" s="4" t="s">
        <v>69</v>
      </c>
      <c r="C265" s="4" t="str">
        <f>IF(D265="","Unknown",IF(D265&lt;20,"Teen",IF(D265&lt;40,"Adult","Senior")))</f>
        <v>Adult</v>
      </c>
      <c r="D265" s="3">
        <v>30</v>
      </c>
      <c r="E265" s="3" t="s">
        <v>250</v>
      </c>
      <c r="F265" s="4" t="s">
        <v>17</v>
      </c>
      <c r="G265" s="4" t="s">
        <v>23</v>
      </c>
      <c r="H265" t="s">
        <v>30</v>
      </c>
      <c r="I265" s="3">
        <v>2</v>
      </c>
      <c r="J265" s="5">
        <v>1000</v>
      </c>
      <c r="K265" s="7">
        <v>2000</v>
      </c>
      <c r="L265" s="6">
        <v>45300</v>
      </c>
      <c r="M265" s="8" t="str">
        <f>IF(K265&gt;10000,"High",IF(K265&gt;5000,"Medium","Low"))</f>
        <v>Low</v>
      </c>
      <c r="N265" s="4" t="s">
        <v>240</v>
      </c>
      <c r="O265" s="3">
        <v>1</v>
      </c>
      <c r="P265" s="3">
        <v>2024</v>
      </c>
      <c r="T265" s="4"/>
      <c r="X265"/>
      <c r="Y265" s="3"/>
      <c r="AA265"/>
    </row>
    <row r="266" spans="1:27" x14ac:dyDescent="0.3">
      <c r="A266" s="3">
        <v>1501</v>
      </c>
      <c r="B266" s="4" t="s">
        <v>35</v>
      </c>
      <c r="C266" s="4" t="str">
        <f>IF(D266="","Unknown",IF(D266&lt;20,"Teen",IF(D266&lt;40,"Adult","Senior")))</f>
        <v>Senior</v>
      </c>
      <c r="D266" s="3">
        <v>49</v>
      </c>
      <c r="E266" s="3" t="s">
        <v>249</v>
      </c>
      <c r="F266" s="4" t="s">
        <v>40</v>
      </c>
      <c r="G266" s="4" t="s">
        <v>41</v>
      </c>
      <c r="H266" t="s">
        <v>36</v>
      </c>
      <c r="I266" s="3">
        <v>2</v>
      </c>
      <c r="J266" s="5">
        <v>1000</v>
      </c>
      <c r="K266" s="7">
        <v>2000</v>
      </c>
      <c r="L266" s="6">
        <v>45292</v>
      </c>
      <c r="M266" s="8" t="str">
        <f>IF(K266&gt;10000,"High",IF(K266&gt;5000,"Medium","Low"))</f>
        <v>Low</v>
      </c>
      <c r="N266" s="4" t="s">
        <v>241</v>
      </c>
      <c r="O266" s="3">
        <v>1</v>
      </c>
      <c r="P266" s="3">
        <v>2024</v>
      </c>
      <c r="T266" s="4"/>
      <c r="X266"/>
      <c r="Y266" s="3"/>
      <c r="AA266"/>
    </row>
    <row r="267" spans="1:27" x14ac:dyDescent="0.3">
      <c r="A267" s="3">
        <v>1504</v>
      </c>
      <c r="B267" s="4" t="s">
        <v>62</v>
      </c>
      <c r="C267" s="4" t="str">
        <f>IF(D267="","Unknown",IF(D267&lt;20,"Teen",IF(D267&lt;40,"Adult","Senior")))</f>
        <v>Adult</v>
      </c>
      <c r="D267" s="3">
        <v>30</v>
      </c>
      <c r="E267" s="3" t="s">
        <v>250</v>
      </c>
      <c r="F267" s="4" t="s">
        <v>17</v>
      </c>
      <c r="G267" s="4" t="s">
        <v>18</v>
      </c>
      <c r="H267" t="s">
        <v>30</v>
      </c>
      <c r="I267" s="3">
        <v>1</v>
      </c>
      <c r="J267" s="5">
        <v>32589</v>
      </c>
      <c r="K267" s="7">
        <v>32589</v>
      </c>
      <c r="L267" s="6">
        <v>45319</v>
      </c>
      <c r="M267" s="8" t="str">
        <f>IF(K267&gt;10000,"High",IF(K267&gt;5000,"Medium","Low"))</f>
        <v>High</v>
      </c>
      <c r="N267" s="4" t="s">
        <v>241</v>
      </c>
      <c r="O267" s="3">
        <v>1</v>
      </c>
      <c r="P267" s="3">
        <v>2024</v>
      </c>
      <c r="T267" s="4"/>
      <c r="X267"/>
      <c r="Y267" s="3"/>
      <c r="AA267"/>
    </row>
    <row r="268" spans="1:27" x14ac:dyDescent="0.3">
      <c r="A268" s="3">
        <v>1506</v>
      </c>
      <c r="B268" s="4" t="s">
        <v>54</v>
      </c>
      <c r="C268" s="4" t="str">
        <f>IF(D268="","Unknown",IF(D268&lt;20,"Teen",IF(D268&lt;40,"Adult","Senior")))</f>
        <v>Adult</v>
      </c>
      <c r="D268" s="3">
        <v>30</v>
      </c>
      <c r="E268" s="3" t="s">
        <v>250</v>
      </c>
      <c r="F268" s="4" t="s">
        <v>40</v>
      </c>
      <c r="G268" s="4" t="s">
        <v>23</v>
      </c>
      <c r="H268" t="s">
        <v>30</v>
      </c>
      <c r="I268" s="3">
        <v>3</v>
      </c>
      <c r="J268" s="5">
        <v>1000</v>
      </c>
      <c r="K268" s="7">
        <v>3000</v>
      </c>
      <c r="L268" s="6">
        <v>45305</v>
      </c>
      <c r="M268" s="8" t="str">
        <f>IF(K268&gt;10000,"High",IF(K268&gt;5000,"Medium","Low"))</f>
        <v>Low</v>
      </c>
      <c r="N268" s="4" t="s">
        <v>242</v>
      </c>
      <c r="O268" s="3">
        <v>1</v>
      </c>
      <c r="P268" s="3">
        <v>2024</v>
      </c>
      <c r="T268" s="4"/>
      <c r="X268"/>
      <c r="Y268" s="3"/>
      <c r="AA268"/>
    </row>
    <row r="269" spans="1:27" x14ac:dyDescent="0.3">
      <c r="A269" s="3">
        <v>1510</v>
      </c>
      <c r="B269" s="4" t="s">
        <v>32</v>
      </c>
      <c r="C269" s="4" t="str">
        <f>IF(D269="","Unknown",IF(D269&lt;20,"Teen",IF(D269&lt;40,"Adult","Senior")))</f>
        <v>Senior</v>
      </c>
      <c r="D269" s="3">
        <v>42</v>
      </c>
      <c r="E269" s="3" t="s">
        <v>249</v>
      </c>
      <c r="F269" s="4" t="s">
        <v>40</v>
      </c>
      <c r="G269" s="4" t="s">
        <v>23</v>
      </c>
      <c r="H269" t="s">
        <v>30</v>
      </c>
      <c r="I269" s="3">
        <v>3</v>
      </c>
      <c r="J269" s="5">
        <v>1000</v>
      </c>
      <c r="K269" s="7">
        <v>3000</v>
      </c>
      <c r="L269" s="6">
        <v>45313</v>
      </c>
      <c r="M269" s="8" t="str">
        <f>IF(K269&gt;10000,"High",IF(K269&gt;5000,"Medium","Low"))</f>
        <v>Low</v>
      </c>
      <c r="N269" s="4" t="s">
        <v>241</v>
      </c>
      <c r="O269" s="3">
        <v>1</v>
      </c>
      <c r="P269" s="3">
        <v>2024</v>
      </c>
      <c r="T269" s="4"/>
      <c r="X269"/>
      <c r="Y269" s="3"/>
      <c r="AA269"/>
    </row>
    <row r="270" spans="1:27" x14ac:dyDescent="0.3">
      <c r="A270" s="3">
        <v>1511</v>
      </c>
      <c r="B270" s="4" t="s">
        <v>25</v>
      </c>
      <c r="C270" s="4" t="str">
        <f>IF(D270="","Unknown",IF(D270&lt;20,"Teen",IF(D270&lt;40,"Adult","Senior")))</f>
        <v>Adult</v>
      </c>
      <c r="D270" s="3">
        <v>30</v>
      </c>
      <c r="E270" s="3" t="s">
        <v>250</v>
      </c>
      <c r="F270" s="4" t="s">
        <v>40</v>
      </c>
      <c r="G270" s="4" t="s">
        <v>44</v>
      </c>
      <c r="H270" t="s">
        <v>36</v>
      </c>
      <c r="I270" s="3">
        <v>2</v>
      </c>
      <c r="J270" s="5">
        <v>21018</v>
      </c>
      <c r="K270" s="7">
        <v>42036</v>
      </c>
      <c r="L270" s="6">
        <v>45297</v>
      </c>
      <c r="M270" s="8" t="str">
        <f>IF(K270&gt;10000,"High",IF(K270&gt;5000,"Medium","Low"))</f>
        <v>High</v>
      </c>
      <c r="N270" s="4" t="s">
        <v>244</v>
      </c>
      <c r="O270" s="3">
        <v>1</v>
      </c>
      <c r="P270" s="3">
        <v>2024</v>
      </c>
      <c r="T270" s="4"/>
      <c r="X270"/>
      <c r="Y270" s="3"/>
      <c r="AA270"/>
    </row>
    <row r="271" spans="1:27" x14ac:dyDescent="0.3">
      <c r="A271" s="3">
        <v>1513</v>
      </c>
      <c r="B271" s="4" t="s">
        <v>38</v>
      </c>
      <c r="C271" s="4" t="str">
        <f>IF(D271="","Unknown",IF(D271&lt;20,"Teen",IF(D271&lt;40,"Adult","Senior")))</f>
        <v>Adult</v>
      </c>
      <c r="D271" s="3">
        <v>34</v>
      </c>
      <c r="E271" s="3" t="s">
        <v>249</v>
      </c>
      <c r="F271" s="4" t="s">
        <v>40</v>
      </c>
      <c r="G271" s="4" t="s">
        <v>44</v>
      </c>
      <c r="H271" t="s">
        <v>36</v>
      </c>
      <c r="I271" s="3">
        <v>3</v>
      </c>
      <c r="J271" s="5">
        <v>1000</v>
      </c>
      <c r="K271" s="7">
        <v>3000</v>
      </c>
      <c r="L271" s="6">
        <v>45301</v>
      </c>
      <c r="M271" s="8" t="str">
        <f>IF(K271&gt;10000,"High",IF(K271&gt;5000,"Medium","Low"))</f>
        <v>Low</v>
      </c>
      <c r="N271" s="4" t="s">
        <v>241</v>
      </c>
      <c r="O271" s="3">
        <v>1</v>
      </c>
      <c r="P271" s="3">
        <v>2024</v>
      </c>
      <c r="T271" s="4"/>
      <c r="X271"/>
      <c r="Y271" s="3"/>
      <c r="AA271"/>
    </row>
    <row r="272" spans="1:27" x14ac:dyDescent="0.3">
      <c r="A272" s="3">
        <v>1514</v>
      </c>
      <c r="B272" s="4" t="s">
        <v>32</v>
      </c>
      <c r="C272" s="4" t="str">
        <f>IF(D272="","Unknown",IF(D272&lt;20,"Teen",IF(D272&lt;40,"Adult","Senior")))</f>
        <v>Adult</v>
      </c>
      <c r="D272" s="3">
        <v>24</v>
      </c>
      <c r="E272" s="3" t="s">
        <v>250</v>
      </c>
      <c r="F272" s="4" t="s">
        <v>17</v>
      </c>
      <c r="G272" s="4" t="s">
        <v>18</v>
      </c>
      <c r="H272" t="s">
        <v>30</v>
      </c>
      <c r="I272" s="3">
        <v>5</v>
      </c>
      <c r="J272" s="5">
        <v>1000</v>
      </c>
      <c r="K272" s="7">
        <v>5000</v>
      </c>
      <c r="L272" s="6">
        <v>45317</v>
      </c>
      <c r="M272" s="8" t="str">
        <f>IF(K272&gt;10000,"High",IF(K272&gt;5000,"Medium","Low"))</f>
        <v>Low</v>
      </c>
      <c r="N272" s="4" t="s">
        <v>241</v>
      </c>
      <c r="O272" s="3">
        <v>1</v>
      </c>
      <c r="P272" s="3">
        <v>2024</v>
      </c>
      <c r="T272" s="4"/>
      <c r="X272"/>
      <c r="Y272" s="3"/>
      <c r="AA272"/>
    </row>
    <row r="273" spans="1:27" x14ac:dyDescent="0.3">
      <c r="A273" s="3">
        <v>1516</v>
      </c>
      <c r="B273" s="4" t="s">
        <v>59</v>
      </c>
      <c r="C273" s="4" t="str">
        <f>IF(D273="","Unknown",IF(D273&lt;20,"Teen",IF(D273&lt;40,"Adult","Senior")))</f>
        <v>Adult</v>
      </c>
      <c r="D273" s="3">
        <v>30</v>
      </c>
      <c r="E273" s="3" t="s">
        <v>250</v>
      </c>
      <c r="F273" s="4" t="s">
        <v>17</v>
      </c>
      <c r="G273" s="4" t="s">
        <v>55</v>
      </c>
      <c r="H273" t="s">
        <v>36</v>
      </c>
      <c r="I273" s="3">
        <v>2</v>
      </c>
      <c r="J273" s="5">
        <v>31804</v>
      </c>
      <c r="K273" s="7">
        <v>63608</v>
      </c>
      <c r="L273" s="6">
        <v>45309</v>
      </c>
      <c r="M273" s="8" t="str">
        <f>IF(K273&gt;10000,"High",IF(K273&gt;5000,"Medium","Low"))</f>
        <v>High</v>
      </c>
      <c r="N273" s="4" t="s">
        <v>240</v>
      </c>
      <c r="O273" s="3">
        <v>1</v>
      </c>
      <c r="P273" s="3">
        <v>2024</v>
      </c>
      <c r="T273" s="4"/>
      <c r="X273"/>
      <c r="Y273" s="3"/>
      <c r="AA273"/>
    </row>
    <row r="274" spans="1:27" x14ac:dyDescent="0.3">
      <c r="A274" s="3">
        <v>1517</v>
      </c>
      <c r="B274" s="4" t="s">
        <v>78</v>
      </c>
      <c r="C274" s="4" t="str">
        <f>IF(D274="","Unknown",IF(D274&lt;20,"Teen",IF(D274&lt;40,"Adult","Senior")))</f>
        <v>Adult</v>
      </c>
      <c r="D274" s="3">
        <v>35</v>
      </c>
      <c r="E274" s="3" t="s">
        <v>249</v>
      </c>
      <c r="F274" s="4" t="s">
        <v>17</v>
      </c>
      <c r="G274" s="4" t="s">
        <v>12</v>
      </c>
      <c r="H274" t="s">
        <v>13</v>
      </c>
      <c r="I274" s="3">
        <v>1</v>
      </c>
      <c r="J274" s="5">
        <v>1000</v>
      </c>
      <c r="K274" s="7">
        <v>1000</v>
      </c>
      <c r="L274" s="6">
        <v>45299</v>
      </c>
      <c r="M274" s="8" t="str">
        <f>IF(K274&gt;10000,"High",IF(K274&gt;5000,"Medium","Low"))</f>
        <v>Low</v>
      </c>
      <c r="N274" s="4" t="s">
        <v>244</v>
      </c>
      <c r="O274" s="3">
        <v>1</v>
      </c>
      <c r="P274" s="3">
        <v>2024</v>
      </c>
      <c r="T274" s="4"/>
      <c r="X274"/>
      <c r="Y274" s="3"/>
      <c r="AA274"/>
    </row>
    <row r="275" spans="1:27" x14ac:dyDescent="0.3">
      <c r="A275" s="3">
        <v>1520</v>
      </c>
      <c r="B275" s="4" t="s">
        <v>32</v>
      </c>
      <c r="C275" s="4" t="str">
        <f>IF(D275="","Unknown",IF(D275&lt;20,"Teen",IF(D275&lt;40,"Adult","Senior")))</f>
        <v>Adult</v>
      </c>
      <c r="D275" s="3">
        <v>34</v>
      </c>
      <c r="E275" s="3" t="s">
        <v>249</v>
      </c>
      <c r="F275" s="4" t="s">
        <v>40</v>
      </c>
      <c r="G275" s="4" t="s">
        <v>55</v>
      </c>
      <c r="H275" t="s">
        <v>36</v>
      </c>
      <c r="I275" s="3">
        <v>2</v>
      </c>
      <c r="J275" s="5">
        <v>1000</v>
      </c>
      <c r="K275" s="7">
        <v>2000</v>
      </c>
      <c r="L275" s="6">
        <v>45301</v>
      </c>
      <c r="M275" s="8" t="str">
        <f>IF(K275&gt;10000,"High",IF(K275&gt;5000,"Medium","Low"))</f>
        <v>Low</v>
      </c>
      <c r="N275" s="4" t="s">
        <v>244</v>
      </c>
      <c r="O275" s="3">
        <v>1</v>
      </c>
      <c r="P275" s="3">
        <v>2024</v>
      </c>
      <c r="T275" s="4"/>
      <c r="X275"/>
      <c r="Y275" s="3"/>
      <c r="AA275"/>
    </row>
    <row r="276" spans="1:27" x14ac:dyDescent="0.3">
      <c r="A276" s="3">
        <v>1521</v>
      </c>
      <c r="B276" s="4" t="s">
        <v>10</v>
      </c>
      <c r="C276" s="4" t="str">
        <f>IF(D276="","Unknown",IF(D276&lt;20,"Teen",IF(D276&lt;40,"Adult","Senior")))</f>
        <v>Adult</v>
      </c>
      <c r="D276" s="3">
        <v>29</v>
      </c>
      <c r="E276" s="3" t="s">
        <v>250</v>
      </c>
      <c r="F276" s="4" t="s">
        <v>40</v>
      </c>
      <c r="G276" s="4" t="s">
        <v>55</v>
      </c>
      <c r="H276" t="s">
        <v>36</v>
      </c>
      <c r="I276" s="3">
        <v>2</v>
      </c>
      <c r="J276" s="5">
        <v>29914</v>
      </c>
      <c r="K276" s="7">
        <v>59828</v>
      </c>
      <c r="L276" s="6">
        <v>45298</v>
      </c>
      <c r="M276" s="8" t="str">
        <f>IF(K276&gt;10000,"High",IF(K276&gt;5000,"Medium","Low"))</f>
        <v>High</v>
      </c>
      <c r="N276" s="4" t="s">
        <v>242</v>
      </c>
      <c r="O276" s="3">
        <v>1</v>
      </c>
      <c r="P276" s="3">
        <v>2024</v>
      </c>
      <c r="T276" s="4"/>
      <c r="X276"/>
      <c r="Y276" s="3"/>
      <c r="AA276"/>
    </row>
    <row r="277" spans="1:27" x14ac:dyDescent="0.3">
      <c r="A277" s="3">
        <v>1522</v>
      </c>
      <c r="B277" s="4" t="s">
        <v>21</v>
      </c>
      <c r="C277" s="4" t="str">
        <f>IF(D277="","Unknown",IF(D277&lt;20,"Teen",IF(D277&lt;40,"Adult","Senior")))</f>
        <v>Senior</v>
      </c>
      <c r="D277" s="3">
        <v>44</v>
      </c>
      <c r="E277" s="3" t="s">
        <v>249</v>
      </c>
      <c r="F277" s="4" t="s">
        <v>40</v>
      </c>
      <c r="G277" s="4" t="s">
        <v>51</v>
      </c>
      <c r="H277" t="s">
        <v>13</v>
      </c>
      <c r="I277" s="3">
        <v>1</v>
      </c>
      <c r="J277" s="5">
        <v>1000</v>
      </c>
      <c r="K277" s="7">
        <v>1000</v>
      </c>
      <c r="L277" s="6">
        <v>45314</v>
      </c>
      <c r="M277" s="8" t="str">
        <f>IF(K277&gt;10000,"High",IF(K277&gt;5000,"Medium","Low"))</f>
        <v>Low</v>
      </c>
      <c r="N277" s="4" t="s">
        <v>244</v>
      </c>
      <c r="O277" s="3">
        <v>1</v>
      </c>
      <c r="P277" s="3">
        <v>2024</v>
      </c>
      <c r="T277" s="4"/>
      <c r="X277"/>
      <c r="Y277" s="3"/>
      <c r="AA277"/>
    </row>
    <row r="278" spans="1:27" x14ac:dyDescent="0.3">
      <c r="A278" s="3">
        <v>1524</v>
      </c>
      <c r="B278" s="4" t="s">
        <v>21</v>
      </c>
      <c r="C278" s="4" t="str">
        <f>IF(D278="","Unknown",IF(D278&lt;20,"Teen",IF(D278&lt;40,"Adult","Senior")))</f>
        <v>Adult</v>
      </c>
      <c r="D278" s="3">
        <v>30</v>
      </c>
      <c r="E278" s="3" t="s">
        <v>250</v>
      </c>
      <c r="F278" s="4" t="s">
        <v>40</v>
      </c>
      <c r="G278" s="4" t="s">
        <v>41</v>
      </c>
      <c r="H278" t="s">
        <v>36</v>
      </c>
      <c r="I278" s="3">
        <v>1</v>
      </c>
      <c r="J278" s="5">
        <v>46383</v>
      </c>
      <c r="K278" s="7">
        <v>46383</v>
      </c>
      <c r="L278" s="6">
        <v>45315</v>
      </c>
      <c r="M278" s="8" t="str">
        <f>IF(K278&gt;10000,"High",IF(K278&gt;5000,"Medium","Low"))</f>
        <v>High</v>
      </c>
      <c r="N278" s="4" t="s">
        <v>242</v>
      </c>
      <c r="O278" s="3">
        <v>1</v>
      </c>
      <c r="P278" s="3">
        <v>2024</v>
      </c>
      <c r="T278" s="4"/>
      <c r="X278"/>
      <c r="Y278" s="3"/>
      <c r="AA278"/>
    </row>
    <row r="279" spans="1:27" x14ac:dyDescent="0.3">
      <c r="A279" s="3">
        <v>1525</v>
      </c>
      <c r="B279" s="4" t="s">
        <v>25</v>
      </c>
      <c r="C279" s="4" t="str">
        <f>IF(D279="","Unknown",IF(D279&lt;20,"Teen",IF(D279&lt;40,"Adult","Senior")))</f>
        <v>Adult</v>
      </c>
      <c r="D279" s="3">
        <v>30</v>
      </c>
      <c r="E279" s="3" t="s">
        <v>250</v>
      </c>
      <c r="F279" s="4" t="s">
        <v>40</v>
      </c>
      <c r="G279" s="4" t="s">
        <v>18</v>
      </c>
      <c r="H279" t="s">
        <v>30</v>
      </c>
      <c r="I279" s="3">
        <v>2</v>
      </c>
      <c r="J279" s="5">
        <v>1000</v>
      </c>
      <c r="K279" s="7">
        <v>2000</v>
      </c>
      <c r="L279" s="6">
        <v>45319</v>
      </c>
      <c r="M279" s="8" t="str">
        <f>IF(K279&gt;10000,"High",IF(K279&gt;5000,"Medium","Low"))</f>
        <v>Low</v>
      </c>
      <c r="N279" s="4" t="s">
        <v>241</v>
      </c>
      <c r="O279" s="3">
        <v>1</v>
      </c>
      <c r="P279" s="3">
        <v>2024</v>
      </c>
      <c r="T279" s="4"/>
      <c r="X279"/>
      <c r="Y279" s="3"/>
      <c r="AA279"/>
    </row>
    <row r="280" spans="1:27" x14ac:dyDescent="0.3">
      <c r="A280" s="3">
        <v>1526</v>
      </c>
      <c r="B280" s="4" t="s">
        <v>35</v>
      </c>
      <c r="C280" s="4" t="str">
        <f>IF(D280="","Unknown",IF(D280&lt;20,"Teen",IF(D280&lt;40,"Adult","Senior")))</f>
        <v>Adult</v>
      </c>
      <c r="D280" s="3">
        <v>30</v>
      </c>
      <c r="E280" s="3" t="s">
        <v>250</v>
      </c>
      <c r="F280" s="4" t="s">
        <v>17</v>
      </c>
      <c r="G280" s="4" t="s">
        <v>18</v>
      </c>
      <c r="H280" t="s">
        <v>30</v>
      </c>
      <c r="I280" s="3">
        <v>5</v>
      </c>
      <c r="J280" s="5">
        <v>1000</v>
      </c>
      <c r="K280" s="7">
        <v>5000</v>
      </c>
      <c r="L280" s="6">
        <v>45316</v>
      </c>
      <c r="M280" s="8" t="str">
        <f>IF(K280&gt;10000,"High",IF(K280&gt;5000,"Medium","Low"))</f>
        <v>Low</v>
      </c>
      <c r="N280" s="4" t="s">
        <v>241</v>
      </c>
      <c r="O280" s="3">
        <v>1</v>
      </c>
      <c r="P280" s="3">
        <v>2024</v>
      </c>
      <c r="T280" s="4"/>
      <c r="X280"/>
      <c r="Y280" s="3"/>
      <c r="AA280"/>
    </row>
    <row r="281" spans="1:27" x14ac:dyDescent="0.3">
      <c r="A281" s="3">
        <v>1528</v>
      </c>
      <c r="B281" s="4" t="s">
        <v>21</v>
      </c>
      <c r="C281" s="4" t="str">
        <f>IF(D281="","Unknown",IF(D281&lt;20,"Teen",IF(D281&lt;40,"Adult","Senior")))</f>
        <v>Adult</v>
      </c>
      <c r="D281" s="3">
        <v>30</v>
      </c>
      <c r="E281" s="3" t="s">
        <v>250</v>
      </c>
      <c r="F281" s="4" t="s">
        <v>40</v>
      </c>
      <c r="G281" s="4" t="s">
        <v>55</v>
      </c>
      <c r="H281" t="s">
        <v>36</v>
      </c>
      <c r="I281" s="3">
        <v>2</v>
      </c>
      <c r="J281" s="5">
        <v>1000</v>
      </c>
      <c r="K281" s="7">
        <v>2000</v>
      </c>
      <c r="L281" s="6">
        <v>45299</v>
      </c>
      <c r="M281" s="8" t="str">
        <f>IF(K281&gt;10000,"High",IF(K281&gt;5000,"Medium","Low"))</f>
        <v>Low</v>
      </c>
      <c r="N281" s="4" t="s">
        <v>240</v>
      </c>
      <c r="O281" s="3">
        <v>1</v>
      </c>
      <c r="P281" s="3">
        <v>2024</v>
      </c>
      <c r="T281" s="4"/>
      <c r="X281"/>
      <c r="Y281" s="3"/>
      <c r="AA281"/>
    </row>
    <row r="282" spans="1:27" x14ac:dyDescent="0.3">
      <c r="A282" s="3">
        <v>1530</v>
      </c>
      <c r="B282" s="4" t="s">
        <v>25</v>
      </c>
      <c r="C282" s="4" t="str">
        <f>IF(D282="","Unknown",IF(D282&lt;20,"Teen",IF(D282&lt;40,"Adult","Senior")))</f>
        <v>Adult</v>
      </c>
      <c r="D282" s="3">
        <v>26</v>
      </c>
      <c r="E282" s="3" t="s">
        <v>250</v>
      </c>
      <c r="F282" s="4" t="s">
        <v>17</v>
      </c>
      <c r="G282" s="4" t="s">
        <v>27</v>
      </c>
      <c r="H282" t="s">
        <v>13</v>
      </c>
      <c r="I282" s="3">
        <v>4</v>
      </c>
      <c r="J282" s="5">
        <v>1000</v>
      </c>
      <c r="K282" s="7">
        <v>4000</v>
      </c>
      <c r="L282" s="6">
        <v>45293</v>
      </c>
      <c r="M282" s="8" t="str">
        <f>IF(K282&gt;10000,"High",IF(K282&gt;5000,"Medium","Low"))</f>
        <v>Low</v>
      </c>
      <c r="N282" s="4" t="s">
        <v>241</v>
      </c>
      <c r="O282" s="3">
        <v>1</v>
      </c>
      <c r="P282" s="3">
        <v>2024</v>
      </c>
      <c r="T282" s="4"/>
      <c r="X282"/>
      <c r="Y282" s="3"/>
      <c r="AA282"/>
    </row>
    <row r="283" spans="1:27" x14ac:dyDescent="0.3">
      <c r="A283" s="3">
        <v>1531</v>
      </c>
      <c r="B283" s="4" t="s">
        <v>78</v>
      </c>
      <c r="C283" s="4" t="str">
        <f>IF(D283="","Unknown",IF(D283&lt;20,"Teen",IF(D283&lt;40,"Adult","Senior")))</f>
        <v>Adult</v>
      </c>
      <c r="D283" s="3">
        <v>30</v>
      </c>
      <c r="E283" s="3" t="s">
        <v>250</v>
      </c>
      <c r="F283" s="4" t="s">
        <v>17</v>
      </c>
      <c r="G283" s="4" t="s">
        <v>27</v>
      </c>
      <c r="H283" t="s">
        <v>13</v>
      </c>
      <c r="I283" s="3">
        <v>2</v>
      </c>
      <c r="J283" s="5">
        <v>1000</v>
      </c>
      <c r="K283" s="7">
        <v>2000</v>
      </c>
      <c r="L283" s="6">
        <v>45306</v>
      </c>
      <c r="M283" s="8" t="str">
        <f>IF(K283&gt;10000,"High",IF(K283&gt;5000,"Medium","Low"))</f>
        <v>Low</v>
      </c>
      <c r="N283" s="4" t="s">
        <v>244</v>
      </c>
      <c r="O283" s="3">
        <v>1</v>
      </c>
      <c r="P283" s="3">
        <v>2024</v>
      </c>
      <c r="T283" s="4"/>
      <c r="X283"/>
      <c r="Y283" s="3"/>
      <c r="AA283"/>
    </row>
    <row r="284" spans="1:27" x14ac:dyDescent="0.3">
      <c r="A284" s="3">
        <v>1532</v>
      </c>
      <c r="B284" s="4" t="s">
        <v>59</v>
      </c>
      <c r="C284" s="4" t="str">
        <f>IF(D284="","Unknown",IF(D284&lt;20,"Teen",IF(D284&lt;40,"Adult","Senior")))</f>
        <v>Adult</v>
      </c>
      <c r="D284" s="3">
        <v>23</v>
      </c>
      <c r="E284" s="3" t="s">
        <v>250</v>
      </c>
      <c r="F284" s="4" t="s">
        <v>40</v>
      </c>
      <c r="G284" s="4" t="s">
        <v>12</v>
      </c>
      <c r="H284" t="s">
        <v>13</v>
      </c>
      <c r="I284" s="3">
        <v>2</v>
      </c>
      <c r="J284" s="5">
        <v>1000</v>
      </c>
      <c r="K284" s="7">
        <v>2000</v>
      </c>
      <c r="L284" s="6">
        <v>45315</v>
      </c>
      <c r="M284" s="8" t="str">
        <f>IF(K284&gt;10000,"High",IF(K284&gt;5000,"Medium","Low"))</f>
        <v>Low</v>
      </c>
      <c r="N284" s="4" t="s">
        <v>242</v>
      </c>
      <c r="O284" s="3">
        <v>1</v>
      </c>
      <c r="P284" s="3">
        <v>2024</v>
      </c>
      <c r="T284" s="4"/>
      <c r="X284"/>
      <c r="Y284" s="3"/>
      <c r="AA284"/>
    </row>
    <row r="285" spans="1:27" x14ac:dyDescent="0.3">
      <c r="A285" s="3">
        <v>1534</v>
      </c>
      <c r="B285" s="4" t="s">
        <v>73</v>
      </c>
      <c r="C285" s="4" t="str">
        <f>IF(D285="","Unknown",IF(D285&lt;20,"Teen",IF(D285&lt;40,"Adult","Senior")))</f>
        <v>Adult</v>
      </c>
      <c r="D285" s="3">
        <v>24</v>
      </c>
      <c r="E285" s="3" t="s">
        <v>250</v>
      </c>
      <c r="F285" s="4" t="s">
        <v>17</v>
      </c>
      <c r="G285" s="4" t="s">
        <v>55</v>
      </c>
      <c r="H285" t="s">
        <v>36</v>
      </c>
      <c r="I285" s="3">
        <v>5</v>
      </c>
      <c r="J285" s="5">
        <v>11334</v>
      </c>
      <c r="K285" s="7">
        <v>56670</v>
      </c>
      <c r="L285" s="6">
        <v>45298</v>
      </c>
      <c r="M285" s="8" t="str">
        <f>IF(K285&gt;10000,"High",IF(K285&gt;5000,"Medium","Low"))</f>
        <v>High</v>
      </c>
      <c r="N285" s="4" t="s">
        <v>244</v>
      </c>
      <c r="O285" s="3">
        <v>1</v>
      </c>
      <c r="P285" s="3">
        <v>2024</v>
      </c>
      <c r="T285" s="4"/>
      <c r="X285"/>
      <c r="Y285" s="3"/>
      <c r="AA285"/>
    </row>
    <row r="286" spans="1:27" x14ac:dyDescent="0.3">
      <c r="A286" s="3">
        <v>1535</v>
      </c>
      <c r="B286" s="4" t="s">
        <v>68</v>
      </c>
      <c r="C286" s="4" t="str">
        <f>IF(D286="","Unknown",IF(D286&lt;20,"Teen",IF(D286&lt;40,"Adult","Senior")))</f>
        <v>Adult</v>
      </c>
      <c r="D286" s="3">
        <v>30</v>
      </c>
      <c r="E286" s="3" t="s">
        <v>250</v>
      </c>
      <c r="F286" s="4" t="s">
        <v>40</v>
      </c>
      <c r="G286" s="4" t="s">
        <v>27</v>
      </c>
      <c r="H286" t="s">
        <v>13</v>
      </c>
      <c r="I286" s="3">
        <v>2</v>
      </c>
      <c r="J286" s="5">
        <v>1000</v>
      </c>
      <c r="K286" s="7">
        <v>2000</v>
      </c>
      <c r="L286" s="6">
        <v>45318</v>
      </c>
      <c r="M286" s="8" t="str">
        <f>IF(K286&gt;10000,"High",IF(K286&gt;5000,"Medium","Low"))</f>
        <v>Low</v>
      </c>
      <c r="N286" s="4" t="s">
        <v>242</v>
      </c>
      <c r="O286" s="3">
        <v>1</v>
      </c>
      <c r="P286" s="3">
        <v>2024</v>
      </c>
      <c r="T286" s="4"/>
      <c r="X286"/>
      <c r="Y286" s="3"/>
      <c r="AA286"/>
    </row>
    <row r="287" spans="1:27" x14ac:dyDescent="0.3">
      <c r="A287" s="3">
        <v>1537</v>
      </c>
      <c r="B287" s="4" t="s">
        <v>16</v>
      </c>
      <c r="C287" s="4" t="str">
        <f>IF(D287="","Unknown",IF(D287&lt;20,"Teen",IF(D287&lt;40,"Adult","Senior")))</f>
        <v>Adult</v>
      </c>
      <c r="D287" s="3">
        <v>30</v>
      </c>
      <c r="E287" s="3" t="s">
        <v>250</v>
      </c>
      <c r="F287" s="4" t="s">
        <v>17</v>
      </c>
      <c r="G287" s="4" t="s">
        <v>41</v>
      </c>
      <c r="H287" t="s">
        <v>36</v>
      </c>
      <c r="I287" s="3">
        <v>2</v>
      </c>
      <c r="J287" s="5">
        <v>1000</v>
      </c>
      <c r="K287" s="7">
        <v>2000</v>
      </c>
      <c r="L287" s="6">
        <v>45314</v>
      </c>
      <c r="M287" s="8" t="str">
        <f>IF(K287&gt;10000,"High",IF(K287&gt;5000,"Medium","Low"))</f>
        <v>Low</v>
      </c>
      <c r="N287" s="4" t="s">
        <v>241</v>
      </c>
      <c r="O287" s="3">
        <v>1</v>
      </c>
      <c r="P287" s="3">
        <v>2024</v>
      </c>
      <c r="T287" s="4"/>
      <c r="X287"/>
      <c r="Y287" s="3"/>
      <c r="AA287"/>
    </row>
    <row r="288" spans="1:27" x14ac:dyDescent="0.3">
      <c r="A288" s="3">
        <v>1539</v>
      </c>
      <c r="B288" s="4" t="s">
        <v>32</v>
      </c>
      <c r="C288" s="4" t="str">
        <f>IF(D288="","Unknown",IF(D288&lt;20,"Teen",IF(D288&lt;40,"Adult","Senior")))</f>
        <v>Adult</v>
      </c>
      <c r="D288" s="3">
        <v>30</v>
      </c>
      <c r="E288" s="3" t="s">
        <v>250</v>
      </c>
      <c r="F288" s="4" t="s">
        <v>40</v>
      </c>
      <c r="G288" s="4" t="s">
        <v>41</v>
      </c>
      <c r="H288" t="s">
        <v>36</v>
      </c>
      <c r="I288" s="3">
        <v>2</v>
      </c>
      <c r="J288" s="5">
        <v>1000</v>
      </c>
      <c r="K288" s="7">
        <v>2000</v>
      </c>
      <c r="L288" s="6">
        <v>45304</v>
      </c>
      <c r="M288" s="8" t="str">
        <f>IF(K288&gt;10000,"High",IF(K288&gt;5000,"Medium","Low"))</f>
        <v>Low</v>
      </c>
      <c r="N288" s="4" t="s">
        <v>243</v>
      </c>
      <c r="O288" s="3">
        <v>1</v>
      </c>
      <c r="P288" s="3">
        <v>2024</v>
      </c>
      <c r="T288" s="4"/>
      <c r="X288"/>
      <c r="Y288" s="3"/>
      <c r="AA288"/>
    </row>
    <row r="289" spans="1:27" x14ac:dyDescent="0.3">
      <c r="A289" s="3">
        <v>1540</v>
      </c>
      <c r="B289" s="4" t="s">
        <v>69</v>
      </c>
      <c r="C289" s="4" t="str">
        <f>IF(D289="","Unknown",IF(D289&lt;20,"Teen",IF(D289&lt;40,"Adult","Senior")))</f>
        <v>Adult</v>
      </c>
      <c r="D289" s="3">
        <v>30</v>
      </c>
      <c r="E289" s="3" t="s">
        <v>250</v>
      </c>
      <c r="F289" s="4" t="s">
        <v>17</v>
      </c>
      <c r="G289" s="4" t="s">
        <v>44</v>
      </c>
      <c r="H289" t="s">
        <v>36</v>
      </c>
      <c r="I289" s="3">
        <v>5</v>
      </c>
      <c r="J289" s="5">
        <v>42820</v>
      </c>
      <c r="K289" s="7">
        <v>214100</v>
      </c>
      <c r="L289" s="6">
        <v>45303</v>
      </c>
      <c r="M289" s="8" t="str">
        <f>IF(K289&gt;10000,"High",IF(K289&gt;5000,"Medium","Low"))</f>
        <v>High</v>
      </c>
      <c r="N289" s="4" t="s">
        <v>242</v>
      </c>
      <c r="O289" s="3">
        <v>1</v>
      </c>
      <c r="P289" s="3">
        <v>2024</v>
      </c>
      <c r="T289" s="4"/>
      <c r="X289"/>
      <c r="Y289" s="3"/>
      <c r="AA289"/>
    </row>
    <row r="290" spans="1:27" x14ac:dyDescent="0.3">
      <c r="A290" s="3">
        <v>1543</v>
      </c>
      <c r="B290" s="4" t="s">
        <v>32</v>
      </c>
      <c r="C290" s="4" t="str">
        <f>IF(D290="","Unknown",IF(D290&lt;20,"Teen",IF(D290&lt;40,"Adult","Senior")))</f>
        <v>Adult</v>
      </c>
      <c r="D290" s="3">
        <v>21</v>
      </c>
      <c r="E290" s="3" t="s">
        <v>250</v>
      </c>
      <c r="F290" s="4" t="s">
        <v>40</v>
      </c>
      <c r="G290" s="4" t="s">
        <v>12</v>
      </c>
      <c r="H290" t="s">
        <v>13</v>
      </c>
      <c r="I290" s="3">
        <v>2</v>
      </c>
      <c r="J290" s="5">
        <v>1000</v>
      </c>
      <c r="K290" s="7">
        <v>2000</v>
      </c>
      <c r="L290" s="6">
        <v>45306</v>
      </c>
      <c r="M290" s="8" t="str">
        <f>IF(K290&gt;10000,"High",IF(K290&gt;5000,"Medium","Low"))</f>
        <v>Low</v>
      </c>
      <c r="N290" s="4" t="s">
        <v>242</v>
      </c>
      <c r="O290" s="3">
        <v>1</v>
      </c>
      <c r="P290" s="3">
        <v>2024</v>
      </c>
      <c r="T290" s="4"/>
      <c r="X290"/>
      <c r="Y290" s="3"/>
      <c r="AA290"/>
    </row>
    <row r="291" spans="1:27" x14ac:dyDescent="0.3">
      <c r="A291" s="3">
        <v>1547</v>
      </c>
      <c r="B291" s="4" t="s">
        <v>73</v>
      </c>
      <c r="C291" s="4" t="str">
        <f>IF(D291="","Unknown",IF(D291&lt;20,"Teen",IF(D291&lt;40,"Adult","Senior")))</f>
        <v>Adult</v>
      </c>
      <c r="D291" s="3">
        <v>30</v>
      </c>
      <c r="E291" s="3" t="s">
        <v>250</v>
      </c>
      <c r="F291" s="4" t="s">
        <v>40</v>
      </c>
      <c r="G291" s="4" t="s">
        <v>44</v>
      </c>
      <c r="H291" t="s">
        <v>36</v>
      </c>
      <c r="I291" s="3">
        <v>2</v>
      </c>
      <c r="J291" s="5">
        <v>48019</v>
      </c>
      <c r="K291" s="7">
        <v>96038</v>
      </c>
      <c r="L291" s="6">
        <v>45319</v>
      </c>
      <c r="M291" s="8" t="str">
        <f>IF(K291&gt;10000,"High",IF(K291&gt;5000,"Medium","Low"))</f>
        <v>High</v>
      </c>
      <c r="N291" s="4" t="s">
        <v>242</v>
      </c>
      <c r="O291" s="3">
        <v>1</v>
      </c>
      <c r="P291" s="3">
        <v>2024</v>
      </c>
      <c r="T291" s="4"/>
      <c r="X291"/>
      <c r="Y291" s="3"/>
      <c r="AA291"/>
    </row>
    <row r="292" spans="1:27" x14ac:dyDescent="0.3">
      <c r="A292" s="3">
        <v>1548</v>
      </c>
      <c r="B292" s="4" t="s">
        <v>32</v>
      </c>
      <c r="C292" s="4" t="str">
        <f>IF(D292="","Unknown",IF(D292&lt;20,"Teen",IF(D292&lt;40,"Adult","Senior")))</f>
        <v>Adult</v>
      </c>
      <c r="D292" s="3">
        <v>30</v>
      </c>
      <c r="E292" s="3" t="s">
        <v>250</v>
      </c>
      <c r="F292" s="4" t="s">
        <v>17</v>
      </c>
      <c r="G292" s="4" t="s">
        <v>18</v>
      </c>
      <c r="H292" t="s">
        <v>30</v>
      </c>
      <c r="I292" s="3">
        <v>2</v>
      </c>
      <c r="J292" s="5">
        <v>49585</v>
      </c>
      <c r="K292" s="7">
        <v>99170</v>
      </c>
      <c r="L292" s="6">
        <v>45319</v>
      </c>
      <c r="M292" s="8" t="str">
        <f>IF(K292&gt;10000,"High",IF(K292&gt;5000,"Medium","Low"))</f>
        <v>High</v>
      </c>
      <c r="N292" s="4" t="s">
        <v>244</v>
      </c>
      <c r="O292" s="3">
        <v>1</v>
      </c>
      <c r="P292" s="3">
        <v>2024</v>
      </c>
      <c r="T292" s="4"/>
      <c r="X292"/>
      <c r="Y292" s="3"/>
      <c r="AA292"/>
    </row>
    <row r="293" spans="1:27" x14ac:dyDescent="0.3">
      <c r="A293" s="3">
        <v>1550</v>
      </c>
      <c r="B293" s="4" t="s">
        <v>10</v>
      </c>
      <c r="C293" s="4" t="str">
        <f>IF(D293="","Unknown",IF(D293&lt;20,"Teen",IF(D293&lt;40,"Adult","Senior")))</f>
        <v>Adult</v>
      </c>
      <c r="D293" s="3">
        <v>30</v>
      </c>
      <c r="E293" s="3" t="s">
        <v>250</v>
      </c>
      <c r="F293" s="4" t="s">
        <v>40</v>
      </c>
      <c r="G293" s="4" t="s">
        <v>18</v>
      </c>
      <c r="H293" t="s">
        <v>30</v>
      </c>
      <c r="I293" s="3">
        <v>2</v>
      </c>
      <c r="J293" s="5">
        <v>1000</v>
      </c>
      <c r="K293" s="7">
        <v>2000</v>
      </c>
      <c r="L293" s="6">
        <v>45302</v>
      </c>
      <c r="M293" s="8" t="str">
        <f>IF(K293&gt;10000,"High",IF(K293&gt;5000,"Medium","Low"))</f>
        <v>Low</v>
      </c>
      <c r="N293" s="4" t="s">
        <v>242</v>
      </c>
      <c r="O293" s="3">
        <v>1</v>
      </c>
      <c r="P293" s="3">
        <v>2024</v>
      </c>
      <c r="T293" s="4"/>
      <c r="X293"/>
      <c r="Y293" s="3"/>
      <c r="AA293"/>
    </row>
    <row r="294" spans="1:27" x14ac:dyDescent="0.3">
      <c r="A294" s="3">
        <v>1551</v>
      </c>
      <c r="B294" s="4" t="s">
        <v>54</v>
      </c>
      <c r="C294" s="4" t="str">
        <f>IF(D294="","Unknown",IF(D294&lt;20,"Teen",IF(D294&lt;40,"Adult","Senior")))</f>
        <v>Adult</v>
      </c>
      <c r="D294" s="3">
        <v>30</v>
      </c>
      <c r="E294" s="3" t="s">
        <v>250</v>
      </c>
      <c r="F294" s="4" t="s">
        <v>40</v>
      </c>
      <c r="G294" s="4" t="s">
        <v>44</v>
      </c>
      <c r="H294" t="s">
        <v>36</v>
      </c>
      <c r="I294" s="3">
        <v>2</v>
      </c>
      <c r="J294" s="5">
        <v>1000</v>
      </c>
      <c r="K294" s="7">
        <v>2000</v>
      </c>
      <c r="L294" s="6">
        <v>45299</v>
      </c>
      <c r="M294" s="8" t="str">
        <f>IF(K294&gt;10000,"High",IF(K294&gt;5000,"Medium","Low"))</f>
        <v>Low</v>
      </c>
      <c r="N294" s="4" t="s">
        <v>240</v>
      </c>
      <c r="O294" s="3">
        <v>1</v>
      </c>
      <c r="P294" s="3">
        <v>2024</v>
      </c>
      <c r="T294" s="4"/>
      <c r="X294"/>
      <c r="Y294" s="3"/>
      <c r="AA294"/>
    </row>
    <row r="295" spans="1:27" x14ac:dyDescent="0.3">
      <c r="A295" s="3">
        <v>1552</v>
      </c>
      <c r="B295" s="4" t="s">
        <v>16</v>
      </c>
      <c r="C295" s="4" t="str">
        <f>IF(D295="","Unknown",IF(D295&lt;20,"Teen",IF(D295&lt;40,"Adult","Senior")))</f>
        <v>Adult</v>
      </c>
      <c r="D295" s="3">
        <v>30</v>
      </c>
      <c r="E295" s="3" t="s">
        <v>250</v>
      </c>
      <c r="F295" s="4" t="s">
        <v>17</v>
      </c>
      <c r="G295" s="4" t="s">
        <v>12</v>
      </c>
      <c r="H295" t="s">
        <v>13</v>
      </c>
      <c r="I295" s="3">
        <v>1</v>
      </c>
      <c r="J295" s="5">
        <v>42221</v>
      </c>
      <c r="K295" s="7">
        <v>42221</v>
      </c>
      <c r="L295" s="6">
        <v>45295</v>
      </c>
      <c r="M295" s="8" t="str">
        <f>IF(K295&gt;10000,"High",IF(K295&gt;5000,"Medium","Low"))</f>
        <v>High</v>
      </c>
      <c r="N295" s="4" t="s">
        <v>243</v>
      </c>
      <c r="O295" s="3">
        <v>1</v>
      </c>
      <c r="P295" s="3">
        <v>2024</v>
      </c>
      <c r="T295" s="4"/>
      <c r="X295"/>
      <c r="Y295" s="3"/>
      <c r="AA295"/>
    </row>
    <row r="296" spans="1:27" x14ac:dyDescent="0.3">
      <c r="A296" s="3">
        <v>1554</v>
      </c>
      <c r="B296" s="4" t="s">
        <v>59</v>
      </c>
      <c r="C296" s="4" t="str">
        <f>IF(D296="","Unknown",IF(D296&lt;20,"Teen",IF(D296&lt;40,"Adult","Senior")))</f>
        <v>Adult</v>
      </c>
      <c r="D296" s="3">
        <v>31</v>
      </c>
      <c r="E296" s="3" t="s">
        <v>249</v>
      </c>
      <c r="F296" s="4" t="s">
        <v>17</v>
      </c>
      <c r="G296" s="4" t="s">
        <v>27</v>
      </c>
      <c r="H296" t="s">
        <v>13</v>
      </c>
      <c r="I296" s="3">
        <v>2</v>
      </c>
      <c r="J296" s="5">
        <v>5785</v>
      </c>
      <c r="K296" s="7">
        <v>11570</v>
      </c>
      <c r="L296" s="6">
        <v>45309</v>
      </c>
      <c r="M296" s="8" t="str">
        <f>IF(K296&gt;10000,"High",IF(K296&gt;5000,"Medium","Low"))</f>
        <v>High</v>
      </c>
      <c r="N296" s="4" t="s">
        <v>243</v>
      </c>
      <c r="O296" s="3">
        <v>1</v>
      </c>
      <c r="P296" s="3">
        <v>2024</v>
      </c>
      <c r="T296" s="4"/>
      <c r="X296"/>
      <c r="Y296" s="3"/>
      <c r="AA296"/>
    </row>
    <row r="297" spans="1:27" x14ac:dyDescent="0.3">
      <c r="A297" s="3">
        <v>1557</v>
      </c>
      <c r="B297" s="4" t="s">
        <v>73</v>
      </c>
      <c r="C297" s="4" t="str">
        <f>IF(D297="","Unknown",IF(D297&lt;20,"Teen",IF(D297&lt;40,"Adult","Senior")))</f>
        <v>Adult</v>
      </c>
      <c r="D297" s="3">
        <v>30</v>
      </c>
      <c r="E297" s="3" t="s">
        <v>250</v>
      </c>
      <c r="F297" s="4" t="s">
        <v>40</v>
      </c>
      <c r="G297" s="4" t="s">
        <v>12</v>
      </c>
      <c r="H297" t="s">
        <v>13</v>
      </c>
      <c r="I297" s="3">
        <v>2</v>
      </c>
      <c r="J297" s="5">
        <v>1000</v>
      </c>
      <c r="K297" s="7">
        <v>2000</v>
      </c>
      <c r="L297" s="6">
        <v>45321</v>
      </c>
      <c r="M297" s="8" t="str">
        <f>IF(K297&gt;10000,"High",IF(K297&gt;5000,"Medium","Low"))</f>
        <v>Low</v>
      </c>
      <c r="N297" s="4" t="s">
        <v>244</v>
      </c>
      <c r="O297" s="3">
        <v>1</v>
      </c>
      <c r="P297" s="3">
        <v>2024</v>
      </c>
      <c r="T297" s="4"/>
      <c r="X297"/>
      <c r="Y297" s="3"/>
      <c r="AA297"/>
    </row>
    <row r="298" spans="1:27" x14ac:dyDescent="0.3">
      <c r="A298" s="3">
        <v>1560</v>
      </c>
      <c r="B298" s="4" t="s">
        <v>32</v>
      </c>
      <c r="C298" s="4" t="str">
        <f>IF(D298="","Unknown",IF(D298&lt;20,"Teen",IF(D298&lt;40,"Adult","Senior")))</f>
        <v>Adult</v>
      </c>
      <c r="D298" s="3">
        <v>36</v>
      </c>
      <c r="E298" s="3" t="s">
        <v>249</v>
      </c>
      <c r="F298" s="4" t="s">
        <v>17</v>
      </c>
      <c r="G298" s="4" t="s">
        <v>44</v>
      </c>
      <c r="H298" t="s">
        <v>36</v>
      </c>
      <c r="I298" s="3">
        <v>2</v>
      </c>
      <c r="J298" s="5">
        <v>1000</v>
      </c>
      <c r="K298" s="7">
        <v>2000</v>
      </c>
      <c r="L298" s="6">
        <v>45304</v>
      </c>
      <c r="M298" s="8" t="str">
        <f>IF(K298&gt;10000,"High",IF(K298&gt;5000,"Medium","Low"))</f>
        <v>Low</v>
      </c>
      <c r="N298" s="4" t="s">
        <v>242</v>
      </c>
      <c r="O298" s="3">
        <v>1</v>
      </c>
      <c r="P298" s="3">
        <v>2024</v>
      </c>
      <c r="T298" s="4"/>
      <c r="X298"/>
      <c r="Y298" s="3"/>
      <c r="AA298"/>
    </row>
    <row r="299" spans="1:27" x14ac:dyDescent="0.3">
      <c r="A299" s="3">
        <v>1561</v>
      </c>
      <c r="B299" s="4" t="s">
        <v>62</v>
      </c>
      <c r="C299" s="4" t="str">
        <f>IF(D299="","Unknown",IF(D299&lt;20,"Teen",IF(D299&lt;40,"Adult","Senior")))</f>
        <v>Adult</v>
      </c>
      <c r="D299" s="3">
        <v>23</v>
      </c>
      <c r="E299" s="3" t="s">
        <v>250</v>
      </c>
      <c r="F299" s="4" t="s">
        <v>40</v>
      </c>
      <c r="G299" s="4" t="s">
        <v>51</v>
      </c>
      <c r="H299" t="s">
        <v>13</v>
      </c>
      <c r="I299" s="3">
        <v>2</v>
      </c>
      <c r="J299" s="5">
        <v>1000</v>
      </c>
      <c r="K299" s="7">
        <v>2000</v>
      </c>
      <c r="L299" s="6">
        <v>45318</v>
      </c>
      <c r="M299" s="8" t="str">
        <f>IF(K299&gt;10000,"High",IF(K299&gt;5000,"Medium","Low"))</f>
        <v>Low</v>
      </c>
      <c r="N299" s="4" t="s">
        <v>242</v>
      </c>
      <c r="O299" s="3">
        <v>1</v>
      </c>
      <c r="P299" s="3">
        <v>2024</v>
      </c>
      <c r="T299" s="4"/>
      <c r="X299"/>
      <c r="Y299" s="3"/>
      <c r="AA299"/>
    </row>
    <row r="300" spans="1:27" x14ac:dyDescent="0.3">
      <c r="A300" s="3">
        <v>1562</v>
      </c>
      <c r="B300" s="4" t="s">
        <v>57</v>
      </c>
      <c r="C300" s="4" t="str">
        <f>IF(D300="","Unknown",IF(D300&lt;20,"Teen",IF(D300&lt;40,"Adult","Senior")))</f>
        <v>Adult</v>
      </c>
      <c r="D300" s="3">
        <v>30</v>
      </c>
      <c r="E300" s="3" t="s">
        <v>250</v>
      </c>
      <c r="F300" s="4" t="s">
        <v>40</v>
      </c>
      <c r="G300" s="4" t="s">
        <v>55</v>
      </c>
      <c r="H300" t="s">
        <v>36</v>
      </c>
      <c r="I300" s="3">
        <v>2</v>
      </c>
      <c r="J300" s="5">
        <v>1000</v>
      </c>
      <c r="K300" s="7">
        <v>2000</v>
      </c>
      <c r="L300" s="6">
        <v>45308</v>
      </c>
      <c r="M300" s="8" t="str">
        <f>IF(K300&gt;10000,"High",IF(K300&gt;5000,"Medium","Low"))</f>
        <v>Low</v>
      </c>
      <c r="N300" s="4" t="s">
        <v>244</v>
      </c>
      <c r="O300" s="3">
        <v>1</v>
      </c>
      <c r="P300" s="3">
        <v>2024</v>
      </c>
      <c r="T300" s="4"/>
      <c r="X300"/>
      <c r="Y300" s="3"/>
      <c r="AA300"/>
    </row>
    <row r="301" spans="1:27" x14ac:dyDescent="0.3">
      <c r="A301" s="3">
        <v>1565</v>
      </c>
      <c r="B301" s="4" t="s">
        <v>25</v>
      </c>
      <c r="C301" s="4" t="str">
        <f>IF(D301="","Unknown",IF(D301&lt;20,"Teen",IF(D301&lt;40,"Adult","Senior")))</f>
        <v>Adult</v>
      </c>
      <c r="D301" s="3">
        <v>34</v>
      </c>
      <c r="E301" s="3" t="s">
        <v>249</v>
      </c>
      <c r="F301" s="4" t="s">
        <v>17</v>
      </c>
      <c r="G301" s="4" t="s">
        <v>44</v>
      </c>
      <c r="H301" t="s">
        <v>36</v>
      </c>
      <c r="I301" s="3">
        <v>2</v>
      </c>
      <c r="J301" s="5">
        <v>1000</v>
      </c>
      <c r="K301" s="7">
        <v>2000</v>
      </c>
      <c r="L301" s="6">
        <v>45298</v>
      </c>
      <c r="M301" s="8" t="str">
        <f>IF(K301&gt;10000,"High",IF(K301&gt;5000,"Medium","Low"))</f>
        <v>Low</v>
      </c>
      <c r="N301" s="4" t="s">
        <v>242</v>
      </c>
      <c r="O301" s="3">
        <v>1</v>
      </c>
      <c r="P301" s="3">
        <v>2024</v>
      </c>
      <c r="T301" s="4"/>
      <c r="X301"/>
      <c r="Y301" s="3"/>
      <c r="AA301"/>
    </row>
    <row r="302" spans="1:27" x14ac:dyDescent="0.3">
      <c r="A302" s="3">
        <v>1566</v>
      </c>
      <c r="B302" s="4" t="s">
        <v>21</v>
      </c>
      <c r="C302" s="4" t="str">
        <f>IF(D302="","Unknown",IF(D302&lt;20,"Teen",IF(D302&lt;40,"Adult","Senior")))</f>
        <v>Adult</v>
      </c>
      <c r="D302" s="3">
        <v>24</v>
      </c>
      <c r="E302" s="3" t="s">
        <v>250</v>
      </c>
      <c r="F302" s="4" t="s">
        <v>17</v>
      </c>
      <c r="G302" s="4" t="s">
        <v>12</v>
      </c>
      <c r="H302" t="s">
        <v>13</v>
      </c>
      <c r="I302" s="3">
        <v>4</v>
      </c>
      <c r="J302" s="5">
        <v>1000</v>
      </c>
      <c r="K302" s="7">
        <v>4000</v>
      </c>
      <c r="L302" s="6">
        <v>45310</v>
      </c>
      <c r="M302" s="8" t="str">
        <f>IF(K302&gt;10000,"High",IF(K302&gt;5000,"Medium","Low"))</f>
        <v>Low</v>
      </c>
      <c r="N302" s="4" t="s">
        <v>244</v>
      </c>
      <c r="O302" s="3">
        <v>1</v>
      </c>
      <c r="P302" s="3">
        <v>2024</v>
      </c>
      <c r="T302" s="4"/>
      <c r="X302"/>
      <c r="Y302" s="3"/>
      <c r="AA302"/>
    </row>
    <row r="303" spans="1:27" x14ac:dyDescent="0.3">
      <c r="A303" s="3">
        <v>1569</v>
      </c>
      <c r="B303" s="4" t="s">
        <v>16</v>
      </c>
      <c r="C303" s="4" t="str">
        <f>IF(D303="","Unknown",IF(D303&lt;20,"Teen",IF(D303&lt;40,"Adult","Senior")))</f>
        <v>Adult</v>
      </c>
      <c r="D303" s="3">
        <v>20</v>
      </c>
      <c r="E303" s="3" t="s">
        <v>251</v>
      </c>
      <c r="F303" s="4" t="s">
        <v>40</v>
      </c>
      <c r="G303" s="4" t="s">
        <v>23</v>
      </c>
      <c r="H303" t="s">
        <v>30</v>
      </c>
      <c r="I303" s="3">
        <v>2</v>
      </c>
      <c r="J303" s="5">
        <v>12829</v>
      </c>
      <c r="K303" s="7">
        <v>25658</v>
      </c>
      <c r="L303" s="6">
        <v>45304</v>
      </c>
      <c r="M303" s="8" t="str">
        <f>IF(K303&gt;10000,"High",IF(K303&gt;5000,"Medium","Low"))</f>
        <v>High</v>
      </c>
      <c r="N303" s="4" t="s">
        <v>241</v>
      </c>
      <c r="O303" s="3">
        <v>1</v>
      </c>
      <c r="P303" s="3">
        <v>2024</v>
      </c>
      <c r="T303" s="4"/>
      <c r="X303"/>
      <c r="Y303" s="3"/>
      <c r="AA303"/>
    </row>
    <row r="304" spans="1:27" x14ac:dyDescent="0.3">
      <c r="A304" s="3">
        <v>1570</v>
      </c>
      <c r="B304" s="4" t="s">
        <v>59</v>
      </c>
      <c r="C304" s="4" t="str">
        <f>IF(D304="","Unknown",IF(D304&lt;20,"Teen",IF(D304&lt;40,"Adult","Senior")))</f>
        <v>Adult</v>
      </c>
      <c r="D304" s="3">
        <v>21</v>
      </c>
      <c r="E304" s="3" t="s">
        <v>250</v>
      </c>
      <c r="F304" s="4" t="s">
        <v>17</v>
      </c>
      <c r="G304" s="4" t="s">
        <v>55</v>
      </c>
      <c r="H304" t="s">
        <v>36</v>
      </c>
      <c r="I304" s="3">
        <v>2</v>
      </c>
      <c r="J304" s="5">
        <v>1000</v>
      </c>
      <c r="K304" s="7">
        <v>2000</v>
      </c>
      <c r="L304" s="6">
        <v>45292</v>
      </c>
      <c r="M304" s="8" t="str">
        <f>IF(K304&gt;10000,"High",IF(K304&gt;5000,"Medium","Low"))</f>
        <v>Low</v>
      </c>
      <c r="N304" s="4" t="s">
        <v>240</v>
      </c>
      <c r="O304" s="3">
        <v>1</v>
      </c>
      <c r="P304" s="3">
        <v>2024</v>
      </c>
      <c r="T304" s="4"/>
      <c r="X304"/>
      <c r="Y304" s="3"/>
      <c r="AA304"/>
    </row>
    <row r="305" spans="1:27" x14ac:dyDescent="0.3">
      <c r="A305" s="3">
        <v>1573</v>
      </c>
      <c r="B305" s="4" t="s">
        <v>62</v>
      </c>
      <c r="C305" s="4" t="str">
        <f>IF(D305="","Unknown",IF(D305&lt;20,"Teen",IF(D305&lt;40,"Adult","Senior")))</f>
        <v>Adult</v>
      </c>
      <c r="D305" s="3">
        <v>31</v>
      </c>
      <c r="E305" s="3" t="s">
        <v>249</v>
      </c>
      <c r="F305" s="4" t="s">
        <v>40</v>
      </c>
      <c r="G305" s="4" t="s">
        <v>44</v>
      </c>
      <c r="H305" t="s">
        <v>36</v>
      </c>
      <c r="I305" s="3">
        <v>3</v>
      </c>
      <c r="J305" s="5">
        <v>1000</v>
      </c>
      <c r="K305" s="7">
        <v>3000</v>
      </c>
      <c r="L305" s="6">
        <v>45310</v>
      </c>
      <c r="M305" s="8" t="str">
        <f>IF(K305&gt;10000,"High",IF(K305&gt;5000,"Medium","Low"))</f>
        <v>Low</v>
      </c>
      <c r="N305" s="4" t="s">
        <v>244</v>
      </c>
      <c r="O305" s="3">
        <v>1</v>
      </c>
      <c r="P305" s="3">
        <v>2024</v>
      </c>
      <c r="T305" s="4"/>
      <c r="X305"/>
      <c r="Y305" s="3"/>
      <c r="AA305"/>
    </row>
    <row r="306" spans="1:27" x14ac:dyDescent="0.3">
      <c r="A306" s="3">
        <v>1575</v>
      </c>
      <c r="B306" s="4" t="s">
        <v>48</v>
      </c>
      <c r="C306" s="4" t="str">
        <f>IF(D306="","Unknown",IF(D306&lt;20,"Teen",IF(D306&lt;40,"Adult","Senior")))</f>
        <v>Adult</v>
      </c>
      <c r="D306" s="3">
        <v>30</v>
      </c>
      <c r="E306" s="3" t="s">
        <v>250</v>
      </c>
      <c r="F306" s="4" t="s">
        <v>17</v>
      </c>
      <c r="G306" s="4" t="s">
        <v>44</v>
      </c>
      <c r="H306" t="s">
        <v>36</v>
      </c>
      <c r="I306" s="3">
        <v>2</v>
      </c>
      <c r="J306" s="5">
        <v>13052</v>
      </c>
      <c r="K306" s="7">
        <v>26104</v>
      </c>
      <c r="L306" s="6">
        <v>45292</v>
      </c>
      <c r="M306" s="8" t="str">
        <f>IF(K306&gt;10000,"High",IF(K306&gt;5000,"Medium","Low"))</f>
        <v>High</v>
      </c>
      <c r="N306" s="4" t="s">
        <v>244</v>
      </c>
      <c r="O306" s="3">
        <v>1</v>
      </c>
      <c r="P306" s="3">
        <v>2024</v>
      </c>
      <c r="T306" s="4"/>
      <c r="X306"/>
      <c r="Y306" s="3"/>
      <c r="AA306"/>
    </row>
    <row r="307" spans="1:27" x14ac:dyDescent="0.3">
      <c r="A307" s="3">
        <v>1577</v>
      </c>
      <c r="B307" s="4" t="s">
        <v>73</v>
      </c>
      <c r="C307" s="4" t="str">
        <f>IF(D307="","Unknown",IF(D307&lt;20,"Teen",IF(D307&lt;40,"Adult","Senior")))</f>
        <v>Adult</v>
      </c>
      <c r="D307" s="3">
        <v>29</v>
      </c>
      <c r="E307" s="3" t="s">
        <v>250</v>
      </c>
      <c r="F307" s="4" t="s">
        <v>40</v>
      </c>
      <c r="G307" s="4" t="s">
        <v>44</v>
      </c>
      <c r="H307" t="s">
        <v>36</v>
      </c>
      <c r="I307" s="3">
        <v>2</v>
      </c>
      <c r="J307" s="5">
        <v>9906</v>
      </c>
      <c r="K307" s="7">
        <v>19812</v>
      </c>
      <c r="L307" s="6">
        <v>45318</v>
      </c>
      <c r="M307" s="8" t="str">
        <f>IF(K307&gt;10000,"High",IF(K307&gt;5000,"Medium","Low"))</f>
        <v>High</v>
      </c>
      <c r="N307" s="4" t="s">
        <v>242</v>
      </c>
      <c r="O307" s="3">
        <v>1</v>
      </c>
      <c r="P307" s="3">
        <v>2024</v>
      </c>
      <c r="T307" s="4"/>
      <c r="X307"/>
      <c r="Y307" s="3"/>
      <c r="AA307"/>
    </row>
    <row r="308" spans="1:27" x14ac:dyDescent="0.3">
      <c r="A308" s="3">
        <v>1580</v>
      </c>
      <c r="B308" s="4" t="s">
        <v>78</v>
      </c>
      <c r="C308" s="4" t="str">
        <f>IF(D308="","Unknown",IF(D308&lt;20,"Teen",IF(D308&lt;40,"Adult","Senior")))</f>
        <v>Adult</v>
      </c>
      <c r="D308" s="3">
        <v>30</v>
      </c>
      <c r="E308" s="3" t="s">
        <v>250</v>
      </c>
      <c r="F308" s="4" t="s">
        <v>17</v>
      </c>
      <c r="G308" s="4" t="s">
        <v>27</v>
      </c>
      <c r="H308" t="s">
        <v>13</v>
      </c>
      <c r="I308" s="3">
        <v>4</v>
      </c>
      <c r="J308" s="5">
        <v>1000</v>
      </c>
      <c r="K308" s="7">
        <v>4000</v>
      </c>
      <c r="L308" s="6">
        <v>45320</v>
      </c>
      <c r="M308" s="8" t="str">
        <f>IF(K308&gt;10000,"High",IF(K308&gt;5000,"Medium","Low"))</f>
        <v>Low</v>
      </c>
      <c r="N308" s="4" t="s">
        <v>243</v>
      </c>
      <c r="O308" s="3">
        <v>1</v>
      </c>
      <c r="P308" s="3">
        <v>2024</v>
      </c>
      <c r="T308" s="4"/>
      <c r="X308"/>
      <c r="Y308" s="3"/>
      <c r="AA308"/>
    </row>
    <row r="309" spans="1:27" x14ac:dyDescent="0.3">
      <c r="A309" s="3">
        <v>1581</v>
      </c>
      <c r="B309" s="4" t="s">
        <v>48</v>
      </c>
      <c r="C309" s="4" t="str">
        <f>IF(D309="","Unknown",IF(D309&lt;20,"Teen",IF(D309&lt;40,"Adult","Senior")))</f>
        <v>Adult</v>
      </c>
      <c r="D309" s="3">
        <v>30</v>
      </c>
      <c r="E309" s="3" t="s">
        <v>250</v>
      </c>
      <c r="F309" s="4" t="s">
        <v>17</v>
      </c>
      <c r="G309" s="4" t="s">
        <v>41</v>
      </c>
      <c r="H309" t="s">
        <v>36</v>
      </c>
      <c r="I309" s="3">
        <v>2</v>
      </c>
      <c r="J309" s="5">
        <v>1000</v>
      </c>
      <c r="K309" s="7">
        <v>2000</v>
      </c>
      <c r="L309" s="6">
        <v>45299</v>
      </c>
      <c r="M309" s="8" t="str">
        <f>IF(K309&gt;10000,"High",IF(K309&gt;5000,"Medium","Low"))</f>
        <v>Low</v>
      </c>
      <c r="N309" s="4" t="s">
        <v>244</v>
      </c>
      <c r="O309" s="3">
        <v>1</v>
      </c>
      <c r="P309" s="3">
        <v>2024</v>
      </c>
      <c r="T309" s="4"/>
      <c r="X309"/>
      <c r="Y309" s="3"/>
      <c r="AA309"/>
    </row>
    <row r="310" spans="1:27" x14ac:dyDescent="0.3">
      <c r="A310" s="3">
        <v>1582</v>
      </c>
      <c r="B310" s="4" t="s">
        <v>64</v>
      </c>
      <c r="C310" s="4" t="str">
        <f>IF(D310="","Unknown",IF(D310&lt;20,"Teen",IF(D310&lt;40,"Adult","Senior")))</f>
        <v>Adult</v>
      </c>
      <c r="D310" s="3">
        <v>30</v>
      </c>
      <c r="E310" s="3" t="s">
        <v>250</v>
      </c>
      <c r="F310" s="4" t="s">
        <v>17</v>
      </c>
      <c r="G310" s="4" t="s">
        <v>12</v>
      </c>
      <c r="H310" t="s">
        <v>13</v>
      </c>
      <c r="I310" s="3">
        <v>2</v>
      </c>
      <c r="J310" s="5">
        <v>1000</v>
      </c>
      <c r="K310" s="7">
        <v>2000</v>
      </c>
      <c r="L310" s="6">
        <v>45296</v>
      </c>
      <c r="M310" s="8" t="str">
        <f>IF(K310&gt;10000,"High",IF(K310&gt;5000,"Medium","Low"))</f>
        <v>Low</v>
      </c>
      <c r="N310" s="4" t="s">
        <v>241</v>
      </c>
      <c r="O310" s="3">
        <v>1</v>
      </c>
      <c r="P310" s="3">
        <v>2024</v>
      </c>
      <c r="T310" s="4"/>
      <c r="X310"/>
      <c r="Y310" s="3"/>
      <c r="AA310"/>
    </row>
    <row r="311" spans="1:27" x14ac:dyDescent="0.3">
      <c r="A311" s="3">
        <v>1584</v>
      </c>
      <c r="B311" s="4" t="s">
        <v>78</v>
      </c>
      <c r="C311" s="4" t="str">
        <f>IF(D311="","Unknown",IF(D311&lt;20,"Teen",IF(D311&lt;40,"Adult","Senior")))</f>
        <v>Senior</v>
      </c>
      <c r="D311" s="3">
        <v>44</v>
      </c>
      <c r="E311" s="3" t="s">
        <v>249</v>
      </c>
      <c r="F311" s="4" t="s">
        <v>40</v>
      </c>
      <c r="G311" s="4" t="s">
        <v>27</v>
      </c>
      <c r="H311" t="s">
        <v>13</v>
      </c>
      <c r="I311" s="3">
        <v>1</v>
      </c>
      <c r="J311" s="5">
        <v>29382</v>
      </c>
      <c r="K311" s="7">
        <v>29382</v>
      </c>
      <c r="L311" s="6">
        <v>45307</v>
      </c>
      <c r="M311" s="8" t="str">
        <f>IF(K311&gt;10000,"High",IF(K311&gt;5000,"Medium","Low"))</f>
        <v>High</v>
      </c>
      <c r="N311" s="4" t="s">
        <v>243</v>
      </c>
      <c r="O311" s="3">
        <v>1</v>
      </c>
      <c r="P311" s="3">
        <v>2024</v>
      </c>
      <c r="T311" s="4"/>
      <c r="X311"/>
      <c r="Y311" s="3"/>
      <c r="AA311"/>
    </row>
    <row r="312" spans="1:27" x14ac:dyDescent="0.3">
      <c r="A312" s="3">
        <v>1585</v>
      </c>
      <c r="B312" s="4" t="s">
        <v>78</v>
      </c>
      <c r="C312" s="4" t="str">
        <f>IF(D312="","Unknown",IF(D312&lt;20,"Teen",IF(D312&lt;40,"Adult","Senior")))</f>
        <v>Adult</v>
      </c>
      <c r="D312" s="3">
        <v>30</v>
      </c>
      <c r="E312" s="3" t="s">
        <v>250</v>
      </c>
      <c r="F312" s="4" t="s">
        <v>40</v>
      </c>
      <c r="G312" s="4" t="s">
        <v>27</v>
      </c>
      <c r="H312" t="s">
        <v>13</v>
      </c>
      <c r="I312" s="3">
        <v>1</v>
      </c>
      <c r="J312" s="5">
        <v>1000</v>
      </c>
      <c r="K312" s="7">
        <v>1000</v>
      </c>
      <c r="L312" s="6">
        <v>45306</v>
      </c>
      <c r="M312" s="8" t="str">
        <f>IF(K312&gt;10000,"High",IF(K312&gt;5000,"Medium","Low"))</f>
        <v>Low</v>
      </c>
      <c r="N312" s="4" t="s">
        <v>243</v>
      </c>
      <c r="O312" s="3">
        <v>1</v>
      </c>
      <c r="P312" s="3">
        <v>2024</v>
      </c>
      <c r="T312" s="4"/>
      <c r="X312"/>
      <c r="Y312" s="3"/>
      <c r="AA312"/>
    </row>
    <row r="313" spans="1:27" x14ac:dyDescent="0.3">
      <c r="A313" s="3">
        <v>1586</v>
      </c>
      <c r="B313" s="4" t="s">
        <v>68</v>
      </c>
      <c r="C313" s="4" t="str">
        <f>IF(D313="","Unknown",IF(D313&lt;20,"Teen",IF(D313&lt;40,"Adult","Senior")))</f>
        <v>Teen</v>
      </c>
      <c r="D313" s="3">
        <v>18</v>
      </c>
      <c r="E313" s="3" t="s">
        <v>251</v>
      </c>
      <c r="F313" s="4" t="s">
        <v>40</v>
      </c>
      <c r="G313" s="4" t="s">
        <v>41</v>
      </c>
      <c r="H313" t="s">
        <v>36</v>
      </c>
      <c r="I313" s="3">
        <v>2</v>
      </c>
      <c r="J313" s="5">
        <v>1000</v>
      </c>
      <c r="K313" s="7">
        <v>2000</v>
      </c>
      <c r="L313" s="6">
        <v>45319</v>
      </c>
      <c r="M313" s="8" t="str">
        <f>IF(K313&gt;10000,"High",IF(K313&gt;5000,"Medium","Low"))</f>
        <v>Low</v>
      </c>
      <c r="N313" s="4" t="s">
        <v>240</v>
      </c>
      <c r="O313" s="3">
        <v>1</v>
      </c>
      <c r="P313" s="3">
        <v>2024</v>
      </c>
      <c r="T313" s="4"/>
      <c r="X313"/>
      <c r="Y313" s="3"/>
      <c r="AA313"/>
    </row>
    <row r="314" spans="1:27" x14ac:dyDescent="0.3">
      <c r="A314" s="3">
        <v>1589</v>
      </c>
      <c r="B314" s="4" t="s">
        <v>57</v>
      </c>
      <c r="C314" s="4" t="str">
        <f>IF(D314="","Unknown",IF(D314&lt;20,"Teen",IF(D314&lt;40,"Adult","Senior")))</f>
        <v>Senior</v>
      </c>
      <c r="D314" s="3">
        <v>47</v>
      </c>
      <c r="E314" s="3" t="s">
        <v>249</v>
      </c>
      <c r="F314" s="4" t="s">
        <v>40</v>
      </c>
      <c r="G314" s="4" t="s">
        <v>23</v>
      </c>
      <c r="H314" t="s">
        <v>30</v>
      </c>
      <c r="I314" s="3">
        <v>2</v>
      </c>
      <c r="J314" s="5">
        <v>1000</v>
      </c>
      <c r="K314" s="7">
        <v>2000</v>
      </c>
      <c r="L314" s="6">
        <v>45292</v>
      </c>
      <c r="M314" s="8" t="str">
        <f>IF(K314&gt;10000,"High",IF(K314&gt;5000,"Medium","Low"))</f>
        <v>Low</v>
      </c>
      <c r="N314" s="4" t="s">
        <v>243</v>
      </c>
      <c r="O314" s="3">
        <v>1</v>
      </c>
      <c r="P314" s="3">
        <v>2024</v>
      </c>
      <c r="T314" s="4"/>
      <c r="X314"/>
      <c r="Y314" s="3"/>
      <c r="AA314"/>
    </row>
    <row r="315" spans="1:27" x14ac:dyDescent="0.3">
      <c r="A315" s="3">
        <v>1592</v>
      </c>
      <c r="B315" s="4" t="s">
        <v>38</v>
      </c>
      <c r="C315" s="4" t="str">
        <f>IF(D315="","Unknown",IF(D315&lt;20,"Teen",IF(D315&lt;40,"Adult","Senior")))</f>
        <v>Adult</v>
      </c>
      <c r="D315" s="3">
        <v>30</v>
      </c>
      <c r="E315" s="3" t="s">
        <v>250</v>
      </c>
      <c r="F315" s="4" t="s">
        <v>17</v>
      </c>
      <c r="G315" s="4" t="s">
        <v>44</v>
      </c>
      <c r="H315" t="s">
        <v>36</v>
      </c>
      <c r="I315" s="3">
        <v>1</v>
      </c>
      <c r="J315" s="5">
        <v>1000</v>
      </c>
      <c r="K315" s="7">
        <v>1000</v>
      </c>
      <c r="L315" s="6">
        <v>45302</v>
      </c>
      <c r="M315" s="8" t="str">
        <f>IF(K315&gt;10000,"High",IF(K315&gt;5000,"Medium","Low"))</f>
        <v>Low</v>
      </c>
      <c r="N315" s="4" t="s">
        <v>242</v>
      </c>
      <c r="O315" s="3">
        <v>1</v>
      </c>
      <c r="P315" s="3">
        <v>2024</v>
      </c>
      <c r="T315" s="4"/>
      <c r="X315"/>
      <c r="Y315" s="3"/>
      <c r="AA315"/>
    </row>
    <row r="316" spans="1:27" x14ac:dyDescent="0.3">
      <c r="A316" s="3">
        <v>1593</v>
      </c>
      <c r="B316" s="4" t="s">
        <v>38</v>
      </c>
      <c r="C316" s="4" t="str">
        <f>IF(D316="","Unknown",IF(D316&lt;20,"Teen",IF(D316&lt;40,"Adult","Senior")))</f>
        <v>Adult</v>
      </c>
      <c r="D316" s="3">
        <v>30</v>
      </c>
      <c r="E316" s="3" t="s">
        <v>250</v>
      </c>
      <c r="F316" s="4" t="s">
        <v>17</v>
      </c>
      <c r="G316" s="4" t="s">
        <v>55</v>
      </c>
      <c r="H316" t="s">
        <v>36</v>
      </c>
      <c r="I316" s="3">
        <v>2</v>
      </c>
      <c r="J316" s="5">
        <v>1000</v>
      </c>
      <c r="K316" s="7">
        <v>2000</v>
      </c>
      <c r="L316" s="6">
        <v>45309</v>
      </c>
      <c r="M316" s="8" t="str">
        <f>IF(K316&gt;10000,"High",IF(K316&gt;5000,"Medium","Low"))</f>
        <v>Low</v>
      </c>
      <c r="N316" s="4" t="s">
        <v>244</v>
      </c>
      <c r="O316" s="3">
        <v>1</v>
      </c>
      <c r="P316" s="3">
        <v>2024</v>
      </c>
      <c r="T316" s="4"/>
      <c r="X316"/>
      <c r="Y316" s="3"/>
      <c r="AA316"/>
    </row>
    <row r="317" spans="1:27" x14ac:dyDescent="0.3">
      <c r="A317" s="3">
        <v>1594</v>
      </c>
      <c r="B317" s="4" t="s">
        <v>68</v>
      </c>
      <c r="C317" s="4" t="str">
        <f>IF(D317="","Unknown",IF(D317&lt;20,"Teen",IF(D317&lt;40,"Adult","Senior")))</f>
        <v>Adult</v>
      </c>
      <c r="D317" s="3">
        <v>35</v>
      </c>
      <c r="E317" s="3" t="s">
        <v>249</v>
      </c>
      <c r="F317" s="4" t="s">
        <v>17</v>
      </c>
      <c r="G317" s="4" t="s">
        <v>44</v>
      </c>
      <c r="H317" t="s">
        <v>36</v>
      </c>
      <c r="I317" s="3">
        <v>2</v>
      </c>
      <c r="J317" s="5">
        <v>1000</v>
      </c>
      <c r="K317" s="7">
        <v>2000</v>
      </c>
      <c r="L317" s="6">
        <v>45322</v>
      </c>
      <c r="M317" s="8" t="str">
        <f>IF(K317&gt;10000,"High",IF(K317&gt;5000,"Medium","Low"))</f>
        <v>Low</v>
      </c>
      <c r="N317" s="4" t="s">
        <v>242</v>
      </c>
      <c r="O317" s="3">
        <v>1</v>
      </c>
      <c r="P317" s="3">
        <v>2024</v>
      </c>
      <c r="T317" s="4"/>
      <c r="X317"/>
      <c r="Y317" s="3"/>
      <c r="AA317"/>
    </row>
    <row r="318" spans="1:27" x14ac:dyDescent="0.3">
      <c r="A318" s="3">
        <v>1596</v>
      </c>
      <c r="B318" s="4" t="s">
        <v>68</v>
      </c>
      <c r="C318" s="4" t="str">
        <f>IF(D318="","Unknown",IF(D318&lt;20,"Teen",IF(D318&lt;40,"Adult","Senior")))</f>
        <v>Adult</v>
      </c>
      <c r="D318" s="3">
        <v>30</v>
      </c>
      <c r="E318" s="3" t="s">
        <v>250</v>
      </c>
      <c r="F318" s="4" t="s">
        <v>17</v>
      </c>
      <c r="G318" s="4" t="s">
        <v>12</v>
      </c>
      <c r="H318" t="s">
        <v>13</v>
      </c>
      <c r="I318" s="3">
        <v>2</v>
      </c>
      <c r="J318" s="5">
        <v>33279</v>
      </c>
      <c r="K318" s="7">
        <v>66558</v>
      </c>
      <c r="L318" s="6">
        <v>45301</v>
      </c>
      <c r="M318" s="8" t="str">
        <f>IF(K318&gt;10000,"High",IF(K318&gt;5000,"Medium","Low"))</f>
        <v>High</v>
      </c>
      <c r="N318" s="4" t="s">
        <v>242</v>
      </c>
      <c r="O318" s="3">
        <v>1</v>
      </c>
      <c r="P318" s="3">
        <v>2024</v>
      </c>
      <c r="T318" s="4"/>
      <c r="X318"/>
      <c r="Y318" s="3"/>
      <c r="AA318"/>
    </row>
    <row r="319" spans="1:27" x14ac:dyDescent="0.3">
      <c r="A319" s="3">
        <v>1600</v>
      </c>
      <c r="B319" s="4" t="s">
        <v>73</v>
      </c>
      <c r="C319" s="4" t="str">
        <f>IF(D319="","Unknown",IF(D319&lt;20,"Teen",IF(D319&lt;40,"Adult","Senior")))</f>
        <v>Adult</v>
      </c>
      <c r="D319" s="3">
        <v>33</v>
      </c>
      <c r="E319" s="3" t="s">
        <v>249</v>
      </c>
      <c r="F319" s="4" t="s">
        <v>40</v>
      </c>
      <c r="G319" s="4" t="s">
        <v>27</v>
      </c>
      <c r="H319" t="s">
        <v>13</v>
      </c>
      <c r="I319" s="3">
        <v>2</v>
      </c>
      <c r="J319" s="5">
        <v>1000</v>
      </c>
      <c r="K319" s="7">
        <v>2000</v>
      </c>
      <c r="L319" s="6">
        <v>45296</v>
      </c>
      <c r="M319" s="8" t="str">
        <f>IF(K319&gt;10000,"High",IF(K319&gt;5000,"Medium","Low"))</f>
        <v>Low</v>
      </c>
      <c r="N319" s="4" t="s">
        <v>243</v>
      </c>
      <c r="O319" s="3">
        <v>1</v>
      </c>
      <c r="P319" s="3">
        <v>2024</v>
      </c>
      <c r="T319" s="4"/>
      <c r="X319"/>
      <c r="Y319" s="3"/>
      <c r="AA319"/>
    </row>
    <row r="320" spans="1:27" x14ac:dyDescent="0.3">
      <c r="A320" s="3">
        <v>1603</v>
      </c>
      <c r="B320" s="4" t="s">
        <v>25</v>
      </c>
      <c r="C320" s="4" t="str">
        <f>IF(D320="","Unknown",IF(D320&lt;20,"Teen",IF(D320&lt;40,"Adult","Senior")))</f>
        <v>Adult</v>
      </c>
      <c r="D320" s="3">
        <v>30</v>
      </c>
      <c r="E320" s="3" t="s">
        <v>250</v>
      </c>
      <c r="F320" s="4" t="s">
        <v>17</v>
      </c>
      <c r="G320" s="4" t="s">
        <v>55</v>
      </c>
      <c r="H320" t="s">
        <v>36</v>
      </c>
      <c r="I320" s="3">
        <v>5</v>
      </c>
      <c r="J320" s="5">
        <v>1000</v>
      </c>
      <c r="K320" s="7">
        <v>5000</v>
      </c>
      <c r="L320" s="6">
        <v>45297</v>
      </c>
      <c r="M320" s="8" t="str">
        <f>IF(K320&gt;10000,"High",IF(K320&gt;5000,"Medium","Low"))</f>
        <v>Low</v>
      </c>
      <c r="N320" s="4" t="s">
        <v>243</v>
      </c>
      <c r="O320" s="3">
        <v>1</v>
      </c>
      <c r="P320" s="3">
        <v>2024</v>
      </c>
      <c r="T320" s="4"/>
      <c r="X320"/>
      <c r="Y320" s="3"/>
      <c r="AA320"/>
    </row>
    <row r="321" spans="1:27" x14ac:dyDescent="0.3">
      <c r="A321" s="3">
        <v>1610</v>
      </c>
      <c r="B321" s="4" t="s">
        <v>46</v>
      </c>
      <c r="C321" s="4" t="str">
        <f>IF(D321="","Unknown",IF(D321&lt;20,"Teen",IF(D321&lt;40,"Adult","Senior")))</f>
        <v>Adult</v>
      </c>
      <c r="D321" s="3">
        <v>30</v>
      </c>
      <c r="E321" s="3" t="s">
        <v>250</v>
      </c>
      <c r="F321" s="4" t="s">
        <v>40</v>
      </c>
      <c r="G321" s="4" t="s">
        <v>51</v>
      </c>
      <c r="H321" t="s">
        <v>13</v>
      </c>
      <c r="I321" s="3">
        <v>2</v>
      </c>
      <c r="J321" s="5">
        <v>1000</v>
      </c>
      <c r="K321" s="7">
        <v>2000</v>
      </c>
      <c r="L321" s="6">
        <v>45313</v>
      </c>
      <c r="M321" s="8" t="str">
        <f>IF(K321&gt;10000,"High",IF(K321&gt;5000,"Medium","Low"))</f>
        <v>Low</v>
      </c>
      <c r="N321" s="4" t="s">
        <v>241</v>
      </c>
      <c r="O321" s="3">
        <v>1</v>
      </c>
      <c r="P321" s="3">
        <v>2024</v>
      </c>
      <c r="T321" s="4"/>
      <c r="X321"/>
      <c r="Y321" s="3"/>
      <c r="AA321"/>
    </row>
    <row r="322" spans="1:27" x14ac:dyDescent="0.3">
      <c r="A322" s="3">
        <v>1612</v>
      </c>
      <c r="B322" s="4" t="s">
        <v>25</v>
      </c>
      <c r="C322" s="4" t="str">
        <f>IF(D322="","Unknown",IF(D322&lt;20,"Teen",IF(D322&lt;40,"Adult","Senior")))</f>
        <v>Adult</v>
      </c>
      <c r="D322" s="3">
        <v>30</v>
      </c>
      <c r="E322" s="3" t="s">
        <v>250</v>
      </c>
      <c r="F322" s="4" t="s">
        <v>40</v>
      </c>
      <c r="G322" s="4" t="s">
        <v>55</v>
      </c>
      <c r="H322" t="s">
        <v>36</v>
      </c>
      <c r="I322" s="3">
        <v>3</v>
      </c>
      <c r="J322" s="5">
        <v>1000</v>
      </c>
      <c r="K322" s="7">
        <v>3000</v>
      </c>
      <c r="L322" s="6">
        <v>45297</v>
      </c>
      <c r="M322" s="8" t="str">
        <f>IF(K322&gt;10000,"High",IF(K322&gt;5000,"Medium","Low"))</f>
        <v>Low</v>
      </c>
      <c r="N322" s="4" t="s">
        <v>242</v>
      </c>
      <c r="O322" s="3">
        <v>1</v>
      </c>
      <c r="P322" s="3">
        <v>2024</v>
      </c>
      <c r="T322" s="4"/>
      <c r="X322"/>
      <c r="Y322" s="3"/>
      <c r="AA322"/>
    </row>
    <row r="323" spans="1:27" x14ac:dyDescent="0.3">
      <c r="A323" s="3">
        <v>1613</v>
      </c>
      <c r="B323" s="4" t="s">
        <v>78</v>
      </c>
      <c r="C323" s="4" t="str">
        <f>IF(D323="","Unknown",IF(D323&lt;20,"Teen",IF(D323&lt;40,"Adult","Senior")))</f>
        <v>Adult</v>
      </c>
      <c r="D323" s="3">
        <v>30</v>
      </c>
      <c r="E323" s="3" t="s">
        <v>250</v>
      </c>
      <c r="F323" s="4" t="s">
        <v>17</v>
      </c>
      <c r="G323" s="4" t="s">
        <v>41</v>
      </c>
      <c r="H323" t="s">
        <v>36</v>
      </c>
      <c r="I323" s="3">
        <v>5</v>
      </c>
      <c r="J323" s="5">
        <v>1000</v>
      </c>
      <c r="K323" s="7">
        <v>5000</v>
      </c>
      <c r="L323" s="6">
        <v>45322</v>
      </c>
      <c r="M323" s="8" t="str">
        <f>IF(K323&gt;10000,"High",IF(K323&gt;5000,"Medium","Low"))</f>
        <v>Low</v>
      </c>
      <c r="N323" s="4" t="s">
        <v>244</v>
      </c>
      <c r="O323" s="3">
        <v>1</v>
      </c>
      <c r="P323" s="3">
        <v>2024</v>
      </c>
      <c r="T323" s="4"/>
      <c r="X323"/>
      <c r="Y323" s="3"/>
      <c r="AA323"/>
    </row>
    <row r="324" spans="1:27" x14ac:dyDescent="0.3">
      <c r="A324" s="3">
        <v>1614</v>
      </c>
      <c r="B324" s="4" t="s">
        <v>57</v>
      </c>
      <c r="C324" s="4" t="str">
        <f>IF(D324="","Unknown",IF(D324&lt;20,"Teen",IF(D324&lt;40,"Adult","Senior")))</f>
        <v>Adult</v>
      </c>
      <c r="D324" s="3">
        <v>22</v>
      </c>
      <c r="E324" s="3" t="s">
        <v>250</v>
      </c>
      <c r="F324" s="4" t="s">
        <v>40</v>
      </c>
      <c r="G324" s="4" t="s">
        <v>27</v>
      </c>
      <c r="H324" t="s">
        <v>13</v>
      </c>
      <c r="I324" s="3">
        <v>2</v>
      </c>
      <c r="J324" s="5">
        <v>6865</v>
      </c>
      <c r="K324" s="7">
        <v>13730</v>
      </c>
      <c r="L324" s="6">
        <v>45298</v>
      </c>
      <c r="M324" s="8" t="str">
        <f>IF(K324&gt;10000,"High",IF(K324&gt;5000,"Medium","Low"))</f>
        <v>High</v>
      </c>
      <c r="N324" s="4" t="s">
        <v>244</v>
      </c>
      <c r="O324" s="3">
        <v>1</v>
      </c>
      <c r="P324" s="3">
        <v>2024</v>
      </c>
      <c r="T324" s="4"/>
      <c r="X324"/>
      <c r="Y324" s="3"/>
      <c r="AA324"/>
    </row>
    <row r="325" spans="1:27" x14ac:dyDescent="0.3">
      <c r="A325" s="3">
        <v>1619</v>
      </c>
      <c r="B325" s="4" t="s">
        <v>68</v>
      </c>
      <c r="C325" s="4" t="str">
        <f>IF(D325="","Unknown",IF(D325&lt;20,"Teen",IF(D325&lt;40,"Adult","Senior")))</f>
        <v>Adult</v>
      </c>
      <c r="D325" s="3">
        <v>30</v>
      </c>
      <c r="E325" s="3" t="s">
        <v>250</v>
      </c>
      <c r="F325" s="4" t="s">
        <v>40</v>
      </c>
      <c r="G325" s="4" t="s">
        <v>12</v>
      </c>
      <c r="H325" t="s">
        <v>13</v>
      </c>
      <c r="I325" s="3">
        <v>2</v>
      </c>
      <c r="J325" s="5">
        <v>1000</v>
      </c>
      <c r="K325" s="7">
        <v>2000</v>
      </c>
      <c r="L325" s="6">
        <v>45321</v>
      </c>
      <c r="M325" s="8" t="str">
        <f>IF(K325&gt;10000,"High",IF(K325&gt;5000,"Medium","Low"))</f>
        <v>Low</v>
      </c>
      <c r="N325" s="4" t="s">
        <v>243</v>
      </c>
      <c r="O325" s="3">
        <v>1</v>
      </c>
      <c r="P325" s="3">
        <v>2024</v>
      </c>
      <c r="T325" s="4"/>
      <c r="X325"/>
      <c r="Y325" s="3"/>
      <c r="AA325"/>
    </row>
    <row r="326" spans="1:27" x14ac:dyDescent="0.3">
      <c r="A326" s="3">
        <v>1620</v>
      </c>
      <c r="B326" s="4" t="s">
        <v>78</v>
      </c>
      <c r="C326" s="4" t="str">
        <f>IF(D326="","Unknown",IF(D326&lt;20,"Teen",IF(D326&lt;40,"Adult","Senior")))</f>
        <v>Senior</v>
      </c>
      <c r="D326" s="3">
        <v>44</v>
      </c>
      <c r="E326" s="3" t="s">
        <v>249</v>
      </c>
      <c r="F326" s="4" t="s">
        <v>17</v>
      </c>
      <c r="G326" s="4" t="s">
        <v>23</v>
      </c>
      <c r="H326" t="s">
        <v>30</v>
      </c>
      <c r="I326" s="3">
        <v>1</v>
      </c>
      <c r="J326" s="5">
        <v>31864</v>
      </c>
      <c r="K326" s="7">
        <v>31864</v>
      </c>
      <c r="L326" s="6">
        <v>45322</v>
      </c>
      <c r="M326" s="8" t="str">
        <f>IF(K326&gt;10000,"High",IF(K326&gt;5000,"Medium","Low"))</f>
        <v>High</v>
      </c>
      <c r="N326" s="4" t="s">
        <v>244</v>
      </c>
      <c r="O326" s="3">
        <v>1</v>
      </c>
      <c r="P326" s="3">
        <v>2024</v>
      </c>
      <c r="T326" s="4"/>
      <c r="X326"/>
      <c r="Y326" s="3"/>
      <c r="AA326"/>
    </row>
    <row r="327" spans="1:27" x14ac:dyDescent="0.3">
      <c r="A327" s="3">
        <v>1621</v>
      </c>
      <c r="B327" s="4" t="s">
        <v>25</v>
      </c>
      <c r="C327" s="4" t="str">
        <f>IF(D327="","Unknown",IF(D327&lt;20,"Teen",IF(D327&lt;40,"Adult","Senior")))</f>
        <v>Senior</v>
      </c>
      <c r="D327" s="3">
        <v>42</v>
      </c>
      <c r="E327" s="3" t="s">
        <v>249</v>
      </c>
      <c r="F327" s="4" t="s">
        <v>40</v>
      </c>
      <c r="G327" s="4" t="s">
        <v>27</v>
      </c>
      <c r="H327" t="s">
        <v>13</v>
      </c>
      <c r="I327" s="3">
        <v>2</v>
      </c>
      <c r="J327" s="5">
        <v>1000</v>
      </c>
      <c r="K327" s="7">
        <v>2000</v>
      </c>
      <c r="L327" s="6">
        <v>45293</v>
      </c>
      <c r="M327" s="8" t="str">
        <f>IF(K327&gt;10000,"High",IF(K327&gt;5000,"Medium","Low"))</f>
        <v>Low</v>
      </c>
      <c r="N327" s="4" t="s">
        <v>241</v>
      </c>
      <c r="O327" s="3">
        <v>1</v>
      </c>
      <c r="P327" s="3">
        <v>2024</v>
      </c>
      <c r="T327" s="4"/>
      <c r="X327"/>
      <c r="Y327" s="3"/>
      <c r="AA327"/>
    </row>
    <row r="328" spans="1:27" x14ac:dyDescent="0.3">
      <c r="A328" s="3">
        <v>1622</v>
      </c>
      <c r="B328" s="4" t="s">
        <v>59</v>
      </c>
      <c r="C328" s="4" t="str">
        <f>IF(D328="","Unknown",IF(D328&lt;20,"Teen",IF(D328&lt;40,"Adult","Senior")))</f>
        <v>Adult</v>
      </c>
      <c r="D328" s="3">
        <v>30</v>
      </c>
      <c r="E328" s="3" t="s">
        <v>250</v>
      </c>
      <c r="F328" s="4" t="s">
        <v>17</v>
      </c>
      <c r="G328" s="4" t="s">
        <v>44</v>
      </c>
      <c r="H328" t="s">
        <v>36</v>
      </c>
      <c r="I328" s="3">
        <v>4</v>
      </c>
      <c r="J328" s="5">
        <v>39918</v>
      </c>
      <c r="K328" s="7">
        <v>159672</v>
      </c>
      <c r="L328" s="6">
        <v>45321</v>
      </c>
      <c r="M328" s="8" t="str">
        <f>IF(K328&gt;10000,"High",IF(K328&gt;5000,"Medium","Low"))</f>
        <v>High</v>
      </c>
      <c r="N328" s="4" t="s">
        <v>243</v>
      </c>
      <c r="O328" s="3">
        <v>1</v>
      </c>
      <c r="P328" s="3">
        <v>2024</v>
      </c>
      <c r="T328" s="4"/>
      <c r="X328"/>
      <c r="Y328" s="3"/>
      <c r="AA328"/>
    </row>
    <row r="329" spans="1:27" x14ac:dyDescent="0.3">
      <c r="A329" s="3">
        <v>1623</v>
      </c>
      <c r="B329" s="4" t="s">
        <v>32</v>
      </c>
      <c r="C329" s="4" t="str">
        <f>IF(D329="","Unknown",IF(D329&lt;20,"Teen",IF(D329&lt;40,"Adult","Senior")))</f>
        <v>Adult</v>
      </c>
      <c r="D329" s="3">
        <v>32</v>
      </c>
      <c r="E329" s="3" t="s">
        <v>249</v>
      </c>
      <c r="F329" s="4" t="s">
        <v>17</v>
      </c>
      <c r="G329" s="4" t="s">
        <v>55</v>
      </c>
      <c r="H329" t="s">
        <v>36</v>
      </c>
      <c r="I329" s="3">
        <v>1</v>
      </c>
      <c r="J329" s="5">
        <v>1000</v>
      </c>
      <c r="K329" s="7">
        <v>1000</v>
      </c>
      <c r="L329" s="6">
        <v>45306</v>
      </c>
      <c r="M329" s="8" t="str">
        <f>IF(K329&gt;10000,"High",IF(K329&gt;5000,"Medium","Low"))</f>
        <v>Low</v>
      </c>
      <c r="N329" s="4" t="s">
        <v>240</v>
      </c>
      <c r="O329" s="3">
        <v>1</v>
      </c>
      <c r="P329" s="3">
        <v>2024</v>
      </c>
      <c r="T329" s="4"/>
      <c r="X329"/>
      <c r="Y329" s="3"/>
      <c r="AA329"/>
    </row>
    <row r="330" spans="1:27" x14ac:dyDescent="0.3">
      <c r="A330" s="3">
        <v>1624</v>
      </c>
      <c r="B330" s="4" t="s">
        <v>69</v>
      </c>
      <c r="C330" s="4" t="str">
        <f>IF(D330="","Unknown",IF(D330&lt;20,"Teen",IF(D330&lt;40,"Adult","Senior")))</f>
        <v>Adult</v>
      </c>
      <c r="D330" s="3">
        <v>21</v>
      </c>
      <c r="E330" s="3" t="s">
        <v>250</v>
      </c>
      <c r="F330" s="4" t="s">
        <v>40</v>
      </c>
      <c r="G330" s="4" t="s">
        <v>18</v>
      </c>
      <c r="H330" t="s">
        <v>30</v>
      </c>
      <c r="I330" s="3">
        <v>1</v>
      </c>
      <c r="J330" s="5">
        <v>13078</v>
      </c>
      <c r="K330" s="7">
        <v>13078</v>
      </c>
      <c r="L330" s="6">
        <v>45309</v>
      </c>
      <c r="M330" s="8" t="str">
        <f>IF(K330&gt;10000,"High",IF(K330&gt;5000,"Medium","Low"))</f>
        <v>High</v>
      </c>
      <c r="N330" s="4" t="s">
        <v>243</v>
      </c>
      <c r="O330" s="3">
        <v>1</v>
      </c>
      <c r="P330" s="3">
        <v>2024</v>
      </c>
      <c r="T330" s="4"/>
      <c r="X330"/>
      <c r="Y330" s="3"/>
      <c r="AA330"/>
    </row>
    <row r="331" spans="1:27" x14ac:dyDescent="0.3">
      <c r="A331" s="3">
        <v>1625</v>
      </c>
      <c r="B331" s="4" t="s">
        <v>54</v>
      </c>
      <c r="C331" s="4" t="str">
        <f>IF(D331="","Unknown",IF(D331&lt;20,"Teen",IF(D331&lt;40,"Adult","Senior")))</f>
        <v>Adult</v>
      </c>
      <c r="D331" s="3">
        <v>30</v>
      </c>
      <c r="E331" s="3" t="s">
        <v>250</v>
      </c>
      <c r="F331" s="4" t="s">
        <v>17</v>
      </c>
      <c r="G331" s="4" t="s">
        <v>55</v>
      </c>
      <c r="H331" t="s">
        <v>36</v>
      </c>
      <c r="I331" s="3">
        <v>2</v>
      </c>
      <c r="J331" s="5">
        <v>36623</v>
      </c>
      <c r="K331" s="7">
        <v>73246</v>
      </c>
      <c r="L331" s="6">
        <v>45316</v>
      </c>
      <c r="M331" s="8" t="str">
        <f>IF(K331&gt;10000,"High",IF(K331&gt;5000,"Medium","Low"))</f>
        <v>High</v>
      </c>
      <c r="N331" s="4" t="s">
        <v>243</v>
      </c>
      <c r="O331" s="3">
        <v>1</v>
      </c>
      <c r="P331" s="3">
        <v>2024</v>
      </c>
      <c r="T331" s="4"/>
      <c r="X331"/>
      <c r="Y331" s="3"/>
      <c r="AA331"/>
    </row>
    <row r="332" spans="1:27" x14ac:dyDescent="0.3">
      <c r="A332" s="3">
        <v>1626</v>
      </c>
      <c r="B332" s="4" t="s">
        <v>69</v>
      </c>
      <c r="C332" s="4" t="str">
        <f>IF(D332="","Unknown",IF(D332&lt;20,"Teen",IF(D332&lt;40,"Adult","Senior")))</f>
        <v>Adult</v>
      </c>
      <c r="D332" s="3">
        <v>33</v>
      </c>
      <c r="E332" s="3" t="s">
        <v>249</v>
      </c>
      <c r="F332" s="4" t="s">
        <v>17</v>
      </c>
      <c r="G332" s="4" t="s">
        <v>27</v>
      </c>
      <c r="H332" t="s">
        <v>13</v>
      </c>
      <c r="I332" s="3">
        <v>2</v>
      </c>
      <c r="J332" s="5">
        <v>44642</v>
      </c>
      <c r="K332" s="7">
        <v>89284</v>
      </c>
      <c r="L332" s="6">
        <v>45310</v>
      </c>
      <c r="M332" s="8" t="str">
        <f>IF(K332&gt;10000,"High",IF(K332&gt;5000,"Medium","Low"))</f>
        <v>High</v>
      </c>
      <c r="N332" s="4" t="s">
        <v>240</v>
      </c>
      <c r="O332" s="3">
        <v>1</v>
      </c>
      <c r="P332" s="3">
        <v>2024</v>
      </c>
      <c r="T332" s="4"/>
      <c r="X332"/>
      <c r="Y332" s="3"/>
      <c r="AA332"/>
    </row>
    <row r="333" spans="1:27" x14ac:dyDescent="0.3">
      <c r="A333" s="3">
        <v>1632</v>
      </c>
      <c r="B333" s="4" t="s">
        <v>54</v>
      </c>
      <c r="C333" s="4" t="str">
        <f>IF(D333="","Unknown",IF(D333&lt;20,"Teen",IF(D333&lt;40,"Adult","Senior")))</f>
        <v>Adult</v>
      </c>
      <c r="D333" s="3">
        <v>30</v>
      </c>
      <c r="E333" s="3" t="s">
        <v>250</v>
      </c>
      <c r="F333" s="4" t="s">
        <v>17</v>
      </c>
      <c r="G333" s="4" t="s">
        <v>55</v>
      </c>
      <c r="H333" t="s">
        <v>36</v>
      </c>
      <c r="I333" s="3">
        <v>2</v>
      </c>
      <c r="J333" s="5">
        <v>1000</v>
      </c>
      <c r="K333" s="7">
        <v>2000</v>
      </c>
      <c r="L333" s="6">
        <v>45309</v>
      </c>
      <c r="M333" s="8" t="str">
        <f>IF(K333&gt;10000,"High",IF(K333&gt;5000,"Medium","Low"))</f>
        <v>Low</v>
      </c>
      <c r="N333" s="4" t="s">
        <v>240</v>
      </c>
      <c r="O333" s="3">
        <v>1</v>
      </c>
      <c r="P333" s="3">
        <v>2024</v>
      </c>
      <c r="T333" s="4"/>
      <c r="X333"/>
      <c r="Y333" s="3"/>
      <c r="AA333"/>
    </row>
    <row r="334" spans="1:27" x14ac:dyDescent="0.3">
      <c r="A334" s="3">
        <v>1637</v>
      </c>
      <c r="B334" s="4" t="s">
        <v>68</v>
      </c>
      <c r="C334" s="4" t="str">
        <f>IF(D334="","Unknown",IF(D334&lt;20,"Teen",IF(D334&lt;40,"Adult","Senior")))</f>
        <v>Teen</v>
      </c>
      <c r="D334" s="3">
        <v>18</v>
      </c>
      <c r="E334" s="3" t="s">
        <v>251</v>
      </c>
      <c r="F334" s="4" t="s">
        <v>17</v>
      </c>
      <c r="G334" s="4" t="s">
        <v>27</v>
      </c>
      <c r="H334" t="s">
        <v>13</v>
      </c>
      <c r="I334" s="3">
        <v>4</v>
      </c>
      <c r="J334" s="5">
        <v>27021</v>
      </c>
      <c r="K334" s="7">
        <v>108084</v>
      </c>
      <c r="L334" s="6">
        <v>45292</v>
      </c>
      <c r="M334" s="8" t="str">
        <f>IF(K334&gt;10000,"High",IF(K334&gt;5000,"Medium","Low"))</f>
        <v>High</v>
      </c>
      <c r="N334" s="4" t="s">
        <v>242</v>
      </c>
      <c r="O334" s="3">
        <v>1</v>
      </c>
      <c r="P334" s="3">
        <v>2024</v>
      </c>
      <c r="T334" s="4"/>
      <c r="X334"/>
      <c r="Y334" s="3"/>
      <c r="AA334"/>
    </row>
    <row r="335" spans="1:27" x14ac:dyDescent="0.3">
      <c r="A335" s="3">
        <v>1638</v>
      </c>
      <c r="B335" s="4" t="s">
        <v>25</v>
      </c>
      <c r="C335" s="4" t="str">
        <f>IF(D335="","Unknown",IF(D335&lt;20,"Teen",IF(D335&lt;40,"Adult","Senior")))</f>
        <v>Adult</v>
      </c>
      <c r="D335" s="3">
        <v>30</v>
      </c>
      <c r="E335" s="3" t="s">
        <v>250</v>
      </c>
      <c r="F335" s="4" t="s">
        <v>40</v>
      </c>
      <c r="G335" s="4" t="s">
        <v>23</v>
      </c>
      <c r="H335" t="s">
        <v>30</v>
      </c>
      <c r="I335" s="3">
        <v>2</v>
      </c>
      <c r="J335" s="5">
        <v>30105</v>
      </c>
      <c r="K335" s="7">
        <v>60210</v>
      </c>
      <c r="L335" s="6">
        <v>45307</v>
      </c>
      <c r="M335" s="8" t="str">
        <f>IF(K335&gt;10000,"High",IF(K335&gt;5000,"Medium","Low"))</f>
        <v>High</v>
      </c>
      <c r="N335" s="4" t="s">
        <v>243</v>
      </c>
      <c r="O335" s="3">
        <v>1</v>
      </c>
      <c r="P335" s="3">
        <v>2024</v>
      </c>
      <c r="T335" s="4"/>
      <c r="X335"/>
      <c r="Y335" s="3"/>
      <c r="AA335"/>
    </row>
    <row r="336" spans="1:27" x14ac:dyDescent="0.3">
      <c r="A336" s="3">
        <v>1640</v>
      </c>
      <c r="B336" s="4" t="s">
        <v>38</v>
      </c>
      <c r="C336" s="4" t="str">
        <f>IF(D336="","Unknown",IF(D336&lt;20,"Teen",IF(D336&lt;40,"Adult","Senior")))</f>
        <v>Adult</v>
      </c>
      <c r="D336" s="3">
        <v>20</v>
      </c>
      <c r="E336" s="3" t="s">
        <v>251</v>
      </c>
      <c r="F336" s="4" t="s">
        <v>40</v>
      </c>
      <c r="G336" s="4" t="s">
        <v>23</v>
      </c>
      <c r="H336" t="s">
        <v>30</v>
      </c>
      <c r="I336" s="3">
        <v>3</v>
      </c>
      <c r="J336" s="5">
        <v>1000</v>
      </c>
      <c r="K336" s="7">
        <v>3000</v>
      </c>
      <c r="L336" s="6">
        <v>45293</v>
      </c>
      <c r="M336" s="8" t="str">
        <f>IF(K336&gt;10000,"High",IF(K336&gt;5000,"Medium","Low"))</f>
        <v>Low</v>
      </c>
      <c r="N336" s="4" t="s">
        <v>243</v>
      </c>
      <c r="O336" s="3">
        <v>1</v>
      </c>
      <c r="P336" s="3">
        <v>2024</v>
      </c>
      <c r="T336" s="4"/>
      <c r="X336"/>
      <c r="Y336" s="3"/>
      <c r="AA336"/>
    </row>
    <row r="337" spans="1:27" x14ac:dyDescent="0.3">
      <c r="A337" s="3">
        <v>1641</v>
      </c>
      <c r="B337" s="4" t="s">
        <v>62</v>
      </c>
      <c r="C337" s="4" t="str">
        <f>IF(D337="","Unknown",IF(D337&lt;20,"Teen",IF(D337&lt;40,"Adult","Senior")))</f>
        <v>Adult</v>
      </c>
      <c r="D337" s="3">
        <v>39</v>
      </c>
      <c r="E337" s="3" t="s">
        <v>249</v>
      </c>
      <c r="F337" s="4" t="s">
        <v>40</v>
      </c>
      <c r="G337" s="4" t="s">
        <v>27</v>
      </c>
      <c r="H337" t="s">
        <v>13</v>
      </c>
      <c r="I337" s="3">
        <v>2</v>
      </c>
      <c r="J337" s="5">
        <v>1000</v>
      </c>
      <c r="K337" s="7">
        <v>2000</v>
      </c>
      <c r="L337" s="6">
        <v>45321</v>
      </c>
      <c r="M337" s="8" t="str">
        <f>IF(K337&gt;10000,"High",IF(K337&gt;5000,"Medium","Low"))</f>
        <v>Low</v>
      </c>
      <c r="N337" s="4" t="s">
        <v>244</v>
      </c>
      <c r="O337" s="3">
        <v>1</v>
      </c>
      <c r="P337" s="3">
        <v>2024</v>
      </c>
      <c r="T337" s="4"/>
      <c r="X337"/>
      <c r="Y337" s="3"/>
      <c r="AA337"/>
    </row>
    <row r="338" spans="1:27" x14ac:dyDescent="0.3">
      <c r="A338" s="3">
        <v>1642</v>
      </c>
      <c r="B338" s="4" t="s">
        <v>10</v>
      </c>
      <c r="C338" s="4" t="str">
        <f>IF(D338="","Unknown",IF(D338&lt;20,"Teen",IF(D338&lt;40,"Adult","Senior")))</f>
        <v>Senior</v>
      </c>
      <c r="D338" s="3">
        <v>48</v>
      </c>
      <c r="E338" s="3" t="s">
        <v>249</v>
      </c>
      <c r="F338" s="4" t="s">
        <v>40</v>
      </c>
      <c r="G338" s="4" t="s">
        <v>12</v>
      </c>
      <c r="H338" t="s">
        <v>13</v>
      </c>
      <c r="I338" s="3">
        <v>2</v>
      </c>
      <c r="J338" s="5">
        <v>1000</v>
      </c>
      <c r="K338" s="7">
        <v>2000</v>
      </c>
      <c r="L338" s="6">
        <v>45320</v>
      </c>
      <c r="M338" s="8" t="str">
        <f>IF(K338&gt;10000,"High",IF(K338&gt;5000,"Medium","Low"))</f>
        <v>Low</v>
      </c>
      <c r="N338" s="4" t="s">
        <v>241</v>
      </c>
      <c r="O338" s="3">
        <v>1</v>
      </c>
      <c r="P338" s="3">
        <v>2024</v>
      </c>
      <c r="T338" s="4"/>
      <c r="X338"/>
      <c r="Y338" s="3"/>
      <c r="AA338"/>
    </row>
    <row r="339" spans="1:27" x14ac:dyDescent="0.3">
      <c r="A339" s="3">
        <v>1645</v>
      </c>
      <c r="B339" s="4" t="s">
        <v>73</v>
      </c>
      <c r="C339" s="4" t="str">
        <f>IF(D339="","Unknown",IF(D339&lt;20,"Teen",IF(D339&lt;40,"Adult","Senior")))</f>
        <v>Adult</v>
      </c>
      <c r="D339" s="3">
        <v>30</v>
      </c>
      <c r="E339" s="3" t="s">
        <v>250</v>
      </c>
      <c r="F339" s="4" t="s">
        <v>40</v>
      </c>
      <c r="G339" s="4" t="s">
        <v>18</v>
      </c>
      <c r="H339" t="s">
        <v>30</v>
      </c>
      <c r="I339" s="3">
        <v>4</v>
      </c>
      <c r="J339" s="5">
        <v>1000</v>
      </c>
      <c r="K339" s="7">
        <v>4000</v>
      </c>
      <c r="L339" s="6">
        <v>45295</v>
      </c>
      <c r="M339" s="8" t="str">
        <f>IF(K339&gt;10000,"High",IF(K339&gt;5000,"Medium","Low"))</f>
        <v>Low</v>
      </c>
      <c r="N339" s="4" t="s">
        <v>243</v>
      </c>
      <c r="O339" s="3">
        <v>1</v>
      </c>
      <c r="P339" s="3">
        <v>2024</v>
      </c>
      <c r="T339" s="4"/>
      <c r="X339"/>
      <c r="Y339" s="3"/>
      <c r="AA339"/>
    </row>
    <row r="340" spans="1:27" x14ac:dyDescent="0.3">
      <c r="A340" s="3">
        <v>1646</v>
      </c>
      <c r="B340" s="4" t="s">
        <v>68</v>
      </c>
      <c r="C340" s="4" t="str">
        <f>IF(D340="","Unknown",IF(D340&lt;20,"Teen",IF(D340&lt;40,"Adult","Senior")))</f>
        <v>Adult</v>
      </c>
      <c r="D340" s="3">
        <v>26</v>
      </c>
      <c r="E340" s="3" t="s">
        <v>250</v>
      </c>
      <c r="F340" s="4" t="s">
        <v>40</v>
      </c>
      <c r="G340" s="4" t="s">
        <v>27</v>
      </c>
      <c r="H340" t="s">
        <v>13</v>
      </c>
      <c r="I340" s="3">
        <v>2</v>
      </c>
      <c r="J340" s="5">
        <v>10640</v>
      </c>
      <c r="K340" s="7">
        <v>21280</v>
      </c>
      <c r="L340" s="6">
        <v>45300</v>
      </c>
      <c r="M340" s="8" t="str">
        <f>IF(K340&gt;10000,"High",IF(K340&gt;5000,"Medium","Low"))</f>
        <v>High</v>
      </c>
      <c r="N340" s="4" t="s">
        <v>244</v>
      </c>
      <c r="O340" s="3">
        <v>1</v>
      </c>
      <c r="P340" s="3">
        <v>2024</v>
      </c>
      <c r="T340" s="4"/>
      <c r="X340"/>
      <c r="Y340" s="3"/>
      <c r="AA340"/>
    </row>
    <row r="341" spans="1:27" x14ac:dyDescent="0.3">
      <c r="A341" s="3">
        <v>1647</v>
      </c>
      <c r="B341" s="4" t="s">
        <v>57</v>
      </c>
      <c r="C341" s="4" t="str">
        <f>IF(D341="","Unknown",IF(D341&lt;20,"Teen",IF(D341&lt;40,"Adult","Senior")))</f>
        <v>Adult</v>
      </c>
      <c r="D341" s="3">
        <v>30</v>
      </c>
      <c r="E341" s="3" t="s">
        <v>250</v>
      </c>
      <c r="F341" s="4" t="s">
        <v>40</v>
      </c>
      <c r="G341" s="4" t="s">
        <v>27</v>
      </c>
      <c r="H341" t="s">
        <v>13</v>
      </c>
      <c r="I341" s="3">
        <v>1</v>
      </c>
      <c r="J341" s="5">
        <v>39953</v>
      </c>
      <c r="K341" s="7">
        <v>39953</v>
      </c>
      <c r="L341" s="6">
        <v>45302</v>
      </c>
      <c r="M341" s="8" t="str">
        <f>IF(K341&gt;10000,"High",IF(K341&gt;5000,"Medium","Low"))</f>
        <v>High</v>
      </c>
      <c r="N341" s="4" t="s">
        <v>240</v>
      </c>
      <c r="O341" s="3">
        <v>1</v>
      </c>
      <c r="P341" s="3">
        <v>2024</v>
      </c>
      <c r="T341" s="4"/>
      <c r="X341"/>
      <c r="Y341" s="3"/>
      <c r="AA341"/>
    </row>
    <row r="342" spans="1:27" x14ac:dyDescent="0.3">
      <c r="A342" s="3">
        <v>1648</v>
      </c>
      <c r="B342" s="4" t="s">
        <v>73</v>
      </c>
      <c r="C342" s="4" t="str">
        <f>IF(D342="","Unknown",IF(D342&lt;20,"Teen",IF(D342&lt;40,"Adult","Senior")))</f>
        <v>Adult</v>
      </c>
      <c r="D342" s="3">
        <v>39</v>
      </c>
      <c r="E342" s="3" t="s">
        <v>249</v>
      </c>
      <c r="F342" s="4" t="s">
        <v>40</v>
      </c>
      <c r="G342" s="4" t="s">
        <v>27</v>
      </c>
      <c r="H342" t="s">
        <v>13</v>
      </c>
      <c r="I342" s="3">
        <v>2</v>
      </c>
      <c r="J342" s="5">
        <v>13487</v>
      </c>
      <c r="K342" s="7">
        <v>26974</v>
      </c>
      <c r="L342" s="6">
        <v>45306</v>
      </c>
      <c r="M342" s="8" t="str">
        <f>IF(K342&gt;10000,"High",IF(K342&gt;5000,"Medium","Low"))</f>
        <v>High</v>
      </c>
      <c r="N342" s="4" t="s">
        <v>244</v>
      </c>
      <c r="O342" s="3">
        <v>1</v>
      </c>
      <c r="P342" s="3">
        <v>2024</v>
      </c>
      <c r="T342" s="4"/>
      <c r="X342"/>
      <c r="Y342" s="3"/>
      <c r="AA342"/>
    </row>
    <row r="343" spans="1:27" x14ac:dyDescent="0.3">
      <c r="A343" s="3">
        <v>1653</v>
      </c>
      <c r="B343" s="4" t="s">
        <v>10</v>
      </c>
      <c r="C343" s="4" t="str">
        <f>IF(D343="","Unknown",IF(D343&lt;20,"Teen",IF(D343&lt;40,"Adult","Senior")))</f>
        <v>Adult</v>
      </c>
      <c r="D343" s="3">
        <v>30</v>
      </c>
      <c r="E343" s="3" t="s">
        <v>250</v>
      </c>
      <c r="F343" s="4" t="s">
        <v>40</v>
      </c>
      <c r="G343" s="4" t="s">
        <v>27</v>
      </c>
      <c r="H343" t="s">
        <v>13</v>
      </c>
      <c r="I343" s="3">
        <v>2</v>
      </c>
      <c r="J343" s="5">
        <v>1000</v>
      </c>
      <c r="K343" s="7">
        <v>2000</v>
      </c>
      <c r="L343" s="6">
        <v>45316</v>
      </c>
      <c r="M343" s="8" t="str">
        <f>IF(K343&gt;10000,"High",IF(K343&gt;5000,"Medium","Low"))</f>
        <v>Low</v>
      </c>
      <c r="N343" s="4" t="s">
        <v>243</v>
      </c>
      <c r="O343" s="3">
        <v>1</v>
      </c>
      <c r="P343" s="3">
        <v>2024</v>
      </c>
      <c r="T343" s="4"/>
      <c r="X343"/>
      <c r="Y343" s="3"/>
      <c r="AA343"/>
    </row>
    <row r="344" spans="1:27" x14ac:dyDescent="0.3">
      <c r="A344" s="3">
        <v>1655</v>
      </c>
      <c r="B344" s="4" t="s">
        <v>64</v>
      </c>
      <c r="C344" s="4" t="str">
        <f>IF(D344="","Unknown",IF(D344&lt;20,"Teen",IF(D344&lt;40,"Adult","Senior")))</f>
        <v>Adult</v>
      </c>
      <c r="D344" s="3">
        <v>30</v>
      </c>
      <c r="E344" s="3" t="s">
        <v>250</v>
      </c>
      <c r="F344" s="4" t="s">
        <v>40</v>
      </c>
      <c r="G344" s="4" t="s">
        <v>18</v>
      </c>
      <c r="H344" t="s">
        <v>30</v>
      </c>
      <c r="I344" s="3">
        <v>1</v>
      </c>
      <c r="J344" s="5">
        <v>33104</v>
      </c>
      <c r="K344" s="7">
        <v>33104</v>
      </c>
      <c r="L344" s="6">
        <v>45311</v>
      </c>
      <c r="M344" s="8" t="str">
        <f>IF(K344&gt;10000,"High",IF(K344&gt;5000,"Medium","Low"))</f>
        <v>High</v>
      </c>
      <c r="N344" s="4" t="s">
        <v>243</v>
      </c>
      <c r="O344" s="3">
        <v>1</v>
      </c>
      <c r="P344" s="3">
        <v>2024</v>
      </c>
      <c r="T344" s="4"/>
      <c r="X344"/>
      <c r="Y344" s="3"/>
      <c r="AA344"/>
    </row>
    <row r="345" spans="1:27" x14ac:dyDescent="0.3">
      <c r="A345" s="3">
        <v>1658</v>
      </c>
      <c r="B345" s="4" t="s">
        <v>54</v>
      </c>
      <c r="C345" s="4" t="str">
        <f>IF(D345="","Unknown",IF(D345&lt;20,"Teen",IF(D345&lt;40,"Adult","Senior")))</f>
        <v>Adult</v>
      </c>
      <c r="D345" s="3">
        <v>30</v>
      </c>
      <c r="E345" s="3" t="s">
        <v>250</v>
      </c>
      <c r="F345" s="4" t="s">
        <v>17</v>
      </c>
      <c r="G345" s="4" t="s">
        <v>18</v>
      </c>
      <c r="H345" t="s">
        <v>30</v>
      </c>
      <c r="I345" s="3">
        <v>5</v>
      </c>
      <c r="J345" s="5">
        <v>1000</v>
      </c>
      <c r="K345" s="7">
        <v>5000</v>
      </c>
      <c r="L345" s="6">
        <v>45309</v>
      </c>
      <c r="M345" s="8" t="str">
        <f>IF(K345&gt;10000,"High",IF(K345&gt;5000,"Medium","Low"))</f>
        <v>Low</v>
      </c>
      <c r="N345" s="4" t="s">
        <v>242</v>
      </c>
      <c r="O345" s="3">
        <v>1</v>
      </c>
      <c r="P345" s="3">
        <v>2024</v>
      </c>
      <c r="T345" s="4"/>
      <c r="X345"/>
      <c r="Y345" s="3"/>
      <c r="AA345"/>
    </row>
    <row r="346" spans="1:27" x14ac:dyDescent="0.3">
      <c r="A346" s="3">
        <v>1660</v>
      </c>
      <c r="B346" s="4" t="s">
        <v>59</v>
      </c>
      <c r="C346" s="4" t="str">
        <f>IF(D346="","Unknown",IF(D346&lt;20,"Teen",IF(D346&lt;40,"Adult","Senior")))</f>
        <v>Adult</v>
      </c>
      <c r="D346" s="3">
        <v>34</v>
      </c>
      <c r="E346" s="3" t="s">
        <v>249</v>
      </c>
      <c r="F346" s="4" t="s">
        <v>40</v>
      </c>
      <c r="G346" s="4" t="s">
        <v>18</v>
      </c>
      <c r="H346" t="s">
        <v>30</v>
      </c>
      <c r="I346" s="3">
        <v>4</v>
      </c>
      <c r="J346" s="5">
        <v>1000</v>
      </c>
      <c r="K346" s="7">
        <v>4000</v>
      </c>
      <c r="L346" s="6">
        <v>45317</v>
      </c>
      <c r="M346" s="8" t="str">
        <f>IF(K346&gt;10000,"High",IF(K346&gt;5000,"Medium","Low"))</f>
        <v>Low</v>
      </c>
      <c r="N346" s="4" t="s">
        <v>240</v>
      </c>
      <c r="O346" s="3">
        <v>1</v>
      </c>
      <c r="P346" s="3">
        <v>2024</v>
      </c>
      <c r="T346" s="4"/>
      <c r="X346"/>
      <c r="Y346" s="3"/>
      <c r="AA346"/>
    </row>
    <row r="347" spans="1:27" x14ac:dyDescent="0.3">
      <c r="A347" s="3">
        <v>1661</v>
      </c>
      <c r="B347" s="4" t="s">
        <v>73</v>
      </c>
      <c r="C347" s="4" t="str">
        <f>IF(D347="","Unknown",IF(D347&lt;20,"Teen",IF(D347&lt;40,"Adult","Senior")))</f>
        <v>Senior</v>
      </c>
      <c r="D347" s="3">
        <v>47</v>
      </c>
      <c r="E347" s="3" t="s">
        <v>249</v>
      </c>
      <c r="F347" s="4" t="s">
        <v>17</v>
      </c>
      <c r="G347" s="4" t="s">
        <v>41</v>
      </c>
      <c r="H347" t="s">
        <v>36</v>
      </c>
      <c r="I347" s="3">
        <v>3</v>
      </c>
      <c r="J347" s="5">
        <v>1000</v>
      </c>
      <c r="K347" s="7">
        <v>3000</v>
      </c>
      <c r="L347" s="6">
        <v>45299</v>
      </c>
      <c r="M347" s="8" t="str">
        <f>IF(K347&gt;10000,"High",IF(K347&gt;5000,"Medium","Low"))</f>
        <v>Low</v>
      </c>
      <c r="N347" s="4" t="s">
        <v>242</v>
      </c>
      <c r="O347" s="3">
        <v>1</v>
      </c>
      <c r="P347" s="3">
        <v>2024</v>
      </c>
      <c r="T347" s="4"/>
      <c r="X347"/>
      <c r="Y347" s="3"/>
      <c r="AA347"/>
    </row>
    <row r="348" spans="1:27" x14ac:dyDescent="0.3">
      <c r="A348" s="3">
        <v>1662</v>
      </c>
      <c r="B348" s="4" t="s">
        <v>78</v>
      </c>
      <c r="C348" s="4" t="str">
        <f>IF(D348="","Unknown",IF(D348&lt;20,"Teen",IF(D348&lt;40,"Adult","Senior")))</f>
        <v>Adult</v>
      </c>
      <c r="D348" s="3">
        <v>30</v>
      </c>
      <c r="E348" s="3" t="s">
        <v>250</v>
      </c>
      <c r="F348" s="4" t="s">
        <v>40</v>
      </c>
      <c r="G348" s="4" t="s">
        <v>55</v>
      </c>
      <c r="H348" t="s">
        <v>36</v>
      </c>
      <c r="I348" s="3">
        <v>2</v>
      </c>
      <c r="J348" s="5">
        <v>1000</v>
      </c>
      <c r="K348" s="7">
        <v>2000</v>
      </c>
      <c r="L348" s="6">
        <v>45298</v>
      </c>
      <c r="M348" s="8" t="str">
        <f>IF(K348&gt;10000,"High",IF(K348&gt;5000,"Medium","Low"))</f>
        <v>Low</v>
      </c>
      <c r="N348" s="4" t="s">
        <v>243</v>
      </c>
      <c r="O348" s="3">
        <v>1</v>
      </c>
      <c r="P348" s="3">
        <v>2024</v>
      </c>
      <c r="T348" s="4"/>
      <c r="X348"/>
      <c r="Y348" s="3"/>
      <c r="AA348"/>
    </row>
    <row r="349" spans="1:27" x14ac:dyDescent="0.3">
      <c r="A349" s="3">
        <v>1664</v>
      </c>
      <c r="B349" s="4" t="s">
        <v>38</v>
      </c>
      <c r="C349" s="4" t="str">
        <f>IF(D349="","Unknown",IF(D349&lt;20,"Teen",IF(D349&lt;40,"Adult","Senior")))</f>
        <v>Adult</v>
      </c>
      <c r="D349" s="3">
        <v>20</v>
      </c>
      <c r="E349" s="3" t="s">
        <v>251</v>
      </c>
      <c r="F349" s="4" t="s">
        <v>17</v>
      </c>
      <c r="G349" s="4" t="s">
        <v>41</v>
      </c>
      <c r="H349" t="s">
        <v>36</v>
      </c>
      <c r="I349" s="3">
        <v>2</v>
      </c>
      <c r="J349" s="5">
        <v>1000</v>
      </c>
      <c r="K349" s="7">
        <v>2000</v>
      </c>
      <c r="L349" s="6">
        <v>45295</v>
      </c>
      <c r="M349" s="8" t="str">
        <f>IF(K349&gt;10000,"High",IF(K349&gt;5000,"Medium","Low"))</f>
        <v>Low</v>
      </c>
      <c r="N349" s="4" t="s">
        <v>243</v>
      </c>
      <c r="O349" s="3">
        <v>1</v>
      </c>
      <c r="P349" s="3">
        <v>2024</v>
      </c>
      <c r="T349" s="4"/>
      <c r="X349"/>
      <c r="Y349" s="3"/>
      <c r="AA349"/>
    </row>
    <row r="350" spans="1:27" x14ac:dyDescent="0.3">
      <c r="A350" s="3">
        <v>1665</v>
      </c>
      <c r="B350" s="4" t="s">
        <v>62</v>
      </c>
      <c r="C350" s="4" t="str">
        <f>IF(D350="","Unknown",IF(D350&lt;20,"Teen",IF(D350&lt;40,"Adult","Senior")))</f>
        <v>Teen</v>
      </c>
      <c r="D350" s="3">
        <v>19</v>
      </c>
      <c r="E350" s="3" t="s">
        <v>251</v>
      </c>
      <c r="F350" s="4" t="s">
        <v>17</v>
      </c>
      <c r="G350" s="4" t="s">
        <v>18</v>
      </c>
      <c r="H350" t="s">
        <v>30</v>
      </c>
      <c r="I350" s="3">
        <v>2</v>
      </c>
      <c r="J350" s="5">
        <v>2756</v>
      </c>
      <c r="K350" s="7">
        <v>5512</v>
      </c>
      <c r="L350" s="6">
        <v>45319</v>
      </c>
      <c r="M350" s="8" t="str">
        <f>IF(K350&gt;10000,"High",IF(K350&gt;5000,"Medium","Low"))</f>
        <v>Medium</v>
      </c>
      <c r="N350" s="4" t="s">
        <v>241</v>
      </c>
      <c r="O350" s="3">
        <v>1</v>
      </c>
      <c r="P350" s="3">
        <v>2024</v>
      </c>
      <c r="T350" s="4"/>
      <c r="X350"/>
      <c r="Y350" s="3"/>
      <c r="AA350"/>
    </row>
    <row r="351" spans="1:27" x14ac:dyDescent="0.3">
      <c r="A351" s="3">
        <v>1666</v>
      </c>
      <c r="B351" s="4" t="s">
        <v>35</v>
      </c>
      <c r="C351" s="4" t="str">
        <f>IF(D351="","Unknown",IF(D351&lt;20,"Teen",IF(D351&lt;40,"Adult","Senior")))</f>
        <v>Adult</v>
      </c>
      <c r="D351" s="3">
        <v>30</v>
      </c>
      <c r="E351" s="3" t="s">
        <v>250</v>
      </c>
      <c r="F351" s="4" t="s">
        <v>40</v>
      </c>
      <c r="G351" s="4" t="s">
        <v>18</v>
      </c>
      <c r="H351" t="s">
        <v>30</v>
      </c>
      <c r="I351" s="3">
        <v>2</v>
      </c>
      <c r="J351" s="5">
        <v>1000</v>
      </c>
      <c r="K351" s="7">
        <v>2000</v>
      </c>
      <c r="L351" s="6">
        <v>45297</v>
      </c>
      <c r="M351" s="8" t="str">
        <f>IF(K351&gt;10000,"High",IF(K351&gt;5000,"Medium","Low"))</f>
        <v>Low</v>
      </c>
      <c r="N351" s="4" t="s">
        <v>240</v>
      </c>
      <c r="O351" s="3">
        <v>1</v>
      </c>
      <c r="P351" s="3">
        <v>2024</v>
      </c>
      <c r="T351" s="4"/>
      <c r="X351"/>
      <c r="Y351" s="3"/>
      <c r="AA351"/>
    </row>
    <row r="352" spans="1:27" x14ac:dyDescent="0.3">
      <c r="A352" s="3">
        <v>1667</v>
      </c>
      <c r="B352" s="4" t="s">
        <v>64</v>
      </c>
      <c r="C352" s="4" t="str">
        <f>IF(D352="","Unknown",IF(D352&lt;20,"Teen",IF(D352&lt;40,"Adult","Senior")))</f>
        <v>Adult</v>
      </c>
      <c r="D352" s="3">
        <v>30</v>
      </c>
      <c r="E352" s="3" t="s">
        <v>250</v>
      </c>
      <c r="F352" s="4" t="s">
        <v>40</v>
      </c>
      <c r="G352" s="4" t="s">
        <v>23</v>
      </c>
      <c r="H352" t="s">
        <v>30</v>
      </c>
      <c r="I352" s="3">
        <v>5</v>
      </c>
      <c r="J352" s="5">
        <v>8024</v>
      </c>
      <c r="K352" s="7">
        <v>40120</v>
      </c>
      <c r="L352" s="6">
        <v>45294</v>
      </c>
      <c r="M352" s="8" t="str">
        <f>IF(K352&gt;10000,"High",IF(K352&gt;5000,"Medium","Low"))</f>
        <v>High</v>
      </c>
      <c r="N352" s="4" t="s">
        <v>240</v>
      </c>
      <c r="O352" s="3">
        <v>1</v>
      </c>
      <c r="P352" s="3">
        <v>2024</v>
      </c>
      <c r="T352" s="4"/>
      <c r="X352"/>
      <c r="Y352" s="3"/>
      <c r="AA352"/>
    </row>
    <row r="353" spans="1:27" x14ac:dyDescent="0.3">
      <c r="A353" s="3">
        <v>1669</v>
      </c>
      <c r="B353" s="4" t="s">
        <v>46</v>
      </c>
      <c r="C353" s="4" t="str">
        <f>IF(D353="","Unknown",IF(D353&lt;20,"Teen",IF(D353&lt;40,"Adult","Senior")))</f>
        <v>Adult</v>
      </c>
      <c r="D353" s="3">
        <v>35</v>
      </c>
      <c r="E353" s="3" t="s">
        <v>249</v>
      </c>
      <c r="F353" s="4" t="s">
        <v>40</v>
      </c>
      <c r="G353" s="4" t="s">
        <v>55</v>
      </c>
      <c r="H353" t="s">
        <v>36</v>
      </c>
      <c r="I353" s="3">
        <v>2</v>
      </c>
      <c r="J353" s="5">
        <v>1000</v>
      </c>
      <c r="K353" s="7">
        <v>2000</v>
      </c>
      <c r="L353" s="6">
        <v>45309</v>
      </c>
      <c r="M353" s="8" t="str">
        <f>IF(K353&gt;10000,"High",IF(K353&gt;5000,"Medium","Low"))</f>
        <v>Low</v>
      </c>
      <c r="N353" s="4" t="s">
        <v>242</v>
      </c>
      <c r="O353" s="3">
        <v>1</v>
      </c>
      <c r="P353" s="3">
        <v>2024</v>
      </c>
      <c r="T353" s="4"/>
      <c r="X353"/>
      <c r="Y353" s="3"/>
      <c r="AA353"/>
    </row>
    <row r="354" spans="1:27" x14ac:dyDescent="0.3">
      <c r="A354" s="3">
        <v>1671</v>
      </c>
      <c r="B354" s="4" t="s">
        <v>69</v>
      </c>
      <c r="C354" s="4" t="str">
        <f>IF(D354="","Unknown",IF(D354&lt;20,"Teen",IF(D354&lt;40,"Adult","Senior")))</f>
        <v>Adult</v>
      </c>
      <c r="D354" s="3">
        <v>26</v>
      </c>
      <c r="E354" s="3" t="s">
        <v>250</v>
      </c>
      <c r="F354" s="4" t="s">
        <v>17</v>
      </c>
      <c r="G354" s="4" t="s">
        <v>55</v>
      </c>
      <c r="H354" t="s">
        <v>36</v>
      </c>
      <c r="I354" s="3">
        <v>2</v>
      </c>
      <c r="J354" s="5">
        <v>1000</v>
      </c>
      <c r="K354" s="7">
        <v>2000</v>
      </c>
      <c r="L354" s="6">
        <v>45313</v>
      </c>
      <c r="M354" s="8" t="str">
        <f>IF(K354&gt;10000,"High",IF(K354&gt;5000,"Medium","Low"))</f>
        <v>Low</v>
      </c>
      <c r="N354" s="4" t="s">
        <v>244</v>
      </c>
      <c r="O354" s="3">
        <v>1</v>
      </c>
      <c r="P354" s="3">
        <v>2024</v>
      </c>
      <c r="T354" s="4"/>
      <c r="X354"/>
      <c r="Y354" s="3"/>
      <c r="AA354"/>
    </row>
    <row r="355" spans="1:27" x14ac:dyDescent="0.3">
      <c r="A355" s="3">
        <v>1673</v>
      </c>
      <c r="B355" s="4" t="s">
        <v>32</v>
      </c>
      <c r="C355" s="4" t="str">
        <f>IF(D355="","Unknown",IF(D355&lt;20,"Teen",IF(D355&lt;40,"Adult","Senior")))</f>
        <v>Adult</v>
      </c>
      <c r="D355" s="3">
        <v>37</v>
      </c>
      <c r="E355" s="3" t="s">
        <v>249</v>
      </c>
      <c r="F355" s="4" t="s">
        <v>40</v>
      </c>
      <c r="G355" s="4" t="s">
        <v>55</v>
      </c>
      <c r="H355" t="s">
        <v>36</v>
      </c>
      <c r="I355" s="3">
        <v>2</v>
      </c>
      <c r="J355" s="5">
        <v>20033</v>
      </c>
      <c r="K355" s="7">
        <v>40066</v>
      </c>
      <c r="L355" s="6">
        <v>45302</v>
      </c>
      <c r="M355" s="8" t="str">
        <f>IF(K355&gt;10000,"High",IF(K355&gt;5000,"Medium","Low"))</f>
        <v>High</v>
      </c>
      <c r="N355" s="4" t="s">
        <v>241</v>
      </c>
      <c r="O355" s="3">
        <v>1</v>
      </c>
      <c r="P355" s="3">
        <v>2024</v>
      </c>
      <c r="T355" s="4"/>
      <c r="X355"/>
      <c r="Y355" s="3"/>
      <c r="AA355"/>
    </row>
    <row r="356" spans="1:27" x14ac:dyDescent="0.3">
      <c r="A356" s="3">
        <v>1674</v>
      </c>
      <c r="B356" s="4" t="s">
        <v>10</v>
      </c>
      <c r="C356" s="4" t="str">
        <f>IF(D356="","Unknown",IF(D356&lt;20,"Teen",IF(D356&lt;40,"Adult","Senior")))</f>
        <v>Adult</v>
      </c>
      <c r="D356" s="3">
        <v>30</v>
      </c>
      <c r="E356" s="3" t="s">
        <v>250</v>
      </c>
      <c r="F356" s="4" t="s">
        <v>17</v>
      </c>
      <c r="G356" s="4" t="s">
        <v>55</v>
      </c>
      <c r="H356" t="s">
        <v>36</v>
      </c>
      <c r="I356" s="3">
        <v>5</v>
      </c>
      <c r="J356" s="5">
        <v>1000</v>
      </c>
      <c r="K356" s="7">
        <v>5000</v>
      </c>
      <c r="L356" s="6">
        <v>45315</v>
      </c>
      <c r="M356" s="8" t="str">
        <f>IF(K356&gt;10000,"High",IF(K356&gt;5000,"Medium","Low"))</f>
        <v>Low</v>
      </c>
      <c r="N356" s="4" t="s">
        <v>244</v>
      </c>
      <c r="O356" s="3">
        <v>1</v>
      </c>
      <c r="P356" s="3">
        <v>2024</v>
      </c>
      <c r="T356" s="4"/>
      <c r="X356"/>
      <c r="Y356" s="3"/>
      <c r="AA356"/>
    </row>
    <row r="357" spans="1:27" x14ac:dyDescent="0.3">
      <c r="A357" s="3">
        <v>1675</v>
      </c>
      <c r="B357" s="4" t="s">
        <v>16</v>
      </c>
      <c r="C357" s="4" t="str">
        <f>IF(D357="","Unknown",IF(D357&lt;20,"Teen",IF(D357&lt;40,"Adult","Senior")))</f>
        <v>Adult</v>
      </c>
      <c r="D357" s="3">
        <v>32</v>
      </c>
      <c r="E357" s="3" t="s">
        <v>249</v>
      </c>
      <c r="F357" s="4" t="s">
        <v>40</v>
      </c>
      <c r="G357" s="4" t="s">
        <v>27</v>
      </c>
      <c r="H357" t="s">
        <v>13</v>
      </c>
      <c r="I357" s="3">
        <v>4</v>
      </c>
      <c r="J357" s="5">
        <v>16351</v>
      </c>
      <c r="K357" s="7">
        <v>65404</v>
      </c>
      <c r="L357" s="6">
        <v>45304</v>
      </c>
      <c r="M357" s="8" t="str">
        <f>IF(K357&gt;10000,"High",IF(K357&gt;5000,"Medium","Low"))</f>
        <v>High</v>
      </c>
      <c r="N357" s="4" t="s">
        <v>244</v>
      </c>
      <c r="O357" s="3">
        <v>1</v>
      </c>
      <c r="P357" s="3">
        <v>2024</v>
      </c>
      <c r="T357" s="4"/>
      <c r="X357"/>
      <c r="Y357" s="3"/>
      <c r="AA357"/>
    </row>
    <row r="358" spans="1:27" x14ac:dyDescent="0.3">
      <c r="A358" s="3">
        <v>1678</v>
      </c>
      <c r="B358" s="4" t="s">
        <v>64</v>
      </c>
      <c r="C358" s="4" t="str">
        <f>IF(D358="","Unknown",IF(D358&lt;20,"Teen",IF(D358&lt;40,"Adult","Senior")))</f>
        <v>Adult</v>
      </c>
      <c r="D358" s="3">
        <v>30</v>
      </c>
      <c r="E358" s="3" t="s">
        <v>250</v>
      </c>
      <c r="F358" s="4" t="s">
        <v>17</v>
      </c>
      <c r="G358" s="4" t="s">
        <v>55</v>
      </c>
      <c r="H358" t="s">
        <v>36</v>
      </c>
      <c r="I358" s="3">
        <v>4</v>
      </c>
      <c r="J358" s="5">
        <v>1000</v>
      </c>
      <c r="K358" s="7">
        <v>4000</v>
      </c>
      <c r="L358" s="6">
        <v>45311</v>
      </c>
      <c r="M358" s="8" t="str">
        <f>IF(K358&gt;10000,"High",IF(K358&gt;5000,"Medium","Low"))</f>
        <v>Low</v>
      </c>
      <c r="N358" s="4" t="s">
        <v>240</v>
      </c>
      <c r="O358" s="3">
        <v>1</v>
      </c>
      <c r="P358" s="3">
        <v>2024</v>
      </c>
      <c r="T358" s="4"/>
      <c r="X358"/>
      <c r="Y358" s="3"/>
      <c r="AA358"/>
    </row>
    <row r="359" spans="1:27" x14ac:dyDescent="0.3">
      <c r="A359" s="3">
        <v>1679</v>
      </c>
      <c r="B359" s="4" t="s">
        <v>32</v>
      </c>
      <c r="C359" s="4" t="str">
        <f>IF(D359="","Unknown",IF(D359&lt;20,"Teen",IF(D359&lt;40,"Adult","Senior")))</f>
        <v>Adult</v>
      </c>
      <c r="D359" s="3">
        <v>38</v>
      </c>
      <c r="E359" s="3" t="s">
        <v>249</v>
      </c>
      <c r="F359" s="4" t="s">
        <v>40</v>
      </c>
      <c r="G359" s="4" t="s">
        <v>41</v>
      </c>
      <c r="H359" t="s">
        <v>36</v>
      </c>
      <c r="I359" s="3">
        <v>2</v>
      </c>
      <c r="J359" s="5">
        <v>1000</v>
      </c>
      <c r="K359" s="7">
        <v>2000</v>
      </c>
      <c r="L359" s="6">
        <v>45299</v>
      </c>
      <c r="M359" s="8" t="str">
        <f>IF(K359&gt;10000,"High",IF(K359&gt;5000,"Medium","Low"))</f>
        <v>Low</v>
      </c>
      <c r="N359" s="4" t="s">
        <v>242</v>
      </c>
      <c r="O359" s="3">
        <v>1</v>
      </c>
      <c r="P359" s="3">
        <v>2024</v>
      </c>
      <c r="T359" s="4"/>
      <c r="X359"/>
      <c r="Y359" s="3"/>
      <c r="AA359"/>
    </row>
    <row r="360" spans="1:27" x14ac:dyDescent="0.3">
      <c r="A360" s="3">
        <v>1681</v>
      </c>
      <c r="B360" s="4" t="s">
        <v>48</v>
      </c>
      <c r="C360" s="4" t="str">
        <f>IF(D360="","Unknown",IF(D360&lt;20,"Teen",IF(D360&lt;40,"Adult","Senior")))</f>
        <v>Adult</v>
      </c>
      <c r="D360" s="3">
        <v>20</v>
      </c>
      <c r="E360" s="3" t="s">
        <v>251</v>
      </c>
      <c r="F360" s="4" t="s">
        <v>17</v>
      </c>
      <c r="G360" s="4" t="s">
        <v>41</v>
      </c>
      <c r="H360" t="s">
        <v>36</v>
      </c>
      <c r="I360" s="3">
        <v>2</v>
      </c>
      <c r="J360" s="5">
        <v>1000</v>
      </c>
      <c r="K360" s="7">
        <v>2000</v>
      </c>
      <c r="L360" s="6">
        <v>45302</v>
      </c>
      <c r="M360" s="8" t="str">
        <f>IF(K360&gt;10000,"High",IF(K360&gt;5000,"Medium","Low"))</f>
        <v>Low</v>
      </c>
      <c r="N360" s="4" t="s">
        <v>240</v>
      </c>
      <c r="O360" s="3">
        <v>1</v>
      </c>
      <c r="P360" s="3">
        <v>2024</v>
      </c>
      <c r="T360" s="4"/>
      <c r="X360"/>
      <c r="Y360" s="3"/>
      <c r="AA360"/>
    </row>
    <row r="361" spans="1:27" x14ac:dyDescent="0.3">
      <c r="A361" s="3">
        <v>1682</v>
      </c>
      <c r="B361" s="4" t="s">
        <v>68</v>
      </c>
      <c r="C361" s="4" t="str">
        <f>IF(D361="","Unknown",IF(D361&lt;20,"Teen",IF(D361&lt;40,"Adult","Senior")))</f>
        <v>Adult</v>
      </c>
      <c r="D361" s="3">
        <v>30</v>
      </c>
      <c r="E361" s="3" t="s">
        <v>250</v>
      </c>
      <c r="F361" s="4" t="s">
        <v>17</v>
      </c>
      <c r="G361" s="4" t="s">
        <v>55</v>
      </c>
      <c r="H361" t="s">
        <v>36</v>
      </c>
      <c r="I361" s="3">
        <v>1</v>
      </c>
      <c r="J361" s="5">
        <v>1000</v>
      </c>
      <c r="K361" s="7">
        <v>1000</v>
      </c>
      <c r="L361" s="6">
        <v>45314</v>
      </c>
      <c r="M361" s="8" t="str">
        <f>IF(K361&gt;10000,"High",IF(K361&gt;5000,"Medium","Low"))</f>
        <v>Low</v>
      </c>
      <c r="N361" s="4" t="s">
        <v>244</v>
      </c>
      <c r="O361" s="3">
        <v>1</v>
      </c>
      <c r="P361" s="3">
        <v>2024</v>
      </c>
      <c r="T361" s="4"/>
      <c r="X361"/>
      <c r="Y361" s="3"/>
      <c r="AA361"/>
    </row>
    <row r="362" spans="1:27" x14ac:dyDescent="0.3">
      <c r="A362" s="3">
        <v>1684</v>
      </c>
      <c r="B362" s="4" t="s">
        <v>38</v>
      </c>
      <c r="C362" s="4" t="str">
        <f>IF(D362="","Unknown",IF(D362&lt;20,"Teen",IF(D362&lt;40,"Adult","Senior")))</f>
        <v>Adult</v>
      </c>
      <c r="D362" s="3">
        <v>21</v>
      </c>
      <c r="E362" s="3" t="s">
        <v>250</v>
      </c>
      <c r="F362" s="4" t="s">
        <v>40</v>
      </c>
      <c r="G362" s="4" t="s">
        <v>12</v>
      </c>
      <c r="H362" t="s">
        <v>13</v>
      </c>
      <c r="I362" s="3">
        <v>2</v>
      </c>
      <c r="J362" s="5">
        <v>568</v>
      </c>
      <c r="K362" s="7">
        <v>1136</v>
      </c>
      <c r="L362" s="6">
        <v>45320</v>
      </c>
      <c r="M362" s="8" t="str">
        <f>IF(K362&gt;10000,"High",IF(K362&gt;5000,"Medium","Low"))</f>
        <v>Low</v>
      </c>
      <c r="N362" s="4" t="s">
        <v>244</v>
      </c>
      <c r="O362" s="3">
        <v>1</v>
      </c>
      <c r="P362" s="3">
        <v>2024</v>
      </c>
      <c r="T362" s="4"/>
      <c r="X362"/>
      <c r="Y362" s="3"/>
      <c r="AA362"/>
    </row>
    <row r="363" spans="1:27" x14ac:dyDescent="0.3">
      <c r="A363" s="3">
        <v>1686</v>
      </c>
      <c r="B363" s="4" t="s">
        <v>54</v>
      </c>
      <c r="C363" s="4" t="str">
        <f>IF(D363="","Unknown",IF(D363&lt;20,"Teen",IF(D363&lt;40,"Adult","Senior")))</f>
        <v>Adult</v>
      </c>
      <c r="D363" s="3">
        <v>30</v>
      </c>
      <c r="E363" s="3" t="s">
        <v>250</v>
      </c>
      <c r="F363" s="4" t="s">
        <v>40</v>
      </c>
      <c r="G363" s="4" t="s">
        <v>41</v>
      </c>
      <c r="H363" t="s">
        <v>36</v>
      </c>
      <c r="I363" s="3">
        <v>2</v>
      </c>
      <c r="J363" s="5">
        <v>43741</v>
      </c>
      <c r="K363" s="7">
        <v>87482</v>
      </c>
      <c r="L363" s="6">
        <v>45313</v>
      </c>
      <c r="M363" s="8" t="str">
        <f>IF(K363&gt;10000,"High",IF(K363&gt;5000,"Medium","Low"))</f>
        <v>High</v>
      </c>
      <c r="N363" s="4" t="s">
        <v>243</v>
      </c>
      <c r="O363" s="3">
        <v>1</v>
      </c>
      <c r="P363" s="3">
        <v>2024</v>
      </c>
      <c r="T363" s="4"/>
      <c r="X363"/>
      <c r="Y363" s="3"/>
      <c r="AA363"/>
    </row>
    <row r="364" spans="1:27" x14ac:dyDescent="0.3">
      <c r="A364" s="3">
        <v>1690</v>
      </c>
      <c r="B364" s="4" t="s">
        <v>32</v>
      </c>
      <c r="C364" s="4" t="str">
        <f>IF(D364="","Unknown",IF(D364&lt;20,"Teen",IF(D364&lt;40,"Adult","Senior")))</f>
        <v>Adult</v>
      </c>
      <c r="D364" s="3">
        <v>28</v>
      </c>
      <c r="E364" s="3" t="s">
        <v>250</v>
      </c>
      <c r="F364" s="4" t="s">
        <v>17</v>
      </c>
      <c r="G364" s="4" t="s">
        <v>51</v>
      </c>
      <c r="H364" t="s">
        <v>13</v>
      </c>
      <c r="I364" s="3">
        <v>2</v>
      </c>
      <c r="J364" s="5">
        <v>1000</v>
      </c>
      <c r="K364" s="7">
        <v>2000</v>
      </c>
      <c r="L364" s="6">
        <v>45314</v>
      </c>
      <c r="M364" s="8" t="str">
        <f>IF(K364&gt;10000,"High",IF(K364&gt;5000,"Medium","Low"))</f>
        <v>Low</v>
      </c>
      <c r="N364" s="4" t="s">
        <v>240</v>
      </c>
      <c r="O364" s="3">
        <v>1</v>
      </c>
      <c r="P364" s="3">
        <v>2024</v>
      </c>
      <c r="T364" s="4"/>
      <c r="X364"/>
      <c r="Y364" s="3"/>
      <c r="AA364"/>
    </row>
    <row r="365" spans="1:27" x14ac:dyDescent="0.3">
      <c r="A365" s="3">
        <v>1691</v>
      </c>
      <c r="B365" s="4" t="s">
        <v>78</v>
      </c>
      <c r="C365" s="4" t="str">
        <f>IF(D365="","Unknown",IF(D365&lt;20,"Teen",IF(D365&lt;40,"Adult","Senior")))</f>
        <v>Adult</v>
      </c>
      <c r="D365" s="3">
        <v>30</v>
      </c>
      <c r="E365" s="3" t="s">
        <v>250</v>
      </c>
      <c r="F365" s="4" t="s">
        <v>40</v>
      </c>
      <c r="G365" s="4" t="s">
        <v>12</v>
      </c>
      <c r="H365" t="s">
        <v>13</v>
      </c>
      <c r="I365" s="3">
        <v>1</v>
      </c>
      <c r="J365" s="5">
        <v>1000</v>
      </c>
      <c r="K365" s="7">
        <v>1000</v>
      </c>
      <c r="L365" s="6">
        <v>45310</v>
      </c>
      <c r="M365" s="8" t="str">
        <f>IF(K365&gt;10000,"High",IF(K365&gt;5000,"Medium","Low"))</f>
        <v>Low</v>
      </c>
      <c r="N365" s="4" t="s">
        <v>243</v>
      </c>
      <c r="O365" s="3">
        <v>1</v>
      </c>
      <c r="P365" s="3">
        <v>2024</v>
      </c>
      <c r="T365" s="4"/>
      <c r="X365"/>
      <c r="Y365" s="3"/>
      <c r="AA365"/>
    </row>
    <row r="366" spans="1:27" x14ac:dyDescent="0.3">
      <c r="A366" s="3">
        <v>1692</v>
      </c>
      <c r="B366" s="4" t="s">
        <v>16</v>
      </c>
      <c r="C366" s="4" t="str">
        <f>IF(D366="","Unknown",IF(D366&lt;20,"Teen",IF(D366&lt;40,"Adult","Senior")))</f>
        <v>Adult</v>
      </c>
      <c r="D366" s="3">
        <v>30</v>
      </c>
      <c r="E366" s="3" t="s">
        <v>250</v>
      </c>
      <c r="F366" s="4" t="s">
        <v>17</v>
      </c>
      <c r="G366" s="4" t="s">
        <v>51</v>
      </c>
      <c r="H366" t="s">
        <v>13</v>
      </c>
      <c r="I366" s="3">
        <v>2</v>
      </c>
      <c r="J366" s="5">
        <v>29477</v>
      </c>
      <c r="K366" s="7">
        <v>58954</v>
      </c>
      <c r="L366" s="6">
        <v>45318</v>
      </c>
      <c r="M366" s="8" t="str">
        <f>IF(K366&gt;10000,"High",IF(K366&gt;5000,"Medium","Low"))</f>
        <v>High</v>
      </c>
      <c r="N366" s="4" t="s">
        <v>242</v>
      </c>
      <c r="O366" s="3">
        <v>1</v>
      </c>
      <c r="P366" s="3">
        <v>2024</v>
      </c>
      <c r="T366" s="4"/>
      <c r="X366"/>
      <c r="Y366" s="3"/>
      <c r="AA366"/>
    </row>
    <row r="367" spans="1:27" x14ac:dyDescent="0.3">
      <c r="A367" s="3">
        <v>1693</v>
      </c>
      <c r="B367" s="4" t="s">
        <v>54</v>
      </c>
      <c r="C367" s="4" t="str">
        <f>IF(D367="","Unknown",IF(D367&lt;20,"Teen",IF(D367&lt;40,"Adult","Senior")))</f>
        <v>Adult</v>
      </c>
      <c r="D367" s="3">
        <v>30</v>
      </c>
      <c r="E367" s="3" t="s">
        <v>250</v>
      </c>
      <c r="F367" s="4" t="s">
        <v>17</v>
      </c>
      <c r="G367" s="4" t="s">
        <v>55</v>
      </c>
      <c r="H367" t="s">
        <v>36</v>
      </c>
      <c r="I367" s="3">
        <v>3</v>
      </c>
      <c r="J367" s="5">
        <v>1000</v>
      </c>
      <c r="K367" s="7">
        <v>3000</v>
      </c>
      <c r="L367" s="6">
        <v>45303</v>
      </c>
      <c r="M367" s="8" t="str">
        <f>IF(K367&gt;10000,"High",IF(K367&gt;5000,"Medium","Low"))</f>
        <v>Low</v>
      </c>
      <c r="N367" s="4" t="s">
        <v>242</v>
      </c>
      <c r="O367" s="3">
        <v>1</v>
      </c>
      <c r="P367" s="3">
        <v>2024</v>
      </c>
      <c r="T367" s="4"/>
      <c r="X367"/>
      <c r="Y367" s="3"/>
      <c r="AA367"/>
    </row>
    <row r="368" spans="1:27" x14ac:dyDescent="0.3">
      <c r="A368" s="3">
        <v>1695</v>
      </c>
      <c r="B368" s="4" t="s">
        <v>48</v>
      </c>
      <c r="C368" s="4" t="str">
        <f>IF(D368="","Unknown",IF(D368&lt;20,"Teen",IF(D368&lt;40,"Adult","Senior")))</f>
        <v>Adult</v>
      </c>
      <c r="D368" s="3">
        <v>30</v>
      </c>
      <c r="E368" s="3" t="s">
        <v>250</v>
      </c>
      <c r="F368" s="4" t="s">
        <v>40</v>
      </c>
      <c r="G368" s="4" t="s">
        <v>55</v>
      </c>
      <c r="H368" t="s">
        <v>36</v>
      </c>
      <c r="I368" s="3">
        <v>2</v>
      </c>
      <c r="J368" s="5">
        <v>1000</v>
      </c>
      <c r="K368" s="7">
        <v>2000</v>
      </c>
      <c r="L368" s="6">
        <v>45315</v>
      </c>
      <c r="M368" s="8" t="str">
        <f>IF(K368&gt;10000,"High",IF(K368&gt;5000,"Medium","Low"))</f>
        <v>Low</v>
      </c>
      <c r="N368" s="4" t="s">
        <v>241</v>
      </c>
      <c r="O368" s="3">
        <v>1</v>
      </c>
      <c r="P368" s="3">
        <v>2024</v>
      </c>
      <c r="T368" s="4"/>
      <c r="X368"/>
      <c r="Y368" s="3"/>
      <c r="AA368"/>
    </row>
    <row r="369" spans="1:27" x14ac:dyDescent="0.3">
      <c r="A369" s="3">
        <v>1696</v>
      </c>
      <c r="B369" s="4" t="s">
        <v>35</v>
      </c>
      <c r="C369" s="4" t="str">
        <f>IF(D369="","Unknown",IF(D369&lt;20,"Teen",IF(D369&lt;40,"Adult","Senior")))</f>
        <v>Adult</v>
      </c>
      <c r="D369" s="3">
        <v>26</v>
      </c>
      <c r="E369" s="3" t="s">
        <v>250</v>
      </c>
      <c r="F369" s="4" t="s">
        <v>40</v>
      </c>
      <c r="G369" s="4" t="s">
        <v>51</v>
      </c>
      <c r="H369" t="s">
        <v>13</v>
      </c>
      <c r="I369" s="3">
        <v>3</v>
      </c>
      <c r="J369" s="5">
        <v>41225</v>
      </c>
      <c r="K369" s="7">
        <v>123675</v>
      </c>
      <c r="L369" s="6">
        <v>45319</v>
      </c>
      <c r="M369" s="8" t="str">
        <f>IF(K369&gt;10000,"High",IF(K369&gt;5000,"Medium","Low"))</f>
        <v>High</v>
      </c>
      <c r="N369" s="4" t="s">
        <v>243</v>
      </c>
      <c r="O369" s="3">
        <v>1</v>
      </c>
      <c r="P369" s="3">
        <v>2024</v>
      </c>
      <c r="T369" s="4"/>
      <c r="X369"/>
      <c r="Y369" s="3"/>
      <c r="AA369"/>
    </row>
    <row r="370" spans="1:27" x14ac:dyDescent="0.3">
      <c r="A370" s="3">
        <v>1697</v>
      </c>
      <c r="B370" s="4" t="s">
        <v>25</v>
      </c>
      <c r="C370" s="4" t="str">
        <f>IF(D370="","Unknown",IF(D370&lt;20,"Teen",IF(D370&lt;40,"Adult","Senior")))</f>
        <v>Adult</v>
      </c>
      <c r="D370" s="3">
        <v>30</v>
      </c>
      <c r="E370" s="3" t="s">
        <v>250</v>
      </c>
      <c r="F370" s="4" t="s">
        <v>40</v>
      </c>
      <c r="G370" s="4" t="s">
        <v>44</v>
      </c>
      <c r="H370" t="s">
        <v>36</v>
      </c>
      <c r="I370" s="3">
        <v>5</v>
      </c>
      <c r="J370" s="5">
        <v>39119</v>
      </c>
      <c r="K370" s="7">
        <v>195595</v>
      </c>
      <c r="L370" s="6">
        <v>45298</v>
      </c>
      <c r="M370" s="8" t="str">
        <f>IF(K370&gt;10000,"High",IF(K370&gt;5000,"Medium","Low"))</f>
        <v>High</v>
      </c>
      <c r="N370" s="4" t="s">
        <v>241</v>
      </c>
      <c r="O370" s="3">
        <v>1</v>
      </c>
      <c r="P370" s="3">
        <v>2024</v>
      </c>
      <c r="T370" s="4"/>
      <c r="X370"/>
      <c r="Y370" s="3"/>
      <c r="AA370"/>
    </row>
    <row r="371" spans="1:27" x14ac:dyDescent="0.3">
      <c r="A371" s="3">
        <v>1700</v>
      </c>
      <c r="B371" s="4" t="s">
        <v>10</v>
      </c>
      <c r="C371" s="4" t="str">
        <f>IF(D371="","Unknown",IF(D371&lt;20,"Teen",IF(D371&lt;40,"Adult","Senior")))</f>
        <v>Adult</v>
      </c>
      <c r="D371" s="3">
        <v>27</v>
      </c>
      <c r="E371" s="3" t="s">
        <v>250</v>
      </c>
      <c r="F371" s="4" t="s">
        <v>40</v>
      </c>
      <c r="G371" s="4" t="s">
        <v>12</v>
      </c>
      <c r="H371" t="s">
        <v>13</v>
      </c>
      <c r="I371" s="3">
        <v>2</v>
      </c>
      <c r="J371" s="5">
        <v>1000</v>
      </c>
      <c r="K371" s="7">
        <v>2000</v>
      </c>
      <c r="L371" s="6">
        <v>45296</v>
      </c>
      <c r="M371" s="8" t="str">
        <f>IF(K371&gt;10000,"High",IF(K371&gt;5000,"Medium","Low"))</f>
        <v>Low</v>
      </c>
      <c r="N371" s="4" t="s">
        <v>241</v>
      </c>
      <c r="O371" s="3">
        <v>1</v>
      </c>
      <c r="P371" s="3">
        <v>2024</v>
      </c>
      <c r="T371" s="4"/>
      <c r="X371"/>
      <c r="Y371" s="3"/>
      <c r="AA371"/>
    </row>
    <row r="372" spans="1:27" x14ac:dyDescent="0.3">
      <c r="A372" s="3">
        <v>1701</v>
      </c>
      <c r="B372" s="4" t="s">
        <v>68</v>
      </c>
      <c r="C372" s="4" t="str">
        <f>IF(D372="","Unknown",IF(D372&lt;20,"Teen",IF(D372&lt;40,"Adult","Senior")))</f>
        <v>Adult</v>
      </c>
      <c r="D372" s="3">
        <v>30</v>
      </c>
      <c r="E372" s="3" t="s">
        <v>250</v>
      </c>
      <c r="F372" s="4" t="s">
        <v>17</v>
      </c>
      <c r="G372" s="4" t="s">
        <v>55</v>
      </c>
      <c r="H372" t="s">
        <v>36</v>
      </c>
      <c r="I372" s="3">
        <v>2</v>
      </c>
      <c r="J372" s="5">
        <v>7339</v>
      </c>
      <c r="K372" s="7">
        <v>14678</v>
      </c>
      <c r="L372" s="6">
        <v>45314</v>
      </c>
      <c r="M372" s="8" t="str">
        <f>IF(K372&gt;10000,"High",IF(K372&gt;5000,"Medium","Low"))</f>
        <v>High</v>
      </c>
      <c r="N372" s="4" t="s">
        <v>243</v>
      </c>
      <c r="O372" s="3">
        <v>1</v>
      </c>
      <c r="P372" s="3">
        <v>2024</v>
      </c>
      <c r="T372" s="4"/>
      <c r="X372"/>
      <c r="Y372" s="3"/>
      <c r="AA372"/>
    </row>
    <row r="373" spans="1:27" x14ac:dyDescent="0.3">
      <c r="A373" s="3">
        <v>1702</v>
      </c>
      <c r="B373" s="4" t="s">
        <v>35</v>
      </c>
      <c r="C373" s="4" t="str">
        <f>IF(D373="","Unknown",IF(D373&lt;20,"Teen",IF(D373&lt;40,"Adult","Senior")))</f>
        <v>Adult</v>
      </c>
      <c r="D373" s="3">
        <v>30</v>
      </c>
      <c r="E373" s="3" t="s">
        <v>250</v>
      </c>
      <c r="F373" s="4" t="s">
        <v>17</v>
      </c>
      <c r="G373" s="4" t="s">
        <v>12</v>
      </c>
      <c r="H373" t="s">
        <v>13</v>
      </c>
      <c r="I373" s="3">
        <v>3</v>
      </c>
      <c r="J373" s="5">
        <v>49745</v>
      </c>
      <c r="K373" s="7">
        <v>149235</v>
      </c>
      <c r="L373" s="6">
        <v>45300</v>
      </c>
      <c r="M373" s="8" t="str">
        <f>IF(K373&gt;10000,"High",IF(K373&gt;5000,"Medium","Low"))</f>
        <v>High</v>
      </c>
      <c r="N373" s="4" t="s">
        <v>244</v>
      </c>
      <c r="O373" s="3">
        <v>1</v>
      </c>
      <c r="P373" s="3">
        <v>2024</v>
      </c>
      <c r="T373" s="4"/>
      <c r="X373"/>
      <c r="Y373" s="3"/>
      <c r="AA373"/>
    </row>
    <row r="374" spans="1:27" x14ac:dyDescent="0.3">
      <c r="A374" s="3">
        <v>1703</v>
      </c>
      <c r="B374" s="4" t="s">
        <v>68</v>
      </c>
      <c r="C374" s="4" t="str">
        <f>IF(D374="","Unknown",IF(D374&lt;20,"Teen",IF(D374&lt;40,"Adult","Senior")))</f>
        <v>Adult</v>
      </c>
      <c r="D374" s="3">
        <v>30</v>
      </c>
      <c r="E374" s="3" t="s">
        <v>250</v>
      </c>
      <c r="F374" s="4" t="s">
        <v>17</v>
      </c>
      <c r="G374" s="4" t="s">
        <v>41</v>
      </c>
      <c r="H374" t="s">
        <v>36</v>
      </c>
      <c r="I374" s="3">
        <v>2</v>
      </c>
      <c r="J374" s="5">
        <v>44547</v>
      </c>
      <c r="K374" s="7">
        <v>89094</v>
      </c>
      <c r="L374" s="6">
        <v>45296</v>
      </c>
      <c r="M374" s="8" t="str">
        <f>IF(K374&gt;10000,"High",IF(K374&gt;5000,"Medium","Low"))</f>
        <v>High</v>
      </c>
      <c r="N374" s="4" t="s">
        <v>243</v>
      </c>
      <c r="O374" s="3">
        <v>1</v>
      </c>
      <c r="P374" s="3">
        <v>2024</v>
      </c>
      <c r="T374" s="4"/>
      <c r="X374"/>
      <c r="Y374" s="3"/>
      <c r="AA374"/>
    </row>
    <row r="375" spans="1:27" x14ac:dyDescent="0.3">
      <c r="A375" s="3">
        <v>1705</v>
      </c>
      <c r="B375" s="4" t="s">
        <v>59</v>
      </c>
      <c r="C375" s="4" t="str">
        <f>IF(D375="","Unknown",IF(D375&lt;20,"Teen",IF(D375&lt;40,"Adult","Senior")))</f>
        <v>Senior</v>
      </c>
      <c r="D375" s="3">
        <v>41</v>
      </c>
      <c r="E375" s="3" t="s">
        <v>249</v>
      </c>
      <c r="F375" s="4" t="s">
        <v>40</v>
      </c>
      <c r="G375" s="4" t="s">
        <v>51</v>
      </c>
      <c r="H375" t="s">
        <v>13</v>
      </c>
      <c r="I375" s="3">
        <v>2</v>
      </c>
      <c r="J375" s="5">
        <v>1000</v>
      </c>
      <c r="K375" s="7">
        <v>2000</v>
      </c>
      <c r="L375" s="6">
        <v>45303</v>
      </c>
      <c r="M375" s="8" t="str">
        <f>IF(K375&gt;10000,"High",IF(K375&gt;5000,"Medium","Low"))</f>
        <v>Low</v>
      </c>
      <c r="N375" s="4" t="s">
        <v>243</v>
      </c>
      <c r="O375" s="3">
        <v>1</v>
      </c>
      <c r="P375" s="3">
        <v>2024</v>
      </c>
      <c r="T375" s="4"/>
      <c r="X375"/>
      <c r="Y375" s="3"/>
      <c r="AA375"/>
    </row>
    <row r="376" spans="1:27" x14ac:dyDescent="0.3">
      <c r="A376" s="3">
        <v>1707</v>
      </c>
      <c r="B376" s="4" t="s">
        <v>64</v>
      </c>
      <c r="C376" s="4" t="str">
        <f>IF(D376="","Unknown",IF(D376&lt;20,"Teen",IF(D376&lt;40,"Adult","Senior")))</f>
        <v>Adult</v>
      </c>
      <c r="D376" s="3">
        <v>30</v>
      </c>
      <c r="E376" s="3" t="s">
        <v>250</v>
      </c>
      <c r="F376" s="4" t="s">
        <v>17</v>
      </c>
      <c r="G376" s="4" t="s">
        <v>41</v>
      </c>
      <c r="H376" t="s">
        <v>36</v>
      </c>
      <c r="I376" s="3">
        <v>4</v>
      </c>
      <c r="J376" s="5">
        <v>8133</v>
      </c>
      <c r="K376" s="7">
        <v>32532</v>
      </c>
      <c r="L376" s="6">
        <v>45294</v>
      </c>
      <c r="M376" s="8" t="str">
        <f>IF(K376&gt;10000,"High",IF(K376&gt;5000,"Medium","Low"))</f>
        <v>High</v>
      </c>
      <c r="N376" s="4" t="s">
        <v>240</v>
      </c>
      <c r="O376" s="3">
        <v>1</v>
      </c>
      <c r="P376" s="3">
        <v>2024</v>
      </c>
      <c r="T376" s="4"/>
      <c r="X376"/>
      <c r="Y376" s="3"/>
      <c r="AA376"/>
    </row>
    <row r="377" spans="1:27" x14ac:dyDescent="0.3">
      <c r="A377" s="3">
        <v>1708</v>
      </c>
      <c r="B377" s="4" t="s">
        <v>16</v>
      </c>
      <c r="C377" s="4" t="str">
        <f>IF(D377="","Unknown",IF(D377&lt;20,"Teen",IF(D377&lt;40,"Adult","Senior")))</f>
        <v>Teen</v>
      </c>
      <c r="D377" s="3">
        <v>19</v>
      </c>
      <c r="E377" s="3" t="s">
        <v>251</v>
      </c>
      <c r="F377" s="4" t="s">
        <v>17</v>
      </c>
      <c r="G377" s="4" t="s">
        <v>12</v>
      </c>
      <c r="H377" t="s">
        <v>13</v>
      </c>
      <c r="I377" s="3">
        <v>2</v>
      </c>
      <c r="J377" s="5">
        <v>45544</v>
      </c>
      <c r="K377" s="7">
        <v>91088</v>
      </c>
      <c r="L377" s="6">
        <v>45318</v>
      </c>
      <c r="M377" s="8" t="str">
        <f>IF(K377&gt;10000,"High",IF(K377&gt;5000,"Medium","Low"))</f>
        <v>High</v>
      </c>
      <c r="N377" s="4" t="s">
        <v>240</v>
      </c>
      <c r="O377" s="3">
        <v>1</v>
      </c>
      <c r="P377" s="3">
        <v>2024</v>
      </c>
      <c r="T377" s="4"/>
      <c r="X377"/>
      <c r="Y377" s="3"/>
      <c r="AA377"/>
    </row>
    <row r="378" spans="1:27" x14ac:dyDescent="0.3">
      <c r="A378" s="3">
        <v>1710</v>
      </c>
      <c r="B378" s="4" t="s">
        <v>68</v>
      </c>
      <c r="C378" s="4" t="str">
        <f>IF(D378="","Unknown",IF(D378&lt;20,"Teen",IF(D378&lt;40,"Adult","Senior")))</f>
        <v>Adult</v>
      </c>
      <c r="D378" s="3">
        <v>26</v>
      </c>
      <c r="E378" s="3" t="s">
        <v>250</v>
      </c>
      <c r="F378" s="4" t="s">
        <v>40</v>
      </c>
      <c r="G378" s="4" t="s">
        <v>51</v>
      </c>
      <c r="H378" t="s">
        <v>13</v>
      </c>
      <c r="I378" s="3">
        <v>2</v>
      </c>
      <c r="J378" s="5">
        <v>1000</v>
      </c>
      <c r="K378" s="7">
        <v>2000</v>
      </c>
      <c r="L378" s="6">
        <v>45297</v>
      </c>
      <c r="M378" s="8" t="str">
        <f>IF(K378&gt;10000,"High",IF(K378&gt;5000,"Medium","Low"))</f>
        <v>Low</v>
      </c>
      <c r="N378" s="4" t="s">
        <v>242</v>
      </c>
      <c r="O378" s="3">
        <v>1</v>
      </c>
      <c r="P378" s="3">
        <v>2024</v>
      </c>
      <c r="T378" s="4"/>
      <c r="X378"/>
      <c r="Y378" s="3"/>
      <c r="AA378"/>
    </row>
    <row r="379" spans="1:27" x14ac:dyDescent="0.3">
      <c r="A379" s="3">
        <v>1711</v>
      </c>
      <c r="B379" s="4" t="s">
        <v>64</v>
      </c>
      <c r="C379" s="4" t="str">
        <f>IF(D379="","Unknown",IF(D379&lt;20,"Teen",IF(D379&lt;40,"Adult","Senior")))</f>
        <v>Adult</v>
      </c>
      <c r="D379" s="3">
        <v>30</v>
      </c>
      <c r="E379" s="3" t="s">
        <v>250</v>
      </c>
      <c r="F379" s="4" t="s">
        <v>40</v>
      </c>
      <c r="G379" s="4" t="s">
        <v>18</v>
      </c>
      <c r="H379" t="s">
        <v>30</v>
      </c>
      <c r="I379" s="3">
        <v>1</v>
      </c>
      <c r="J379" s="5">
        <v>16566</v>
      </c>
      <c r="K379" s="7">
        <v>16566</v>
      </c>
      <c r="L379" s="6">
        <v>45311</v>
      </c>
      <c r="M379" s="8" t="str">
        <f>IF(K379&gt;10000,"High",IF(K379&gt;5000,"Medium","Low"))</f>
        <v>High</v>
      </c>
      <c r="N379" s="4" t="s">
        <v>241</v>
      </c>
      <c r="O379" s="3">
        <v>1</v>
      </c>
      <c r="P379" s="3">
        <v>2024</v>
      </c>
      <c r="T379" s="4"/>
      <c r="X379"/>
      <c r="Y379" s="3"/>
      <c r="AA379"/>
    </row>
    <row r="380" spans="1:27" x14ac:dyDescent="0.3">
      <c r="A380" s="3">
        <v>1714</v>
      </c>
      <c r="B380" s="4" t="s">
        <v>57</v>
      </c>
      <c r="C380" s="4" t="str">
        <f>IF(D380="","Unknown",IF(D380&lt;20,"Teen",IF(D380&lt;40,"Adult","Senior")))</f>
        <v>Adult</v>
      </c>
      <c r="D380" s="3">
        <v>27</v>
      </c>
      <c r="E380" s="3" t="s">
        <v>250</v>
      </c>
      <c r="F380" s="4" t="s">
        <v>40</v>
      </c>
      <c r="G380" s="4" t="s">
        <v>23</v>
      </c>
      <c r="H380" t="s">
        <v>30</v>
      </c>
      <c r="I380" s="3">
        <v>2</v>
      </c>
      <c r="J380" s="5">
        <v>1000</v>
      </c>
      <c r="K380" s="7">
        <v>2000</v>
      </c>
      <c r="L380" s="6">
        <v>45303</v>
      </c>
      <c r="M380" s="8" t="str">
        <f>IF(K380&gt;10000,"High",IF(K380&gt;5000,"Medium","Low"))</f>
        <v>Low</v>
      </c>
      <c r="N380" s="4" t="s">
        <v>243</v>
      </c>
      <c r="O380" s="3">
        <v>1</v>
      </c>
      <c r="P380" s="3">
        <v>2024</v>
      </c>
      <c r="T380" s="4"/>
      <c r="X380"/>
      <c r="Y380" s="3"/>
      <c r="AA380"/>
    </row>
    <row r="381" spans="1:27" x14ac:dyDescent="0.3">
      <c r="A381" s="3">
        <v>1715</v>
      </c>
      <c r="B381" s="4" t="s">
        <v>46</v>
      </c>
      <c r="C381" s="4" t="str">
        <f>IF(D381="","Unknown",IF(D381&lt;20,"Teen",IF(D381&lt;40,"Adult","Senior")))</f>
        <v>Adult</v>
      </c>
      <c r="D381" s="3">
        <v>30</v>
      </c>
      <c r="E381" s="3" t="s">
        <v>250</v>
      </c>
      <c r="F381" s="4" t="s">
        <v>40</v>
      </c>
      <c r="G381" s="4" t="s">
        <v>55</v>
      </c>
      <c r="H381" t="s">
        <v>36</v>
      </c>
      <c r="I381" s="3">
        <v>4</v>
      </c>
      <c r="J381" s="5">
        <v>1000</v>
      </c>
      <c r="K381" s="7">
        <v>4000</v>
      </c>
      <c r="L381" s="6">
        <v>45304</v>
      </c>
      <c r="M381" s="8" t="str">
        <f>IF(K381&gt;10000,"High",IF(K381&gt;5000,"Medium","Low"))</f>
        <v>Low</v>
      </c>
      <c r="N381" s="4" t="s">
        <v>242</v>
      </c>
      <c r="O381" s="3">
        <v>1</v>
      </c>
      <c r="P381" s="3">
        <v>2024</v>
      </c>
      <c r="T381" s="4"/>
      <c r="X381"/>
      <c r="Y381" s="3"/>
      <c r="AA381"/>
    </row>
    <row r="382" spans="1:27" x14ac:dyDescent="0.3">
      <c r="A382" s="3">
        <v>1718</v>
      </c>
      <c r="B382" s="4" t="s">
        <v>38</v>
      </c>
      <c r="C382" s="4" t="str">
        <f>IF(D382="","Unknown",IF(D382&lt;20,"Teen",IF(D382&lt;40,"Adult","Senior")))</f>
        <v>Adult</v>
      </c>
      <c r="D382" s="3">
        <v>30</v>
      </c>
      <c r="E382" s="3" t="s">
        <v>250</v>
      </c>
      <c r="F382" s="4" t="s">
        <v>40</v>
      </c>
      <c r="G382" s="4" t="s">
        <v>44</v>
      </c>
      <c r="H382" t="s">
        <v>36</v>
      </c>
      <c r="I382" s="3">
        <v>2</v>
      </c>
      <c r="J382" s="5">
        <v>1000</v>
      </c>
      <c r="K382" s="7">
        <v>2000</v>
      </c>
      <c r="L382" s="6">
        <v>45298</v>
      </c>
      <c r="M382" s="8" t="str">
        <f>IF(K382&gt;10000,"High",IF(K382&gt;5000,"Medium","Low"))</f>
        <v>Low</v>
      </c>
      <c r="N382" s="4" t="s">
        <v>244</v>
      </c>
      <c r="O382" s="3">
        <v>1</v>
      </c>
      <c r="P382" s="3">
        <v>2024</v>
      </c>
      <c r="T382" s="4"/>
      <c r="X382"/>
      <c r="Y382" s="3"/>
      <c r="AA382"/>
    </row>
    <row r="383" spans="1:27" x14ac:dyDescent="0.3">
      <c r="A383" s="3">
        <v>1719</v>
      </c>
      <c r="B383" s="4" t="s">
        <v>64</v>
      </c>
      <c r="C383" s="4" t="str">
        <f>IF(D383="","Unknown",IF(D383&lt;20,"Teen",IF(D383&lt;40,"Adult","Senior")))</f>
        <v>Adult</v>
      </c>
      <c r="D383" s="3">
        <v>30</v>
      </c>
      <c r="E383" s="3" t="s">
        <v>250</v>
      </c>
      <c r="F383" s="4" t="s">
        <v>17</v>
      </c>
      <c r="G383" s="4" t="s">
        <v>27</v>
      </c>
      <c r="H383" t="s">
        <v>13</v>
      </c>
      <c r="I383" s="3">
        <v>2</v>
      </c>
      <c r="J383" s="5">
        <v>1000</v>
      </c>
      <c r="K383" s="7">
        <v>2000</v>
      </c>
      <c r="L383" s="6">
        <v>45301</v>
      </c>
      <c r="M383" s="8" t="str">
        <f>IF(K383&gt;10000,"High",IF(K383&gt;5000,"Medium","Low"))</f>
        <v>Low</v>
      </c>
      <c r="N383" s="4" t="s">
        <v>240</v>
      </c>
      <c r="O383" s="3">
        <v>1</v>
      </c>
      <c r="P383" s="3">
        <v>2024</v>
      </c>
      <c r="T383" s="4"/>
      <c r="X383"/>
      <c r="Y383" s="3"/>
      <c r="AA383"/>
    </row>
    <row r="384" spans="1:27" x14ac:dyDescent="0.3">
      <c r="A384" s="3">
        <v>1720</v>
      </c>
      <c r="B384" s="4" t="s">
        <v>46</v>
      </c>
      <c r="C384" s="4" t="str">
        <f>IF(D384="","Unknown",IF(D384&lt;20,"Teen",IF(D384&lt;40,"Adult","Senior")))</f>
        <v>Adult</v>
      </c>
      <c r="D384" s="3">
        <v>30</v>
      </c>
      <c r="E384" s="3" t="s">
        <v>250</v>
      </c>
      <c r="F384" s="4" t="s">
        <v>17</v>
      </c>
      <c r="G384" s="4" t="s">
        <v>12</v>
      </c>
      <c r="H384" t="s">
        <v>13</v>
      </c>
      <c r="I384" s="3">
        <v>5</v>
      </c>
      <c r="J384" s="5">
        <v>1000</v>
      </c>
      <c r="K384" s="7">
        <v>5000</v>
      </c>
      <c r="L384" s="6">
        <v>45306</v>
      </c>
      <c r="M384" s="8" t="str">
        <f>IF(K384&gt;10000,"High",IF(K384&gt;5000,"Medium","Low"))</f>
        <v>Low</v>
      </c>
      <c r="N384" s="4" t="s">
        <v>240</v>
      </c>
      <c r="O384" s="3">
        <v>1</v>
      </c>
      <c r="P384" s="3">
        <v>2024</v>
      </c>
      <c r="T384" s="4"/>
      <c r="X384"/>
      <c r="Y384" s="3"/>
      <c r="AA384"/>
    </row>
    <row r="385" spans="1:27" x14ac:dyDescent="0.3">
      <c r="A385" s="3">
        <v>1722</v>
      </c>
      <c r="B385" s="4" t="s">
        <v>46</v>
      </c>
      <c r="C385" s="4" t="str">
        <f>IF(D385="","Unknown",IF(D385&lt;20,"Teen",IF(D385&lt;40,"Adult","Senior")))</f>
        <v>Adult</v>
      </c>
      <c r="D385" s="3">
        <v>32</v>
      </c>
      <c r="E385" s="3" t="s">
        <v>249</v>
      </c>
      <c r="F385" s="4" t="s">
        <v>40</v>
      </c>
      <c r="G385" s="4" t="s">
        <v>23</v>
      </c>
      <c r="H385" t="s">
        <v>30</v>
      </c>
      <c r="I385" s="3">
        <v>2</v>
      </c>
      <c r="J385" s="5">
        <v>25372</v>
      </c>
      <c r="K385" s="7">
        <v>50744</v>
      </c>
      <c r="L385" s="6">
        <v>45295</v>
      </c>
      <c r="M385" s="8" t="str">
        <f>IF(K385&gt;10000,"High",IF(K385&gt;5000,"Medium","Low"))</f>
        <v>High</v>
      </c>
      <c r="N385" s="4" t="s">
        <v>244</v>
      </c>
      <c r="O385" s="3">
        <v>1</v>
      </c>
      <c r="P385" s="3">
        <v>2024</v>
      </c>
      <c r="T385" s="4"/>
      <c r="X385"/>
      <c r="Y385" s="3"/>
      <c r="AA385"/>
    </row>
    <row r="386" spans="1:27" x14ac:dyDescent="0.3">
      <c r="A386" s="3">
        <v>1723</v>
      </c>
      <c r="B386" s="4" t="s">
        <v>54</v>
      </c>
      <c r="C386" s="4" t="str">
        <f>IF(D386="","Unknown",IF(D386&lt;20,"Teen",IF(D386&lt;40,"Adult","Senior")))</f>
        <v>Adult</v>
      </c>
      <c r="D386" s="3">
        <v>30</v>
      </c>
      <c r="E386" s="3" t="s">
        <v>250</v>
      </c>
      <c r="F386" s="4" t="s">
        <v>40</v>
      </c>
      <c r="G386" s="4" t="s">
        <v>23</v>
      </c>
      <c r="H386" t="s">
        <v>30</v>
      </c>
      <c r="I386" s="3">
        <v>2</v>
      </c>
      <c r="J386" s="5">
        <v>1000</v>
      </c>
      <c r="K386" s="7">
        <v>2000</v>
      </c>
      <c r="L386" s="6">
        <v>45306</v>
      </c>
      <c r="M386" s="8" t="str">
        <f>IF(K386&gt;10000,"High",IF(K386&gt;5000,"Medium","Low"))</f>
        <v>Low</v>
      </c>
      <c r="N386" s="4" t="s">
        <v>243</v>
      </c>
      <c r="O386" s="3">
        <v>1</v>
      </c>
      <c r="P386" s="3">
        <v>2024</v>
      </c>
      <c r="T386" s="4"/>
      <c r="X386"/>
      <c r="Y386" s="3"/>
      <c r="AA386"/>
    </row>
    <row r="387" spans="1:27" x14ac:dyDescent="0.3">
      <c r="A387" s="3">
        <v>1724</v>
      </c>
      <c r="B387" s="4" t="s">
        <v>48</v>
      </c>
      <c r="C387" s="4" t="str">
        <f>IF(D387="","Unknown",IF(D387&lt;20,"Teen",IF(D387&lt;40,"Adult","Senior")))</f>
        <v>Adult</v>
      </c>
      <c r="D387" s="3">
        <v>35</v>
      </c>
      <c r="E387" s="3" t="s">
        <v>249</v>
      </c>
      <c r="F387" s="4" t="s">
        <v>40</v>
      </c>
      <c r="G387" s="4" t="s">
        <v>41</v>
      </c>
      <c r="H387" t="s">
        <v>36</v>
      </c>
      <c r="I387" s="3">
        <v>2</v>
      </c>
      <c r="J387" s="5">
        <v>1000</v>
      </c>
      <c r="K387" s="7">
        <v>2000</v>
      </c>
      <c r="L387" s="6">
        <v>45297</v>
      </c>
      <c r="M387" s="8" t="str">
        <f>IF(K387&gt;10000,"High",IF(K387&gt;5000,"Medium","Low"))</f>
        <v>Low</v>
      </c>
      <c r="N387" s="4" t="s">
        <v>244</v>
      </c>
      <c r="O387" s="3">
        <v>1</v>
      </c>
      <c r="P387" s="3">
        <v>2024</v>
      </c>
      <c r="T387" s="4"/>
      <c r="X387"/>
      <c r="Y387" s="3"/>
      <c r="AA387"/>
    </row>
    <row r="388" spans="1:27" x14ac:dyDescent="0.3">
      <c r="A388" s="3">
        <v>1726</v>
      </c>
      <c r="B388" s="4" t="s">
        <v>35</v>
      </c>
      <c r="C388" s="4" t="str">
        <f>IF(D388="","Unknown",IF(D388&lt;20,"Teen",IF(D388&lt;40,"Adult","Senior")))</f>
        <v>Adult</v>
      </c>
      <c r="D388" s="3">
        <v>30</v>
      </c>
      <c r="E388" s="3" t="s">
        <v>250</v>
      </c>
      <c r="F388" s="4" t="s">
        <v>40</v>
      </c>
      <c r="G388" s="4" t="s">
        <v>41</v>
      </c>
      <c r="H388" t="s">
        <v>36</v>
      </c>
      <c r="I388" s="3">
        <v>4</v>
      </c>
      <c r="J388" s="5">
        <v>12653</v>
      </c>
      <c r="K388" s="7">
        <v>50612</v>
      </c>
      <c r="L388" s="6">
        <v>45321</v>
      </c>
      <c r="M388" s="8" t="str">
        <f>IF(K388&gt;10000,"High",IF(K388&gt;5000,"Medium","Low"))</f>
        <v>High</v>
      </c>
      <c r="N388" s="4" t="s">
        <v>241</v>
      </c>
      <c r="O388" s="3">
        <v>1</v>
      </c>
      <c r="P388" s="3">
        <v>2024</v>
      </c>
      <c r="T388" s="4"/>
      <c r="X388"/>
      <c r="Y388" s="3"/>
      <c r="AA388"/>
    </row>
    <row r="389" spans="1:27" x14ac:dyDescent="0.3">
      <c r="A389" s="3">
        <v>1727</v>
      </c>
      <c r="B389" s="4" t="s">
        <v>48</v>
      </c>
      <c r="C389" s="4" t="str">
        <f>IF(D389="","Unknown",IF(D389&lt;20,"Teen",IF(D389&lt;40,"Adult","Senior")))</f>
        <v>Adult</v>
      </c>
      <c r="D389" s="3">
        <v>30</v>
      </c>
      <c r="E389" s="3" t="s">
        <v>250</v>
      </c>
      <c r="F389" s="4" t="s">
        <v>40</v>
      </c>
      <c r="G389" s="4" t="s">
        <v>44</v>
      </c>
      <c r="H389" t="s">
        <v>36</v>
      </c>
      <c r="I389" s="3">
        <v>5</v>
      </c>
      <c r="J389" s="5">
        <v>1000</v>
      </c>
      <c r="K389" s="7">
        <v>5000</v>
      </c>
      <c r="L389" s="6">
        <v>45294</v>
      </c>
      <c r="M389" s="8" t="str">
        <f>IF(K389&gt;10000,"High",IF(K389&gt;5000,"Medium","Low"))</f>
        <v>Low</v>
      </c>
      <c r="N389" s="4" t="s">
        <v>242</v>
      </c>
      <c r="O389" s="3">
        <v>1</v>
      </c>
      <c r="P389" s="3">
        <v>2024</v>
      </c>
      <c r="T389" s="4"/>
      <c r="X389"/>
      <c r="Y389" s="3"/>
      <c r="AA389"/>
    </row>
    <row r="390" spans="1:27" x14ac:dyDescent="0.3">
      <c r="A390" s="3">
        <v>1728</v>
      </c>
      <c r="B390" s="4" t="s">
        <v>35</v>
      </c>
      <c r="C390" s="4" t="str">
        <f>IF(D390="","Unknown",IF(D390&lt;20,"Teen",IF(D390&lt;40,"Adult","Senior")))</f>
        <v>Senior</v>
      </c>
      <c r="D390" s="3">
        <v>45</v>
      </c>
      <c r="E390" s="3" t="s">
        <v>249</v>
      </c>
      <c r="F390" s="4" t="s">
        <v>17</v>
      </c>
      <c r="G390" s="4" t="s">
        <v>41</v>
      </c>
      <c r="H390" t="s">
        <v>36</v>
      </c>
      <c r="I390" s="3">
        <v>2</v>
      </c>
      <c r="J390" s="5">
        <v>48378</v>
      </c>
      <c r="K390" s="7">
        <v>96756</v>
      </c>
      <c r="L390" s="6">
        <v>45292</v>
      </c>
      <c r="M390" s="8" t="str">
        <f>IF(K390&gt;10000,"High",IF(K390&gt;5000,"Medium","Low"))</f>
        <v>High</v>
      </c>
      <c r="N390" s="4" t="s">
        <v>241</v>
      </c>
      <c r="O390" s="3">
        <v>1</v>
      </c>
      <c r="P390" s="3">
        <v>2024</v>
      </c>
      <c r="T390" s="4"/>
      <c r="X390"/>
      <c r="Y390" s="3"/>
      <c r="AA390"/>
    </row>
    <row r="391" spans="1:27" x14ac:dyDescent="0.3">
      <c r="A391" s="3">
        <v>1730</v>
      </c>
      <c r="B391" s="4" t="s">
        <v>68</v>
      </c>
      <c r="C391" s="4" t="str">
        <f>IF(D391="","Unknown",IF(D391&lt;20,"Teen",IF(D391&lt;40,"Adult","Senior")))</f>
        <v>Adult</v>
      </c>
      <c r="D391" s="3">
        <v>30</v>
      </c>
      <c r="E391" s="3" t="s">
        <v>250</v>
      </c>
      <c r="F391" s="4" t="s">
        <v>40</v>
      </c>
      <c r="G391" s="4" t="s">
        <v>44</v>
      </c>
      <c r="H391" t="s">
        <v>36</v>
      </c>
      <c r="I391" s="3">
        <v>2</v>
      </c>
      <c r="J391" s="5">
        <v>1000</v>
      </c>
      <c r="K391" s="7">
        <v>2000</v>
      </c>
      <c r="L391" s="6">
        <v>45295</v>
      </c>
      <c r="M391" s="8" t="str">
        <f>IF(K391&gt;10000,"High",IF(K391&gt;5000,"Medium","Low"))</f>
        <v>Low</v>
      </c>
      <c r="N391" s="4" t="s">
        <v>242</v>
      </c>
      <c r="O391" s="3">
        <v>1</v>
      </c>
      <c r="P391" s="3">
        <v>2024</v>
      </c>
      <c r="T391" s="4"/>
      <c r="X391"/>
      <c r="Y391" s="3"/>
      <c r="AA391"/>
    </row>
    <row r="392" spans="1:27" x14ac:dyDescent="0.3">
      <c r="A392" s="3">
        <v>1731</v>
      </c>
      <c r="B392" s="4" t="s">
        <v>38</v>
      </c>
      <c r="C392" s="4" t="str">
        <f>IF(D392="","Unknown",IF(D392&lt;20,"Teen",IF(D392&lt;40,"Adult","Senior")))</f>
        <v>Adult</v>
      </c>
      <c r="D392" s="3">
        <v>30</v>
      </c>
      <c r="E392" s="3" t="s">
        <v>250</v>
      </c>
      <c r="F392" s="4" t="s">
        <v>40</v>
      </c>
      <c r="G392" s="4" t="s">
        <v>44</v>
      </c>
      <c r="H392" t="s">
        <v>36</v>
      </c>
      <c r="I392" s="3">
        <v>2</v>
      </c>
      <c r="J392" s="5">
        <v>1000</v>
      </c>
      <c r="K392" s="7">
        <v>2000</v>
      </c>
      <c r="L392" s="6">
        <v>45315</v>
      </c>
      <c r="M392" s="8" t="str">
        <f>IF(K392&gt;10000,"High",IF(K392&gt;5000,"Medium","Low"))</f>
        <v>Low</v>
      </c>
      <c r="N392" s="4" t="s">
        <v>241</v>
      </c>
      <c r="O392" s="3">
        <v>1</v>
      </c>
      <c r="P392" s="3">
        <v>2024</v>
      </c>
      <c r="T392" s="4"/>
      <c r="X392"/>
      <c r="Y392" s="3"/>
      <c r="AA392"/>
    </row>
    <row r="393" spans="1:27" x14ac:dyDescent="0.3">
      <c r="A393" s="3">
        <v>1732</v>
      </c>
      <c r="B393" s="4" t="s">
        <v>35</v>
      </c>
      <c r="C393" s="4" t="str">
        <f>IF(D393="","Unknown",IF(D393&lt;20,"Teen",IF(D393&lt;40,"Adult","Senior")))</f>
        <v>Adult</v>
      </c>
      <c r="D393" s="3">
        <v>30</v>
      </c>
      <c r="E393" s="3" t="s">
        <v>250</v>
      </c>
      <c r="F393" s="4" t="s">
        <v>40</v>
      </c>
      <c r="G393" s="4" t="s">
        <v>44</v>
      </c>
      <c r="H393" t="s">
        <v>36</v>
      </c>
      <c r="I393" s="3">
        <v>2</v>
      </c>
      <c r="J393" s="5">
        <v>1000</v>
      </c>
      <c r="K393" s="7">
        <v>2000</v>
      </c>
      <c r="L393" s="6">
        <v>45294</v>
      </c>
      <c r="M393" s="8" t="str">
        <f>IF(K393&gt;10000,"High",IF(K393&gt;5000,"Medium","Low"))</f>
        <v>Low</v>
      </c>
      <c r="N393" s="4" t="s">
        <v>241</v>
      </c>
      <c r="O393" s="3">
        <v>1</v>
      </c>
      <c r="P393" s="3">
        <v>2024</v>
      </c>
      <c r="T393" s="4"/>
      <c r="X393"/>
      <c r="Y393" s="3"/>
      <c r="AA393"/>
    </row>
    <row r="394" spans="1:27" x14ac:dyDescent="0.3">
      <c r="A394" s="3">
        <v>1733</v>
      </c>
      <c r="B394" s="4" t="s">
        <v>48</v>
      </c>
      <c r="C394" s="4" t="str">
        <f>IF(D394="","Unknown",IF(D394&lt;20,"Teen",IF(D394&lt;40,"Adult","Senior")))</f>
        <v>Adult</v>
      </c>
      <c r="D394" s="3">
        <v>30</v>
      </c>
      <c r="E394" s="3" t="s">
        <v>250</v>
      </c>
      <c r="F394" s="4" t="s">
        <v>40</v>
      </c>
      <c r="G394" s="4" t="s">
        <v>41</v>
      </c>
      <c r="H394" t="s">
        <v>36</v>
      </c>
      <c r="I394" s="3">
        <v>2</v>
      </c>
      <c r="J394" s="5">
        <v>1000</v>
      </c>
      <c r="K394" s="7">
        <v>2000</v>
      </c>
      <c r="L394" s="6">
        <v>45305</v>
      </c>
      <c r="M394" s="8" t="str">
        <f>IF(K394&gt;10000,"High",IF(K394&gt;5000,"Medium","Low"))</f>
        <v>Low</v>
      </c>
      <c r="N394" s="4" t="s">
        <v>241</v>
      </c>
      <c r="O394" s="3">
        <v>1</v>
      </c>
      <c r="P394" s="3">
        <v>2024</v>
      </c>
      <c r="T394" s="4"/>
      <c r="X394"/>
      <c r="Y394" s="3"/>
      <c r="AA394"/>
    </row>
    <row r="395" spans="1:27" x14ac:dyDescent="0.3">
      <c r="A395" s="3">
        <v>1737</v>
      </c>
      <c r="B395" s="4" t="s">
        <v>59</v>
      </c>
      <c r="C395" s="4" t="str">
        <f>IF(D395="","Unknown",IF(D395&lt;20,"Teen",IF(D395&lt;40,"Adult","Senior")))</f>
        <v>Adult</v>
      </c>
      <c r="D395" s="3">
        <v>30</v>
      </c>
      <c r="E395" s="3" t="s">
        <v>250</v>
      </c>
      <c r="F395" s="4" t="s">
        <v>17</v>
      </c>
      <c r="G395" s="4" t="s">
        <v>51</v>
      </c>
      <c r="H395" t="s">
        <v>13</v>
      </c>
      <c r="I395" s="3">
        <v>2</v>
      </c>
      <c r="J395" s="5">
        <v>1000</v>
      </c>
      <c r="K395" s="7">
        <v>2000</v>
      </c>
      <c r="L395" s="6">
        <v>45315</v>
      </c>
      <c r="M395" s="8" t="str">
        <f>IF(K395&gt;10000,"High",IF(K395&gt;5000,"Medium","Low"))</f>
        <v>Low</v>
      </c>
      <c r="N395" s="4" t="s">
        <v>241</v>
      </c>
      <c r="O395" s="3">
        <v>1</v>
      </c>
      <c r="P395" s="3">
        <v>2024</v>
      </c>
      <c r="T395" s="4"/>
      <c r="X395"/>
      <c r="Y395" s="3"/>
      <c r="AA395"/>
    </row>
    <row r="396" spans="1:27" x14ac:dyDescent="0.3">
      <c r="A396" s="3">
        <v>1739</v>
      </c>
      <c r="B396" s="4" t="s">
        <v>35</v>
      </c>
      <c r="C396" s="4" t="str">
        <f>IF(D396="","Unknown",IF(D396&lt;20,"Teen",IF(D396&lt;40,"Adult","Senior")))</f>
        <v>Adult</v>
      </c>
      <c r="D396" s="3">
        <v>30</v>
      </c>
      <c r="E396" s="3" t="s">
        <v>250</v>
      </c>
      <c r="F396" s="4" t="s">
        <v>40</v>
      </c>
      <c r="G396" s="4" t="s">
        <v>23</v>
      </c>
      <c r="H396" t="s">
        <v>30</v>
      </c>
      <c r="I396" s="3">
        <v>1</v>
      </c>
      <c r="J396" s="5">
        <v>1000</v>
      </c>
      <c r="K396" s="7">
        <v>1000</v>
      </c>
      <c r="L396" s="6">
        <v>45297</v>
      </c>
      <c r="M396" s="8" t="str">
        <f>IF(K396&gt;10000,"High",IF(K396&gt;5000,"Medium","Low"))</f>
        <v>Low</v>
      </c>
      <c r="N396" s="4" t="s">
        <v>240</v>
      </c>
      <c r="O396" s="3">
        <v>1</v>
      </c>
      <c r="P396" s="3">
        <v>2024</v>
      </c>
      <c r="T396" s="4"/>
      <c r="X396"/>
      <c r="Y396" s="3"/>
      <c r="AA396"/>
    </row>
    <row r="397" spans="1:27" x14ac:dyDescent="0.3">
      <c r="A397" s="3">
        <v>1742</v>
      </c>
      <c r="B397" s="4" t="s">
        <v>16</v>
      </c>
      <c r="C397" s="4" t="str">
        <f>IF(D397="","Unknown",IF(D397&lt;20,"Teen",IF(D397&lt;40,"Adult","Senior")))</f>
        <v>Adult</v>
      </c>
      <c r="D397" s="3">
        <v>21</v>
      </c>
      <c r="E397" s="3" t="s">
        <v>250</v>
      </c>
      <c r="F397" s="4" t="s">
        <v>40</v>
      </c>
      <c r="G397" s="4" t="s">
        <v>41</v>
      </c>
      <c r="H397" t="s">
        <v>36</v>
      </c>
      <c r="I397" s="3">
        <v>1</v>
      </c>
      <c r="J397" s="5">
        <v>47253</v>
      </c>
      <c r="K397" s="7">
        <v>47253</v>
      </c>
      <c r="L397" s="6">
        <v>45293</v>
      </c>
      <c r="M397" s="8" t="str">
        <f>IF(K397&gt;10000,"High",IF(K397&gt;5000,"Medium","Low"))</f>
        <v>High</v>
      </c>
      <c r="N397" s="4" t="s">
        <v>241</v>
      </c>
      <c r="O397" s="3">
        <v>1</v>
      </c>
      <c r="P397" s="3">
        <v>2024</v>
      </c>
      <c r="T397" s="4"/>
      <c r="X397"/>
      <c r="Y397" s="3"/>
      <c r="AA397"/>
    </row>
    <row r="398" spans="1:27" x14ac:dyDescent="0.3">
      <c r="A398" s="3">
        <v>1743</v>
      </c>
      <c r="B398" s="4" t="s">
        <v>32</v>
      </c>
      <c r="C398" s="4" t="str">
        <f>IF(D398="","Unknown",IF(D398&lt;20,"Teen",IF(D398&lt;40,"Adult","Senior")))</f>
        <v>Adult</v>
      </c>
      <c r="D398" s="3">
        <v>33</v>
      </c>
      <c r="E398" s="3" t="s">
        <v>249</v>
      </c>
      <c r="F398" s="4" t="s">
        <v>17</v>
      </c>
      <c r="G398" s="4" t="s">
        <v>41</v>
      </c>
      <c r="H398" t="s">
        <v>36</v>
      </c>
      <c r="I398" s="3">
        <v>2</v>
      </c>
      <c r="J398" s="5">
        <v>1000</v>
      </c>
      <c r="K398" s="7">
        <v>2000</v>
      </c>
      <c r="L398" s="6">
        <v>45303</v>
      </c>
      <c r="M398" s="8" t="str">
        <f>IF(K398&gt;10000,"High",IF(K398&gt;5000,"Medium","Low"))</f>
        <v>Low</v>
      </c>
      <c r="N398" s="4" t="s">
        <v>243</v>
      </c>
      <c r="O398" s="3">
        <v>1</v>
      </c>
      <c r="P398" s="3">
        <v>2024</v>
      </c>
      <c r="T398" s="4"/>
      <c r="X398"/>
      <c r="Y398" s="3"/>
      <c r="AA398"/>
    </row>
    <row r="399" spans="1:27" x14ac:dyDescent="0.3">
      <c r="A399" s="3">
        <v>1747</v>
      </c>
      <c r="B399" s="4" t="s">
        <v>57</v>
      </c>
      <c r="C399" s="4" t="str">
        <f>IF(D399="","Unknown",IF(D399&lt;20,"Teen",IF(D399&lt;40,"Adult","Senior")))</f>
        <v>Adult</v>
      </c>
      <c r="D399" s="3">
        <v>39</v>
      </c>
      <c r="E399" s="3" t="s">
        <v>249</v>
      </c>
      <c r="F399" s="4" t="s">
        <v>40</v>
      </c>
      <c r="G399" s="4" t="s">
        <v>44</v>
      </c>
      <c r="H399" t="s">
        <v>36</v>
      </c>
      <c r="I399" s="3">
        <v>2</v>
      </c>
      <c r="J399" s="5">
        <v>1000</v>
      </c>
      <c r="K399" s="7">
        <v>2000</v>
      </c>
      <c r="L399" s="6">
        <v>45315</v>
      </c>
      <c r="M399" s="8" t="str">
        <f>IF(K399&gt;10000,"High",IF(K399&gt;5000,"Medium","Low"))</f>
        <v>Low</v>
      </c>
      <c r="N399" s="4" t="s">
        <v>242</v>
      </c>
      <c r="O399" s="3">
        <v>1</v>
      </c>
      <c r="P399" s="3">
        <v>2024</v>
      </c>
      <c r="T399" s="4"/>
      <c r="X399"/>
      <c r="Y399" s="3"/>
      <c r="AA399"/>
    </row>
    <row r="400" spans="1:27" x14ac:dyDescent="0.3">
      <c r="A400" s="3">
        <v>1748</v>
      </c>
      <c r="B400" s="4" t="s">
        <v>32</v>
      </c>
      <c r="C400" s="4" t="str">
        <f>IF(D400="","Unknown",IF(D400&lt;20,"Teen",IF(D400&lt;40,"Adult","Senior")))</f>
        <v>Adult</v>
      </c>
      <c r="D400" s="3">
        <v>32</v>
      </c>
      <c r="E400" s="3" t="s">
        <v>249</v>
      </c>
      <c r="F400" s="4" t="s">
        <v>17</v>
      </c>
      <c r="G400" s="4" t="s">
        <v>18</v>
      </c>
      <c r="H400" t="s">
        <v>30</v>
      </c>
      <c r="I400" s="3">
        <v>1</v>
      </c>
      <c r="J400" s="5">
        <v>17270</v>
      </c>
      <c r="K400" s="7">
        <v>17270</v>
      </c>
      <c r="L400" s="6">
        <v>45311</v>
      </c>
      <c r="M400" s="8" t="str">
        <f>IF(K400&gt;10000,"High",IF(K400&gt;5000,"Medium","Low"))</f>
        <v>High</v>
      </c>
      <c r="N400" s="4" t="s">
        <v>243</v>
      </c>
      <c r="O400" s="3">
        <v>1</v>
      </c>
      <c r="P400" s="3">
        <v>2024</v>
      </c>
      <c r="T400" s="4"/>
      <c r="X400"/>
      <c r="Y400" s="3"/>
      <c r="AA400"/>
    </row>
    <row r="401" spans="1:27" x14ac:dyDescent="0.3">
      <c r="A401" s="3">
        <v>1750</v>
      </c>
      <c r="B401" s="4" t="s">
        <v>59</v>
      </c>
      <c r="C401" s="4" t="str">
        <f>IF(D401="","Unknown",IF(D401&lt;20,"Teen",IF(D401&lt;40,"Adult","Senior")))</f>
        <v>Senior</v>
      </c>
      <c r="D401" s="3">
        <v>50</v>
      </c>
      <c r="E401" s="3" t="s">
        <v>249</v>
      </c>
      <c r="F401" s="4" t="s">
        <v>40</v>
      </c>
      <c r="G401" s="4" t="s">
        <v>23</v>
      </c>
      <c r="H401" t="s">
        <v>30</v>
      </c>
      <c r="I401" s="3">
        <v>2</v>
      </c>
      <c r="J401" s="5">
        <v>1000</v>
      </c>
      <c r="K401" s="7">
        <v>2000</v>
      </c>
      <c r="L401" s="6">
        <v>45296</v>
      </c>
      <c r="M401" s="8" t="str">
        <f>IF(K401&gt;10000,"High",IF(K401&gt;5000,"Medium","Low"))</f>
        <v>Low</v>
      </c>
      <c r="N401" s="4" t="s">
        <v>240</v>
      </c>
      <c r="O401" s="3">
        <v>1</v>
      </c>
      <c r="P401" s="3">
        <v>2024</v>
      </c>
      <c r="T401" s="4"/>
      <c r="X401"/>
      <c r="Y401" s="3"/>
      <c r="AA401"/>
    </row>
    <row r="402" spans="1:27" x14ac:dyDescent="0.3">
      <c r="A402" s="3">
        <v>1752</v>
      </c>
      <c r="B402" s="4" t="s">
        <v>54</v>
      </c>
      <c r="C402" s="4" t="str">
        <f>IF(D402="","Unknown",IF(D402&lt;20,"Teen",IF(D402&lt;40,"Adult","Senior")))</f>
        <v>Adult</v>
      </c>
      <c r="D402" s="3">
        <v>25</v>
      </c>
      <c r="E402" s="3" t="s">
        <v>250</v>
      </c>
      <c r="F402" s="4" t="s">
        <v>17</v>
      </c>
      <c r="G402" s="4" t="s">
        <v>12</v>
      </c>
      <c r="H402" t="s">
        <v>13</v>
      </c>
      <c r="I402" s="3">
        <v>2</v>
      </c>
      <c r="J402" s="5">
        <v>1000</v>
      </c>
      <c r="K402" s="7">
        <v>2000</v>
      </c>
      <c r="L402" s="6">
        <v>45307</v>
      </c>
      <c r="M402" s="8" t="str">
        <f>IF(K402&gt;10000,"High",IF(K402&gt;5000,"Medium","Low"))</f>
        <v>Low</v>
      </c>
      <c r="N402" s="4" t="s">
        <v>241</v>
      </c>
      <c r="O402" s="3">
        <v>1</v>
      </c>
      <c r="P402" s="3">
        <v>2024</v>
      </c>
      <c r="T402" s="4"/>
      <c r="X402"/>
      <c r="Y402" s="3"/>
      <c r="AA402"/>
    </row>
    <row r="403" spans="1:27" x14ac:dyDescent="0.3">
      <c r="A403" s="3">
        <v>1753</v>
      </c>
      <c r="B403" s="4" t="s">
        <v>64</v>
      </c>
      <c r="C403" s="4" t="str">
        <f>IF(D403="","Unknown",IF(D403&lt;20,"Teen",IF(D403&lt;40,"Adult","Senior")))</f>
        <v>Adult</v>
      </c>
      <c r="D403" s="3">
        <v>33</v>
      </c>
      <c r="E403" s="3" t="s">
        <v>249</v>
      </c>
      <c r="F403" s="4" t="s">
        <v>40</v>
      </c>
      <c r="G403" s="4" t="s">
        <v>51</v>
      </c>
      <c r="H403" t="s">
        <v>13</v>
      </c>
      <c r="I403" s="3">
        <v>2</v>
      </c>
      <c r="J403" s="5">
        <v>1000</v>
      </c>
      <c r="K403" s="7">
        <v>2000</v>
      </c>
      <c r="L403" s="6">
        <v>45295</v>
      </c>
      <c r="M403" s="8" t="str">
        <f>IF(K403&gt;10000,"High",IF(K403&gt;5000,"Medium","Low"))</f>
        <v>Low</v>
      </c>
      <c r="N403" s="4" t="s">
        <v>242</v>
      </c>
      <c r="O403" s="3">
        <v>1</v>
      </c>
      <c r="P403" s="3">
        <v>2024</v>
      </c>
      <c r="T403" s="4"/>
      <c r="X403"/>
      <c r="Y403" s="3"/>
      <c r="AA403"/>
    </row>
    <row r="404" spans="1:27" x14ac:dyDescent="0.3">
      <c r="A404" s="3">
        <v>1754</v>
      </c>
      <c r="B404" s="4" t="s">
        <v>73</v>
      </c>
      <c r="C404" s="4" t="str">
        <f>IF(D404="","Unknown",IF(D404&lt;20,"Teen",IF(D404&lt;40,"Adult","Senior")))</f>
        <v>Adult</v>
      </c>
      <c r="D404" s="3">
        <v>38</v>
      </c>
      <c r="E404" s="3" t="s">
        <v>249</v>
      </c>
      <c r="F404" s="4" t="s">
        <v>17</v>
      </c>
      <c r="G404" s="4" t="s">
        <v>12</v>
      </c>
      <c r="H404" t="s">
        <v>13</v>
      </c>
      <c r="I404" s="3">
        <v>5</v>
      </c>
      <c r="J404" s="5">
        <v>1000</v>
      </c>
      <c r="K404" s="7">
        <v>5000</v>
      </c>
      <c r="L404" s="6">
        <v>45306</v>
      </c>
      <c r="M404" s="8" t="str">
        <f>IF(K404&gt;10000,"High",IF(K404&gt;5000,"Medium","Low"))</f>
        <v>Low</v>
      </c>
      <c r="N404" s="4" t="s">
        <v>244</v>
      </c>
      <c r="O404" s="3">
        <v>1</v>
      </c>
      <c r="P404" s="3">
        <v>2024</v>
      </c>
      <c r="T404" s="4"/>
      <c r="X404"/>
      <c r="Y404" s="3"/>
      <c r="AA404"/>
    </row>
    <row r="405" spans="1:27" x14ac:dyDescent="0.3">
      <c r="A405" s="3">
        <v>1756</v>
      </c>
      <c r="B405" s="4" t="s">
        <v>62</v>
      </c>
      <c r="C405" s="4" t="str">
        <f>IF(D405="","Unknown",IF(D405&lt;20,"Teen",IF(D405&lt;40,"Adult","Senior")))</f>
        <v>Adult</v>
      </c>
      <c r="D405" s="3">
        <v>34</v>
      </c>
      <c r="E405" s="3" t="s">
        <v>249</v>
      </c>
      <c r="F405" s="4" t="s">
        <v>40</v>
      </c>
      <c r="G405" s="4" t="s">
        <v>55</v>
      </c>
      <c r="H405" t="s">
        <v>36</v>
      </c>
      <c r="I405" s="3">
        <v>5</v>
      </c>
      <c r="J405" s="5">
        <v>1000</v>
      </c>
      <c r="K405" s="7">
        <v>5000</v>
      </c>
      <c r="L405" s="6">
        <v>45318</v>
      </c>
      <c r="M405" s="8" t="str">
        <f>IF(K405&gt;10000,"High",IF(K405&gt;5000,"Medium","Low"))</f>
        <v>Low</v>
      </c>
      <c r="N405" s="4" t="s">
        <v>243</v>
      </c>
      <c r="O405" s="3">
        <v>1</v>
      </c>
      <c r="P405" s="3">
        <v>2024</v>
      </c>
      <c r="T405" s="4"/>
      <c r="X405"/>
      <c r="Y405" s="3"/>
      <c r="AA405"/>
    </row>
    <row r="406" spans="1:27" x14ac:dyDescent="0.3">
      <c r="A406" s="3">
        <v>1760</v>
      </c>
      <c r="B406" s="4" t="s">
        <v>62</v>
      </c>
      <c r="C406" s="4" t="str">
        <f>IF(D406="","Unknown",IF(D406&lt;20,"Teen",IF(D406&lt;40,"Adult","Senior")))</f>
        <v>Senior</v>
      </c>
      <c r="D406" s="3">
        <v>48</v>
      </c>
      <c r="E406" s="3" t="s">
        <v>249</v>
      </c>
      <c r="F406" s="4" t="s">
        <v>17</v>
      </c>
      <c r="G406" s="4" t="s">
        <v>44</v>
      </c>
      <c r="H406" t="s">
        <v>36</v>
      </c>
      <c r="I406" s="3">
        <v>2</v>
      </c>
      <c r="J406" s="5">
        <v>1000</v>
      </c>
      <c r="K406" s="7">
        <v>2000</v>
      </c>
      <c r="L406" s="6">
        <v>45306</v>
      </c>
      <c r="M406" s="8" t="str">
        <f>IF(K406&gt;10000,"High",IF(K406&gt;5000,"Medium","Low"))</f>
        <v>Low</v>
      </c>
      <c r="N406" s="4" t="s">
        <v>243</v>
      </c>
      <c r="O406" s="3">
        <v>1</v>
      </c>
      <c r="P406" s="3">
        <v>2024</v>
      </c>
      <c r="T406" s="4"/>
      <c r="X406"/>
      <c r="Y406" s="3"/>
      <c r="AA406"/>
    </row>
    <row r="407" spans="1:27" x14ac:dyDescent="0.3">
      <c r="A407" s="3">
        <v>1761</v>
      </c>
      <c r="B407" s="4" t="s">
        <v>10</v>
      </c>
      <c r="C407" s="4" t="str">
        <f>IF(D407="","Unknown",IF(D407&lt;20,"Teen",IF(D407&lt;40,"Adult","Senior")))</f>
        <v>Senior</v>
      </c>
      <c r="D407" s="3">
        <v>43</v>
      </c>
      <c r="E407" s="3" t="s">
        <v>249</v>
      </c>
      <c r="F407" s="4" t="s">
        <v>40</v>
      </c>
      <c r="G407" s="4" t="s">
        <v>55</v>
      </c>
      <c r="H407" t="s">
        <v>36</v>
      </c>
      <c r="I407" s="3">
        <v>5</v>
      </c>
      <c r="J407" s="5">
        <v>26837</v>
      </c>
      <c r="K407" s="7">
        <v>134185</v>
      </c>
      <c r="L407" s="6">
        <v>45321</v>
      </c>
      <c r="M407" s="8" t="str">
        <f>IF(K407&gt;10000,"High",IF(K407&gt;5000,"Medium","Low"))</f>
        <v>High</v>
      </c>
      <c r="N407" s="4" t="s">
        <v>240</v>
      </c>
      <c r="O407" s="3">
        <v>1</v>
      </c>
      <c r="P407" s="3">
        <v>2024</v>
      </c>
      <c r="T407" s="4"/>
      <c r="X407"/>
      <c r="Y407" s="3"/>
      <c r="AA407"/>
    </row>
    <row r="408" spans="1:27" x14ac:dyDescent="0.3">
      <c r="A408" s="3">
        <v>1762</v>
      </c>
      <c r="B408" s="4" t="s">
        <v>32</v>
      </c>
      <c r="C408" s="4" t="str">
        <f>IF(D408="","Unknown",IF(D408&lt;20,"Teen",IF(D408&lt;40,"Adult","Senior")))</f>
        <v>Adult</v>
      </c>
      <c r="D408" s="3">
        <v>30</v>
      </c>
      <c r="E408" s="3" t="s">
        <v>250</v>
      </c>
      <c r="F408" s="4" t="s">
        <v>40</v>
      </c>
      <c r="G408" s="4" t="s">
        <v>27</v>
      </c>
      <c r="H408" t="s">
        <v>13</v>
      </c>
      <c r="I408" s="3">
        <v>2</v>
      </c>
      <c r="J408" s="5">
        <v>1000</v>
      </c>
      <c r="K408" s="7">
        <v>2000</v>
      </c>
      <c r="L408" s="6">
        <v>45309</v>
      </c>
      <c r="M408" s="8" t="str">
        <f>IF(K408&gt;10000,"High",IF(K408&gt;5000,"Medium","Low"))</f>
        <v>Low</v>
      </c>
      <c r="N408" s="4" t="s">
        <v>240</v>
      </c>
      <c r="O408" s="3">
        <v>1</v>
      </c>
      <c r="P408" s="3">
        <v>2024</v>
      </c>
      <c r="T408" s="4"/>
      <c r="X408"/>
      <c r="Y408" s="3"/>
      <c r="AA408"/>
    </row>
    <row r="409" spans="1:27" x14ac:dyDescent="0.3">
      <c r="A409" s="3">
        <v>1763</v>
      </c>
      <c r="B409" s="4" t="s">
        <v>32</v>
      </c>
      <c r="C409" s="4" t="str">
        <f>IF(D409="","Unknown",IF(D409&lt;20,"Teen",IF(D409&lt;40,"Adult","Senior")))</f>
        <v>Adult</v>
      </c>
      <c r="D409" s="3">
        <v>30</v>
      </c>
      <c r="E409" s="3" t="s">
        <v>250</v>
      </c>
      <c r="F409" s="4" t="s">
        <v>40</v>
      </c>
      <c r="G409" s="4" t="s">
        <v>27</v>
      </c>
      <c r="H409" t="s">
        <v>13</v>
      </c>
      <c r="I409" s="3">
        <v>1</v>
      </c>
      <c r="J409" s="5">
        <v>29263</v>
      </c>
      <c r="K409" s="7">
        <v>29263</v>
      </c>
      <c r="L409" s="6">
        <v>45316</v>
      </c>
      <c r="M409" s="8" t="str">
        <f>IF(K409&gt;10000,"High",IF(K409&gt;5000,"Medium","Low"))</f>
        <v>High</v>
      </c>
      <c r="N409" s="4" t="s">
        <v>240</v>
      </c>
      <c r="O409" s="3">
        <v>1</v>
      </c>
      <c r="P409" s="3">
        <v>2024</v>
      </c>
      <c r="T409" s="4"/>
      <c r="X409"/>
      <c r="Y409" s="3"/>
      <c r="AA409"/>
    </row>
    <row r="410" spans="1:27" x14ac:dyDescent="0.3">
      <c r="A410" s="3">
        <v>1770</v>
      </c>
      <c r="B410" s="4" t="s">
        <v>48</v>
      </c>
      <c r="C410" s="4" t="str">
        <f>IF(D410="","Unknown",IF(D410&lt;20,"Teen",IF(D410&lt;40,"Adult","Senior")))</f>
        <v>Senior</v>
      </c>
      <c r="D410" s="3">
        <v>46</v>
      </c>
      <c r="E410" s="3" t="s">
        <v>249</v>
      </c>
      <c r="F410" s="4" t="s">
        <v>17</v>
      </c>
      <c r="G410" s="4" t="s">
        <v>55</v>
      </c>
      <c r="H410" t="s">
        <v>36</v>
      </c>
      <c r="I410" s="3">
        <v>4</v>
      </c>
      <c r="J410" s="5">
        <v>22909</v>
      </c>
      <c r="K410" s="7">
        <v>91636</v>
      </c>
      <c r="L410" s="6">
        <v>45318</v>
      </c>
      <c r="M410" s="8" t="str">
        <f>IF(K410&gt;10000,"High",IF(K410&gt;5000,"Medium","Low"))</f>
        <v>High</v>
      </c>
      <c r="N410" s="4" t="s">
        <v>244</v>
      </c>
      <c r="O410" s="3">
        <v>1</v>
      </c>
      <c r="P410" s="3">
        <v>2024</v>
      </c>
      <c r="T410" s="4"/>
      <c r="X410"/>
      <c r="Y410" s="3"/>
      <c r="AA410"/>
    </row>
    <row r="411" spans="1:27" x14ac:dyDescent="0.3">
      <c r="A411" s="3">
        <v>1773</v>
      </c>
      <c r="B411" s="4" t="s">
        <v>38</v>
      </c>
      <c r="C411" s="4" t="str">
        <f>IF(D411="","Unknown",IF(D411&lt;20,"Teen",IF(D411&lt;40,"Adult","Senior")))</f>
        <v>Adult</v>
      </c>
      <c r="D411" s="3">
        <v>21</v>
      </c>
      <c r="E411" s="3" t="s">
        <v>250</v>
      </c>
      <c r="F411" s="4" t="s">
        <v>40</v>
      </c>
      <c r="G411" s="4" t="s">
        <v>51</v>
      </c>
      <c r="H411" t="s">
        <v>13</v>
      </c>
      <c r="I411" s="3">
        <v>2</v>
      </c>
      <c r="J411" s="5">
        <v>1000</v>
      </c>
      <c r="K411" s="7">
        <v>2000</v>
      </c>
      <c r="L411" s="6">
        <v>45300</v>
      </c>
      <c r="M411" s="8" t="str">
        <f>IF(K411&gt;10000,"High",IF(K411&gt;5000,"Medium","Low"))</f>
        <v>Low</v>
      </c>
      <c r="N411" s="4" t="s">
        <v>241</v>
      </c>
      <c r="O411" s="3">
        <v>1</v>
      </c>
      <c r="P411" s="3">
        <v>2024</v>
      </c>
      <c r="T411" s="4"/>
      <c r="X411"/>
      <c r="Y411" s="3"/>
      <c r="AA411"/>
    </row>
    <row r="412" spans="1:27" x14ac:dyDescent="0.3">
      <c r="A412" s="3">
        <v>1774</v>
      </c>
      <c r="B412" s="4" t="s">
        <v>69</v>
      </c>
      <c r="C412" s="4" t="str">
        <f>IF(D412="","Unknown",IF(D412&lt;20,"Teen",IF(D412&lt;40,"Adult","Senior")))</f>
        <v>Adult</v>
      </c>
      <c r="D412" s="3">
        <v>30</v>
      </c>
      <c r="E412" s="3" t="s">
        <v>250</v>
      </c>
      <c r="F412" s="4" t="s">
        <v>17</v>
      </c>
      <c r="G412" s="4" t="s">
        <v>12</v>
      </c>
      <c r="H412" t="s">
        <v>13</v>
      </c>
      <c r="I412" s="3">
        <v>2</v>
      </c>
      <c r="J412" s="5">
        <v>1000</v>
      </c>
      <c r="K412" s="7">
        <v>2000</v>
      </c>
      <c r="L412" s="6">
        <v>45300</v>
      </c>
      <c r="M412" s="8" t="str">
        <f>IF(K412&gt;10000,"High",IF(K412&gt;5000,"Medium","Low"))</f>
        <v>Low</v>
      </c>
      <c r="N412" s="4" t="s">
        <v>243</v>
      </c>
      <c r="O412" s="3">
        <v>1</v>
      </c>
      <c r="P412" s="3">
        <v>2024</v>
      </c>
      <c r="T412" s="4"/>
      <c r="X412"/>
      <c r="Y412" s="3"/>
      <c r="AA412"/>
    </row>
    <row r="413" spans="1:27" x14ac:dyDescent="0.3">
      <c r="A413" s="3">
        <v>1776</v>
      </c>
      <c r="B413" s="4" t="s">
        <v>32</v>
      </c>
      <c r="C413" s="4" t="str">
        <f>IF(D413="","Unknown",IF(D413&lt;20,"Teen",IF(D413&lt;40,"Adult","Senior")))</f>
        <v>Adult</v>
      </c>
      <c r="D413" s="3">
        <v>30</v>
      </c>
      <c r="E413" s="3" t="s">
        <v>250</v>
      </c>
      <c r="F413" s="4" t="s">
        <v>40</v>
      </c>
      <c r="G413" s="4" t="s">
        <v>55</v>
      </c>
      <c r="H413" t="s">
        <v>36</v>
      </c>
      <c r="I413" s="3">
        <v>2</v>
      </c>
      <c r="J413" s="5">
        <v>5491</v>
      </c>
      <c r="K413" s="7">
        <v>10982</v>
      </c>
      <c r="L413" s="6">
        <v>45304</v>
      </c>
      <c r="M413" s="8" t="str">
        <f>IF(K413&gt;10000,"High",IF(K413&gt;5000,"Medium","Low"))</f>
        <v>High</v>
      </c>
      <c r="N413" s="4" t="s">
        <v>240</v>
      </c>
      <c r="O413" s="3">
        <v>1</v>
      </c>
      <c r="P413" s="3">
        <v>2024</v>
      </c>
      <c r="T413" s="4"/>
      <c r="X413"/>
      <c r="Y413" s="3"/>
      <c r="AA413"/>
    </row>
    <row r="414" spans="1:27" x14ac:dyDescent="0.3">
      <c r="A414" s="3">
        <v>1777</v>
      </c>
      <c r="B414" s="4" t="s">
        <v>46</v>
      </c>
      <c r="C414" s="4" t="str">
        <f>IF(D414="","Unknown",IF(D414&lt;20,"Teen",IF(D414&lt;40,"Adult","Senior")))</f>
        <v>Adult</v>
      </c>
      <c r="D414" s="3">
        <v>30</v>
      </c>
      <c r="E414" s="3" t="s">
        <v>250</v>
      </c>
      <c r="F414" s="4" t="s">
        <v>40</v>
      </c>
      <c r="G414" s="4" t="s">
        <v>23</v>
      </c>
      <c r="H414" t="s">
        <v>30</v>
      </c>
      <c r="I414" s="3">
        <v>5</v>
      </c>
      <c r="J414" s="5">
        <v>1000</v>
      </c>
      <c r="K414" s="7">
        <v>5000</v>
      </c>
      <c r="L414" s="6">
        <v>45293</v>
      </c>
      <c r="M414" s="8" t="str">
        <f>IF(K414&gt;10000,"High",IF(K414&gt;5000,"Medium","Low"))</f>
        <v>Low</v>
      </c>
      <c r="N414" s="4" t="s">
        <v>242</v>
      </c>
      <c r="O414" s="3">
        <v>1</v>
      </c>
      <c r="P414" s="3">
        <v>2024</v>
      </c>
      <c r="T414" s="4"/>
      <c r="X414"/>
      <c r="Y414" s="3"/>
      <c r="AA414"/>
    </row>
    <row r="415" spans="1:27" x14ac:dyDescent="0.3">
      <c r="A415" s="3">
        <v>1778</v>
      </c>
      <c r="B415" s="4" t="s">
        <v>54</v>
      </c>
      <c r="C415" s="4" t="str">
        <f>IF(D415="","Unknown",IF(D415&lt;20,"Teen",IF(D415&lt;40,"Adult","Senior")))</f>
        <v>Adult</v>
      </c>
      <c r="D415" s="3">
        <v>30</v>
      </c>
      <c r="E415" s="3" t="s">
        <v>250</v>
      </c>
      <c r="F415" s="4" t="s">
        <v>40</v>
      </c>
      <c r="G415" s="4" t="s">
        <v>12</v>
      </c>
      <c r="H415" t="s">
        <v>13</v>
      </c>
      <c r="I415" s="3">
        <v>1</v>
      </c>
      <c r="J415" s="5">
        <v>1000</v>
      </c>
      <c r="K415" s="7">
        <v>1000</v>
      </c>
      <c r="L415" s="6">
        <v>45299</v>
      </c>
      <c r="M415" s="8" t="str">
        <f>IF(K415&gt;10000,"High",IF(K415&gt;5000,"Medium","Low"))</f>
        <v>Low</v>
      </c>
      <c r="N415" s="4" t="s">
        <v>240</v>
      </c>
      <c r="O415" s="3">
        <v>1</v>
      </c>
      <c r="P415" s="3">
        <v>2024</v>
      </c>
      <c r="T415" s="4"/>
      <c r="X415"/>
      <c r="Y415" s="3"/>
      <c r="AA415"/>
    </row>
    <row r="416" spans="1:27" x14ac:dyDescent="0.3">
      <c r="A416" s="3">
        <v>1779</v>
      </c>
      <c r="B416" s="4" t="s">
        <v>10</v>
      </c>
      <c r="C416" s="4" t="str">
        <f>IF(D416="","Unknown",IF(D416&lt;20,"Teen",IF(D416&lt;40,"Adult","Senior")))</f>
        <v>Adult</v>
      </c>
      <c r="D416" s="3">
        <v>36</v>
      </c>
      <c r="E416" s="3" t="s">
        <v>249</v>
      </c>
      <c r="F416" s="4" t="s">
        <v>17</v>
      </c>
      <c r="G416" s="4" t="s">
        <v>44</v>
      </c>
      <c r="H416" t="s">
        <v>36</v>
      </c>
      <c r="I416" s="3">
        <v>2</v>
      </c>
      <c r="J416" s="5">
        <v>1000</v>
      </c>
      <c r="K416" s="7">
        <v>2000</v>
      </c>
      <c r="L416" s="6">
        <v>45301</v>
      </c>
      <c r="M416" s="8" t="str">
        <f>IF(K416&gt;10000,"High",IF(K416&gt;5000,"Medium","Low"))</f>
        <v>Low</v>
      </c>
      <c r="N416" s="4" t="s">
        <v>241</v>
      </c>
      <c r="O416" s="3">
        <v>1</v>
      </c>
      <c r="P416" s="3">
        <v>2024</v>
      </c>
      <c r="T416" s="4"/>
      <c r="X416"/>
      <c r="Y416" s="3"/>
      <c r="AA416"/>
    </row>
    <row r="417" spans="1:27" x14ac:dyDescent="0.3">
      <c r="A417" s="3">
        <v>1780</v>
      </c>
      <c r="B417" s="4" t="s">
        <v>38</v>
      </c>
      <c r="C417" s="4" t="str">
        <f>IF(D417="","Unknown",IF(D417&lt;20,"Teen",IF(D417&lt;40,"Adult","Senior")))</f>
        <v>Adult</v>
      </c>
      <c r="D417" s="3">
        <v>27</v>
      </c>
      <c r="E417" s="3" t="s">
        <v>250</v>
      </c>
      <c r="F417" s="4" t="s">
        <v>40</v>
      </c>
      <c r="G417" s="4" t="s">
        <v>44</v>
      </c>
      <c r="H417" t="s">
        <v>36</v>
      </c>
      <c r="I417" s="3">
        <v>2</v>
      </c>
      <c r="J417" s="5">
        <v>1000</v>
      </c>
      <c r="K417" s="7">
        <v>2000</v>
      </c>
      <c r="L417" s="6">
        <v>45308</v>
      </c>
      <c r="M417" s="8" t="str">
        <f>IF(K417&gt;10000,"High",IF(K417&gt;5000,"Medium","Low"))</f>
        <v>Low</v>
      </c>
      <c r="N417" s="4" t="s">
        <v>240</v>
      </c>
      <c r="O417" s="3">
        <v>1</v>
      </c>
      <c r="P417" s="3">
        <v>2024</v>
      </c>
      <c r="T417" s="4"/>
      <c r="X417"/>
      <c r="Y417" s="3"/>
      <c r="AA417"/>
    </row>
    <row r="418" spans="1:27" x14ac:dyDescent="0.3">
      <c r="A418" s="3">
        <v>1781</v>
      </c>
      <c r="B418" s="4" t="s">
        <v>16</v>
      </c>
      <c r="C418" s="4" t="str">
        <f>IF(D418="","Unknown",IF(D418&lt;20,"Teen",IF(D418&lt;40,"Adult","Senior")))</f>
        <v>Adult</v>
      </c>
      <c r="D418" s="3">
        <v>30</v>
      </c>
      <c r="E418" s="3" t="s">
        <v>250</v>
      </c>
      <c r="F418" s="4" t="s">
        <v>40</v>
      </c>
      <c r="G418" s="4" t="s">
        <v>23</v>
      </c>
      <c r="H418" t="s">
        <v>30</v>
      </c>
      <c r="I418" s="3">
        <v>1</v>
      </c>
      <c r="J418" s="5">
        <v>29555</v>
      </c>
      <c r="K418" s="7">
        <v>29555</v>
      </c>
      <c r="L418" s="6">
        <v>45305</v>
      </c>
      <c r="M418" s="8" t="str">
        <f>IF(K418&gt;10000,"High",IF(K418&gt;5000,"Medium","Low"))</f>
        <v>High</v>
      </c>
      <c r="N418" s="4" t="s">
        <v>241</v>
      </c>
      <c r="O418" s="3">
        <v>1</v>
      </c>
      <c r="P418" s="3">
        <v>2024</v>
      </c>
      <c r="T418" s="4"/>
      <c r="X418"/>
      <c r="Y418" s="3"/>
      <c r="AA418"/>
    </row>
    <row r="419" spans="1:27" x14ac:dyDescent="0.3">
      <c r="A419" s="3">
        <v>1782</v>
      </c>
      <c r="B419" s="4" t="s">
        <v>10</v>
      </c>
      <c r="C419" s="4" t="str">
        <f>IF(D419="","Unknown",IF(D419&lt;20,"Teen",IF(D419&lt;40,"Adult","Senior")))</f>
        <v>Adult</v>
      </c>
      <c r="D419" s="3">
        <v>30</v>
      </c>
      <c r="E419" s="3" t="s">
        <v>250</v>
      </c>
      <c r="F419" s="4" t="s">
        <v>17</v>
      </c>
      <c r="G419" s="4" t="s">
        <v>44</v>
      </c>
      <c r="H419" t="s">
        <v>36</v>
      </c>
      <c r="I419" s="3">
        <v>3</v>
      </c>
      <c r="J419" s="5">
        <v>1000</v>
      </c>
      <c r="K419" s="7">
        <v>3000</v>
      </c>
      <c r="L419" s="6">
        <v>45314</v>
      </c>
      <c r="M419" s="8" t="str">
        <f>IF(K419&gt;10000,"High",IF(K419&gt;5000,"Medium","Low"))</f>
        <v>Low</v>
      </c>
      <c r="N419" s="4" t="s">
        <v>240</v>
      </c>
      <c r="O419" s="3">
        <v>1</v>
      </c>
      <c r="P419" s="3">
        <v>2024</v>
      </c>
      <c r="T419" s="4"/>
      <c r="X419"/>
      <c r="Y419" s="3"/>
      <c r="AA419"/>
    </row>
    <row r="420" spans="1:27" x14ac:dyDescent="0.3">
      <c r="A420" s="3">
        <v>1784</v>
      </c>
      <c r="B420" s="4" t="s">
        <v>62</v>
      </c>
      <c r="C420" s="4" t="str">
        <f>IF(D420="","Unknown",IF(D420&lt;20,"Teen",IF(D420&lt;40,"Adult","Senior")))</f>
        <v>Adult</v>
      </c>
      <c r="D420" s="3">
        <v>30</v>
      </c>
      <c r="E420" s="3" t="s">
        <v>250</v>
      </c>
      <c r="F420" s="4" t="s">
        <v>17</v>
      </c>
      <c r="G420" s="4" t="s">
        <v>18</v>
      </c>
      <c r="H420" t="s">
        <v>30</v>
      </c>
      <c r="I420" s="3">
        <v>2</v>
      </c>
      <c r="J420" s="5">
        <v>1000</v>
      </c>
      <c r="K420" s="7">
        <v>2000</v>
      </c>
      <c r="L420" s="6">
        <v>45318</v>
      </c>
      <c r="M420" s="8" t="str">
        <f>IF(K420&gt;10000,"High",IF(K420&gt;5000,"Medium","Low"))</f>
        <v>Low</v>
      </c>
      <c r="N420" s="4" t="s">
        <v>241</v>
      </c>
      <c r="O420" s="3">
        <v>1</v>
      </c>
      <c r="P420" s="3">
        <v>2024</v>
      </c>
      <c r="T420" s="4"/>
      <c r="X420"/>
      <c r="Y420" s="3"/>
      <c r="AA420"/>
    </row>
    <row r="421" spans="1:27" x14ac:dyDescent="0.3">
      <c r="A421" s="3">
        <v>1785</v>
      </c>
      <c r="B421" s="4" t="s">
        <v>68</v>
      </c>
      <c r="C421" s="4" t="str">
        <f>IF(D421="","Unknown",IF(D421&lt;20,"Teen",IF(D421&lt;40,"Adult","Senior")))</f>
        <v>Adult</v>
      </c>
      <c r="D421" s="3">
        <v>30</v>
      </c>
      <c r="E421" s="3" t="s">
        <v>250</v>
      </c>
      <c r="F421" s="4" t="s">
        <v>17</v>
      </c>
      <c r="G421" s="4" t="s">
        <v>41</v>
      </c>
      <c r="H421" t="s">
        <v>36</v>
      </c>
      <c r="I421" s="3">
        <v>1</v>
      </c>
      <c r="J421" s="5">
        <v>1000</v>
      </c>
      <c r="K421" s="7">
        <v>1000</v>
      </c>
      <c r="L421" s="6">
        <v>45301</v>
      </c>
      <c r="M421" s="8" t="str">
        <f>IF(K421&gt;10000,"High",IF(K421&gt;5000,"Medium","Low"))</f>
        <v>Low</v>
      </c>
      <c r="N421" s="4" t="s">
        <v>240</v>
      </c>
      <c r="O421" s="3">
        <v>1</v>
      </c>
      <c r="P421" s="3">
        <v>2024</v>
      </c>
      <c r="T421" s="4"/>
      <c r="X421"/>
      <c r="Y421" s="3"/>
      <c r="AA421"/>
    </row>
    <row r="422" spans="1:27" x14ac:dyDescent="0.3">
      <c r="A422" s="3">
        <v>1788</v>
      </c>
      <c r="B422" s="4" t="s">
        <v>57</v>
      </c>
      <c r="C422" s="4" t="str">
        <f>IF(D422="","Unknown",IF(D422&lt;20,"Teen",IF(D422&lt;40,"Adult","Senior")))</f>
        <v>Adult</v>
      </c>
      <c r="D422" s="3">
        <v>30</v>
      </c>
      <c r="E422" s="3" t="s">
        <v>250</v>
      </c>
      <c r="F422" s="4" t="s">
        <v>17</v>
      </c>
      <c r="G422" s="4" t="s">
        <v>12</v>
      </c>
      <c r="H422" t="s">
        <v>13</v>
      </c>
      <c r="I422" s="3">
        <v>4</v>
      </c>
      <c r="J422" s="5">
        <v>1000</v>
      </c>
      <c r="K422" s="7">
        <v>4000</v>
      </c>
      <c r="L422" s="6">
        <v>45310</v>
      </c>
      <c r="M422" s="8" t="str">
        <f>IF(K422&gt;10000,"High",IF(K422&gt;5000,"Medium","Low"))</f>
        <v>Low</v>
      </c>
      <c r="N422" s="4" t="s">
        <v>244</v>
      </c>
      <c r="O422" s="3">
        <v>1</v>
      </c>
      <c r="P422" s="3">
        <v>2024</v>
      </c>
      <c r="T422" s="4"/>
      <c r="X422"/>
      <c r="Y422" s="3"/>
      <c r="AA422"/>
    </row>
    <row r="423" spans="1:27" x14ac:dyDescent="0.3">
      <c r="A423" s="3">
        <v>1791</v>
      </c>
      <c r="B423" s="4" t="s">
        <v>25</v>
      </c>
      <c r="C423" s="4" t="str">
        <f>IF(D423="","Unknown",IF(D423&lt;20,"Teen",IF(D423&lt;40,"Adult","Senior")))</f>
        <v>Adult</v>
      </c>
      <c r="D423" s="3">
        <v>32</v>
      </c>
      <c r="E423" s="3" t="s">
        <v>249</v>
      </c>
      <c r="F423" s="4" t="s">
        <v>40</v>
      </c>
      <c r="G423" s="4" t="s">
        <v>51</v>
      </c>
      <c r="H423" t="s">
        <v>13</v>
      </c>
      <c r="I423" s="3">
        <v>3</v>
      </c>
      <c r="J423" s="5">
        <v>1000</v>
      </c>
      <c r="K423" s="7">
        <v>3000</v>
      </c>
      <c r="L423" s="6">
        <v>45295</v>
      </c>
      <c r="M423" s="8" t="str">
        <f>IF(K423&gt;10000,"High",IF(K423&gt;5000,"Medium","Low"))</f>
        <v>Low</v>
      </c>
      <c r="N423" s="4" t="s">
        <v>244</v>
      </c>
      <c r="O423" s="3">
        <v>1</v>
      </c>
      <c r="P423" s="3">
        <v>2024</v>
      </c>
      <c r="T423" s="4"/>
      <c r="X423"/>
      <c r="Y423" s="3"/>
      <c r="AA423"/>
    </row>
    <row r="424" spans="1:27" x14ac:dyDescent="0.3">
      <c r="A424" s="3">
        <v>1792</v>
      </c>
      <c r="B424" s="4" t="s">
        <v>78</v>
      </c>
      <c r="C424" s="4" t="str">
        <f>IF(D424="","Unknown",IF(D424&lt;20,"Teen",IF(D424&lt;40,"Adult","Senior")))</f>
        <v>Adult</v>
      </c>
      <c r="D424" s="3">
        <v>31</v>
      </c>
      <c r="E424" s="3" t="s">
        <v>249</v>
      </c>
      <c r="F424" s="4" t="s">
        <v>40</v>
      </c>
      <c r="G424" s="4" t="s">
        <v>27</v>
      </c>
      <c r="H424" t="s">
        <v>13</v>
      </c>
      <c r="I424" s="3">
        <v>2</v>
      </c>
      <c r="J424" s="5">
        <v>13908</v>
      </c>
      <c r="K424" s="7">
        <v>27816</v>
      </c>
      <c r="L424" s="6">
        <v>45314</v>
      </c>
      <c r="M424" s="8" t="str">
        <f>IF(K424&gt;10000,"High",IF(K424&gt;5000,"Medium","Low"))</f>
        <v>High</v>
      </c>
      <c r="N424" s="4" t="s">
        <v>241</v>
      </c>
      <c r="O424" s="3">
        <v>1</v>
      </c>
      <c r="P424" s="3">
        <v>2024</v>
      </c>
      <c r="T424" s="4"/>
      <c r="X424"/>
      <c r="Y424" s="3"/>
      <c r="AA424"/>
    </row>
    <row r="425" spans="1:27" x14ac:dyDescent="0.3">
      <c r="A425" s="3">
        <v>1793</v>
      </c>
      <c r="B425" s="4" t="s">
        <v>68</v>
      </c>
      <c r="C425" s="4" t="str">
        <f>IF(D425="","Unknown",IF(D425&lt;20,"Teen",IF(D425&lt;40,"Adult","Senior")))</f>
        <v>Adult</v>
      </c>
      <c r="D425" s="3">
        <v>30</v>
      </c>
      <c r="E425" s="3" t="s">
        <v>250</v>
      </c>
      <c r="F425" s="4" t="s">
        <v>40</v>
      </c>
      <c r="G425" s="4" t="s">
        <v>55</v>
      </c>
      <c r="H425" t="s">
        <v>36</v>
      </c>
      <c r="I425" s="3">
        <v>2</v>
      </c>
      <c r="J425" s="5">
        <v>1000</v>
      </c>
      <c r="K425" s="7">
        <v>2000</v>
      </c>
      <c r="L425" s="6">
        <v>45298</v>
      </c>
      <c r="M425" s="8" t="str">
        <f>IF(K425&gt;10000,"High",IF(K425&gt;5000,"Medium","Low"))</f>
        <v>Low</v>
      </c>
      <c r="N425" s="4" t="s">
        <v>241</v>
      </c>
      <c r="O425" s="3">
        <v>1</v>
      </c>
      <c r="P425" s="3">
        <v>2024</v>
      </c>
      <c r="T425" s="4"/>
      <c r="X425"/>
      <c r="Y425" s="3"/>
      <c r="AA425"/>
    </row>
    <row r="426" spans="1:27" x14ac:dyDescent="0.3">
      <c r="A426" s="3">
        <v>1794</v>
      </c>
      <c r="B426" s="4" t="s">
        <v>62</v>
      </c>
      <c r="C426" s="4" t="str">
        <f>IF(D426="","Unknown",IF(D426&lt;20,"Teen",IF(D426&lt;40,"Adult","Senior")))</f>
        <v>Adult</v>
      </c>
      <c r="D426" s="3">
        <v>25</v>
      </c>
      <c r="E426" s="3" t="s">
        <v>250</v>
      </c>
      <c r="F426" s="4" t="s">
        <v>40</v>
      </c>
      <c r="G426" s="4" t="s">
        <v>51</v>
      </c>
      <c r="H426" t="s">
        <v>13</v>
      </c>
      <c r="I426" s="3">
        <v>3</v>
      </c>
      <c r="J426" s="5">
        <v>1000</v>
      </c>
      <c r="K426" s="7">
        <v>3000</v>
      </c>
      <c r="L426" s="6">
        <v>45296</v>
      </c>
      <c r="M426" s="8" t="str">
        <f>IF(K426&gt;10000,"High",IF(K426&gt;5000,"Medium","Low"))</f>
        <v>Low</v>
      </c>
      <c r="N426" s="4" t="s">
        <v>242</v>
      </c>
      <c r="O426" s="3">
        <v>1</v>
      </c>
      <c r="P426" s="3">
        <v>2024</v>
      </c>
      <c r="T426" s="4"/>
      <c r="X426"/>
      <c r="Y426" s="3"/>
      <c r="AA426"/>
    </row>
    <row r="427" spans="1:27" x14ac:dyDescent="0.3">
      <c r="A427" s="3">
        <v>1795</v>
      </c>
      <c r="B427" s="4" t="s">
        <v>32</v>
      </c>
      <c r="C427" s="4" t="str">
        <f>IF(D427="","Unknown",IF(D427&lt;20,"Teen",IF(D427&lt;40,"Adult","Senior")))</f>
        <v>Senior</v>
      </c>
      <c r="D427" s="3">
        <v>45</v>
      </c>
      <c r="E427" s="3" t="s">
        <v>249</v>
      </c>
      <c r="F427" s="4" t="s">
        <v>40</v>
      </c>
      <c r="G427" s="4" t="s">
        <v>18</v>
      </c>
      <c r="H427" t="s">
        <v>30</v>
      </c>
      <c r="I427" s="3">
        <v>2</v>
      </c>
      <c r="J427" s="5">
        <v>1000</v>
      </c>
      <c r="K427" s="7">
        <v>2000</v>
      </c>
      <c r="L427" s="6">
        <v>45292</v>
      </c>
      <c r="M427" s="8" t="str">
        <f>IF(K427&gt;10000,"High",IF(K427&gt;5000,"Medium","Low"))</f>
        <v>Low</v>
      </c>
      <c r="N427" s="4" t="s">
        <v>243</v>
      </c>
      <c r="O427" s="3">
        <v>1</v>
      </c>
      <c r="P427" s="3">
        <v>2024</v>
      </c>
      <c r="T427" s="4"/>
      <c r="X427"/>
      <c r="Y427" s="3"/>
      <c r="AA427"/>
    </row>
    <row r="428" spans="1:27" x14ac:dyDescent="0.3">
      <c r="A428" s="3">
        <v>1797</v>
      </c>
      <c r="B428" s="4" t="s">
        <v>35</v>
      </c>
      <c r="C428" s="4" t="str">
        <f>IF(D428="","Unknown",IF(D428&lt;20,"Teen",IF(D428&lt;40,"Adult","Senior")))</f>
        <v>Adult</v>
      </c>
      <c r="D428" s="3">
        <v>30</v>
      </c>
      <c r="E428" s="3" t="s">
        <v>250</v>
      </c>
      <c r="F428" s="4" t="s">
        <v>40</v>
      </c>
      <c r="G428" s="4" t="s">
        <v>12</v>
      </c>
      <c r="H428" t="s">
        <v>13</v>
      </c>
      <c r="I428" s="3">
        <v>3</v>
      </c>
      <c r="J428" s="5">
        <v>1000</v>
      </c>
      <c r="K428" s="7">
        <v>3000</v>
      </c>
      <c r="L428" s="6">
        <v>45297</v>
      </c>
      <c r="M428" s="8" t="str">
        <f>IF(K428&gt;10000,"High",IF(K428&gt;5000,"Medium","Low"))</f>
        <v>Low</v>
      </c>
      <c r="N428" s="4" t="s">
        <v>241</v>
      </c>
      <c r="O428" s="3">
        <v>1</v>
      </c>
      <c r="P428" s="3">
        <v>2024</v>
      </c>
      <c r="T428" s="4"/>
      <c r="X428"/>
      <c r="Y428" s="3"/>
      <c r="AA428"/>
    </row>
    <row r="429" spans="1:27" x14ac:dyDescent="0.3">
      <c r="A429" s="3">
        <v>1798</v>
      </c>
      <c r="B429" s="4" t="s">
        <v>21</v>
      </c>
      <c r="C429" s="4" t="str">
        <f>IF(D429="","Unknown",IF(D429&lt;20,"Teen",IF(D429&lt;40,"Adult","Senior")))</f>
        <v>Adult</v>
      </c>
      <c r="D429" s="3">
        <v>30</v>
      </c>
      <c r="E429" s="3" t="s">
        <v>250</v>
      </c>
      <c r="F429" s="4" t="s">
        <v>17</v>
      </c>
      <c r="G429" s="4" t="s">
        <v>27</v>
      </c>
      <c r="H429" t="s">
        <v>13</v>
      </c>
      <c r="I429" s="3">
        <v>3</v>
      </c>
      <c r="J429" s="5">
        <v>45816</v>
      </c>
      <c r="K429" s="7">
        <v>137448</v>
      </c>
      <c r="L429" s="6">
        <v>45306</v>
      </c>
      <c r="M429" s="8" t="str">
        <f>IF(K429&gt;10000,"High",IF(K429&gt;5000,"Medium","Low"))</f>
        <v>High</v>
      </c>
      <c r="N429" s="4" t="s">
        <v>240</v>
      </c>
      <c r="O429" s="3">
        <v>1</v>
      </c>
      <c r="P429" s="3">
        <v>2024</v>
      </c>
      <c r="T429" s="4"/>
      <c r="X429"/>
      <c r="Y429" s="3"/>
      <c r="AA429"/>
    </row>
    <row r="430" spans="1:27" x14ac:dyDescent="0.3">
      <c r="A430" s="3">
        <v>1800</v>
      </c>
      <c r="B430" s="4" t="s">
        <v>78</v>
      </c>
      <c r="C430" s="4" t="str">
        <f>IF(D430="","Unknown",IF(D430&lt;20,"Teen",IF(D430&lt;40,"Adult","Senior")))</f>
        <v>Adult</v>
      </c>
      <c r="D430" s="3">
        <v>30</v>
      </c>
      <c r="E430" s="3" t="s">
        <v>250</v>
      </c>
      <c r="F430" s="4" t="s">
        <v>40</v>
      </c>
      <c r="G430" s="4" t="s">
        <v>23</v>
      </c>
      <c r="H430" t="s">
        <v>30</v>
      </c>
      <c r="I430" s="3">
        <v>1</v>
      </c>
      <c r="J430" s="5">
        <v>1000</v>
      </c>
      <c r="K430" s="7">
        <v>1000</v>
      </c>
      <c r="L430" s="6">
        <v>45302</v>
      </c>
      <c r="M430" s="8" t="str">
        <f>IF(K430&gt;10000,"High",IF(K430&gt;5000,"Medium","Low"))</f>
        <v>Low</v>
      </c>
      <c r="N430" s="4" t="s">
        <v>241</v>
      </c>
      <c r="O430" s="3">
        <v>1</v>
      </c>
      <c r="P430" s="3">
        <v>2024</v>
      </c>
      <c r="T430" s="4"/>
      <c r="X430"/>
      <c r="Y430" s="3"/>
      <c r="AA430"/>
    </row>
    <row r="431" spans="1:27" x14ac:dyDescent="0.3">
      <c r="A431" s="3">
        <v>1802</v>
      </c>
      <c r="B431" s="4" t="s">
        <v>25</v>
      </c>
      <c r="C431" s="4" t="str">
        <f>IF(D431="","Unknown",IF(D431&lt;20,"Teen",IF(D431&lt;40,"Adult","Senior")))</f>
        <v>Adult</v>
      </c>
      <c r="D431" s="3">
        <v>31</v>
      </c>
      <c r="E431" s="3" t="s">
        <v>249</v>
      </c>
      <c r="F431" s="4" t="s">
        <v>17</v>
      </c>
      <c r="G431" s="4" t="s">
        <v>55</v>
      </c>
      <c r="H431" t="s">
        <v>36</v>
      </c>
      <c r="I431" s="3">
        <v>5</v>
      </c>
      <c r="J431" s="5">
        <v>1000</v>
      </c>
      <c r="K431" s="7">
        <v>5000</v>
      </c>
      <c r="L431" s="6">
        <v>45312</v>
      </c>
      <c r="M431" s="8" t="str">
        <f>IF(K431&gt;10000,"High",IF(K431&gt;5000,"Medium","Low"))</f>
        <v>Low</v>
      </c>
      <c r="N431" s="4" t="s">
        <v>240</v>
      </c>
      <c r="O431" s="3">
        <v>1</v>
      </c>
      <c r="P431" s="3">
        <v>2024</v>
      </c>
      <c r="T431" s="4"/>
      <c r="X431"/>
      <c r="Y431" s="3"/>
      <c r="AA431"/>
    </row>
    <row r="432" spans="1:27" x14ac:dyDescent="0.3">
      <c r="A432" s="3">
        <v>1808</v>
      </c>
      <c r="B432" s="4" t="s">
        <v>10</v>
      </c>
      <c r="C432" s="4" t="str">
        <f>IF(D432="","Unknown",IF(D432&lt;20,"Teen",IF(D432&lt;40,"Adult","Senior")))</f>
        <v>Adult</v>
      </c>
      <c r="D432" s="3">
        <v>30</v>
      </c>
      <c r="E432" s="3" t="s">
        <v>250</v>
      </c>
      <c r="F432" s="4" t="s">
        <v>17</v>
      </c>
      <c r="G432" s="4" t="s">
        <v>55</v>
      </c>
      <c r="H432" t="s">
        <v>36</v>
      </c>
      <c r="I432" s="3">
        <v>5</v>
      </c>
      <c r="J432" s="5">
        <v>1000</v>
      </c>
      <c r="K432" s="7">
        <v>5000</v>
      </c>
      <c r="L432" s="6">
        <v>45302</v>
      </c>
      <c r="M432" s="8" t="str">
        <f>IF(K432&gt;10000,"High",IF(K432&gt;5000,"Medium","Low"))</f>
        <v>Low</v>
      </c>
      <c r="N432" s="4" t="s">
        <v>243</v>
      </c>
      <c r="O432" s="3">
        <v>1</v>
      </c>
      <c r="P432" s="3">
        <v>2024</v>
      </c>
      <c r="T432" s="4"/>
      <c r="X432"/>
      <c r="Y432" s="3"/>
      <c r="AA432"/>
    </row>
    <row r="433" spans="1:27" x14ac:dyDescent="0.3">
      <c r="A433" s="3">
        <v>1809</v>
      </c>
      <c r="B433" s="4" t="s">
        <v>35</v>
      </c>
      <c r="C433" s="4" t="str">
        <f>IF(D433="","Unknown",IF(D433&lt;20,"Teen",IF(D433&lt;40,"Adult","Senior")))</f>
        <v>Adult</v>
      </c>
      <c r="D433" s="3">
        <v>39</v>
      </c>
      <c r="E433" s="3" t="s">
        <v>249</v>
      </c>
      <c r="F433" s="4" t="s">
        <v>17</v>
      </c>
      <c r="G433" s="4" t="s">
        <v>41</v>
      </c>
      <c r="H433" t="s">
        <v>36</v>
      </c>
      <c r="I433" s="3">
        <v>4</v>
      </c>
      <c r="J433" s="5">
        <v>21811</v>
      </c>
      <c r="K433" s="7">
        <v>87244</v>
      </c>
      <c r="L433" s="6">
        <v>45318</v>
      </c>
      <c r="M433" s="8" t="str">
        <f>IF(K433&gt;10000,"High",IF(K433&gt;5000,"Medium","Low"))</f>
        <v>High</v>
      </c>
      <c r="N433" s="4" t="s">
        <v>241</v>
      </c>
      <c r="O433" s="3">
        <v>1</v>
      </c>
      <c r="P433" s="3">
        <v>2024</v>
      </c>
      <c r="T433" s="4"/>
      <c r="X433"/>
      <c r="Y433" s="3"/>
      <c r="AA433"/>
    </row>
    <row r="434" spans="1:27" x14ac:dyDescent="0.3">
      <c r="A434" s="3">
        <v>1813</v>
      </c>
      <c r="B434" s="4" t="s">
        <v>62</v>
      </c>
      <c r="C434" s="4" t="str">
        <f>IF(D434="","Unknown",IF(D434&lt;20,"Teen",IF(D434&lt;40,"Adult","Senior")))</f>
        <v>Senior</v>
      </c>
      <c r="D434" s="3">
        <v>42</v>
      </c>
      <c r="E434" s="3" t="s">
        <v>249</v>
      </c>
      <c r="F434" s="4" t="s">
        <v>17</v>
      </c>
      <c r="G434" s="4" t="s">
        <v>55</v>
      </c>
      <c r="H434" t="s">
        <v>36</v>
      </c>
      <c r="I434" s="3">
        <v>2</v>
      </c>
      <c r="J434" s="5">
        <v>1000</v>
      </c>
      <c r="K434" s="7">
        <v>2000</v>
      </c>
      <c r="L434" s="6">
        <v>45319</v>
      </c>
      <c r="M434" s="8" t="str">
        <f>IF(K434&gt;10000,"High",IF(K434&gt;5000,"Medium","Low"))</f>
        <v>Low</v>
      </c>
      <c r="N434" s="4" t="s">
        <v>240</v>
      </c>
      <c r="O434" s="3">
        <v>1</v>
      </c>
      <c r="P434" s="3">
        <v>2024</v>
      </c>
      <c r="T434" s="4"/>
      <c r="X434"/>
      <c r="Y434" s="3"/>
      <c r="AA434"/>
    </row>
    <row r="435" spans="1:27" x14ac:dyDescent="0.3">
      <c r="A435" s="3">
        <v>1818</v>
      </c>
      <c r="B435" s="4" t="s">
        <v>32</v>
      </c>
      <c r="C435" s="4" t="str">
        <f>IF(D435="","Unknown",IF(D435&lt;20,"Teen",IF(D435&lt;40,"Adult","Senior")))</f>
        <v>Adult</v>
      </c>
      <c r="D435" s="3">
        <v>30</v>
      </c>
      <c r="E435" s="3" t="s">
        <v>250</v>
      </c>
      <c r="F435" s="4" t="s">
        <v>40</v>
      </c>
      <c r="G435" s="4" t="s">
        <v>27</v>
      </c>
      <c r="H435" t="s">
        <v>13</v>
      </c>
      <c r="I435" s="3">
        <v>2</v>
      </c>
      <c r="J435" s="5">
        <v>37938</v>
      </c>
      <c r="K435" s="7">
        <v>75876</v>
      </c>
      <c r="L435" s="6">
        <v>45309</v>
      </c>
      <c r="M435" s="8" t="str">
        <f>IF(K435&gt;10000,"High",IF(K435&gt;5000,"Medium","Low"))</f>
        <v>High</v>
      </c>
      <c r="N435" s="4" t="s">
        <v>242</v>
      </c>
      <c r="O435" s="3">
        <v>1</v>
      </c>
      <c r="P435" s="3">
        <v>2024</v>
      </c>
      <c r="T435" s="4"/>
      <c r="X435"/>
      <c r="Y435" s="3"/>
      <c r="AA435"/>
    </row>
    <row r="436" spans="1:27" x14ac:dyDescent="0.3">
      <c r="A436" s="3">
        <v>1819</v>
      </c>
      <c r="B436" s="4" t="s">
        <v>21</v>
      </c>
      <c r="C436" s="4" t="str">
        <f>IF(D436="","Unknown",IF(D436&lt;20,"Teen",IF(D436&lt;40,"Adult","Senior")))</f>
        <v>Adult</v>
      </c>
      <c r="D436" s="3">
        <v>27</v>
      </c>
      <c r="E436" s="3" t="s">
        <v>250</v>
      </c>
      <c r="F436" s="4" t="s">
        <v>17</v>
      </c>
      <c r="G436" s="4" t="s">
        <v>23</v>
      </c>
      <c r="H436" t="s">
        <v>30</v>
      </c>
      <c r="I436" s="3">
        <v>1</v>
      </c>
      <c r="J436" s="5">
        <v>1000</v>
      </c>
      <c r="K436" s="7">
        <v>1000</v>
      </c>
      <c r="L436" s="6">
        <v>45301</v>
      </c>
      <c r="M436" s="8" t="str">
        <f>IF(K436&gt;10000,"High",IF(K436&gt;5000,"Medium","Low"))</f>
        <v>Low</v>
      </c>
      <c r="N436" s="4" t="s">
        <v>244</v>
      </c>
      <c r="O436" s="3">
        <v>1</v>
      </c>
      <c r="P436" s="3">
        <v>2024</v>
      </c>
      <c r="T436" s="4"/>
      <c r="X436"/>
      <c r="Y436" s="3"/>
      <c r="AA436"/>
    </row>
    <row r="437" spans="1:27" x14ac:dyDescent="0.3">
      <c r="A437" s="3">
        <v>1823</v>
      </c>
      <c r="B437" s="4" t="s">
        <v>10</v>
      </c>
      <c r="C437" s="4" t="str">
        <f>IF(D437="","Unknown",IF(D437&lt;20,"Teen",IF(D437&lt;40,"Adult","Senior")))</f>
        <v>Adult</v>
      </c>
      <c r="D437" s="3">
        <v>30</v>
      </c>
      <c r="E437" s="3" t="s">
        <v>250</v>
      </c>
      <c r="F437" s="4" t="s">
        <v>40</v>
      </c>
      <c r="G437" s="4" t="s">
        <v>51</v>
      </c>
      <c r="H437" t="s">
        <v>13</v>
      </c>
      <c r="I437" s="3">
        <v>2</v>
      </c>
      <c r="J437" s="5">
        <v>1000</v>
      </c>
      <c r="K437" s="7">
        <v>2000</v>
      </c>
      <c r="L437" s="6">
        <v>45312</v>
      </c>
      <c r="M437" s="8" t="str">
        <f>IF(K437&gt;10000,"High",IF(K437&gt;5000,"Medium","Low"))</f>
        <v>Low</v>
      </c>
      <c r="N437" s="4" t="s">
        <v>241</v>
      </c>
      <c r="O437" s="3">
        <v>1</v>
      </c>
      <c r="P437" s="3">
        <v>2024</v>
      </c>
      <c r="T437" s="4"/>
      <c r="X437"/>
      <c r="Y437" s="3"/>
      <c r="AA437"/>
    </row>
    <row r="438" spans="1:27" x14ac:dyDescent="0.3">
      <c r="A438" s="3">
        <v>1824</v>
      </c>
      <c r="B438" s="4" t="s">
        <v>69</v>
      </c>
      <c r="C438" s="4" t="str">
        <f>IF(D438="","Unknown",IF(D438&lt;20,"Teen",IF(D438&lt;40,"Adult","Senior")))</f>
        <v>Adult</v>
      </c>
      <c r="D438" s="3">
        <v>24</v>
      </c>
      <c r="E438" s="3" t="s">
        <v>250</v>
      </c>
      <c r="F438" s="4" t="s">
        <v>40</v>
      </c>
      <c r="G438" s="4" t="s">
        <v>23</v>
      </c>
      <c r="H438" t="s">
        <v>30</v>
      </c>
      <c r="I438" s="3">
        <v>2</v>
      </c>
      <c r="J438" s="5">
        <v>10076</v>
      </c>
      <c r="K438" s="7">
        <v>20152</v>
      </c>
      <c r="L438" s="6">
        <v>45304</v>
      </c>
      <c r="M438" s="8" t="str">
        <f>IF(K438&gt;10000,"High",IF(K438&gt;5000,"Medium","Low"))</f>
        <v>High</v>
      </c>
      <c r="N438" s="4" t="s">
        <v>243</v>
      </c>
      <c r="O438" s="3">
        <v>1</v>
      </c>
      <c r="P438" s="3">
        <v>2024</v>
      </c>
      <c r="T438" s="4"/>
      <c r="X438"/>
      <c r="Y438" s="3"/>
      <c r="AA438"/>
    </row>
    <row r="439" spans="1:27" x14ac:dyDescent="0.3">
      <c r="A439" s="3">
        <v>1829</v>
      </c>
      <c r="B439" s="4" t="s">
        <v>62</v>
      </c>
      <c r="C439" s="4" t="str">
        <f>IF(D439="","Unknown",IF(D439&lt;20,"Teen",IF(D439&lt;40,"Adult","Senior")))</f>
        <v>Adult</v>
      </c>
      <c r="D439" s="3">
        <v>30</v>
      </c>
      <c r="E439" s="3" t="s">
        <v>250</v>
      </c>
      <c r="F439" s="4" t="s">
        <v>40</v>
      </c>
      <c r="G439" s="4" t="s">
        <v>12</v>
      </c>
      <c r="H439" t="s">
        <v>13</v>
      </c>
      <c r="I439" s="3">
        <v>2</v>
      </c>
      <c r="J439" s="5">
        <v>41447</v>
      </c>
      <c r="K439" s="7">
        <v>82894</v>
      </c>
      <c r="L439" s="6">
        <v>45304</v>
      </c>
      <c r="M439" s="8" t="str">
        <f>IF(K439&gt;10000,"High",IF(K439&gt;5000,"Medium","Low"))</f>
        <v>High</v>
      </c>
      <c r="N439" s="4" t="s">
        <v>243</v>
      </c>
      <c r="O439" s="3">
        <v>1</v>
      </c>
      <c r="P439" s="3">
        <v>2024</v>
      </c>
      <c r="T439" s="4"/>
      <c r="X439"/>
      <c r="Y439" s="3"/>
      <c r="AA439"/>
    </row>
    <row r="440" spans="1:27" x14ac:dyDescent="0.3">
      <c r="A440" s="3">
        <v>1831</v>
      </c>
      <c r="B440" s="4" t="s">
        <v>68</v>
      </c>
      <c r="C440" s="4" t="str">
        <f>IF(D440="","Unknown",IF(D440&lt;20,"Teen",IF(D440&lt;40,"Adult","Senior")))</f>
        <v>Senior</v>
      </c>
      <c r="D440" s="3">
        <v>49</v>
      </c>
      <c r="E440" s="3" t="s">
        <v>249</v>
      </c>
      <c r="F440" s="4" t="s">
        <v>17</v>
      </c>
      <c r="G440" s="4" t="s">
        <v>44</v>
      </c>
      <c r="H440" t="s">
        <v>36</v>
      </c>
      <c r="I440" s="3">
        <v>5</v>
      </c>
      <c r="J440" s="5">
        <v>1000</v>
      </c>
      <c r="K440" s="7">
        <v>5000</v>
      </c>
      <c r="L440" s="6">
        <v>45308</v>
      </c>
      <c r="M440" s="8" t="str">
        <f>IF(K440&gt;10000,"High",IF(K440&gt;5000,"Medium","Low"))</f>
        <v>Low</v>
      </c>
      <c r="N440" s="4" t="s">
        <v>241</v>
      </c>
      <c r="O440" s="3">
        <v>1</v>
      </c>
      <c r="P440" s="3">
        <v>2024</v>
      </c>
      <c r="T440" s="4"/>
      <c r="X440"/>
      <c r="Y440" s="3"/>
      <c r="AA440"/>
    </row>
    <row r="441" spans="1:27" x14ac:dyDescent="0.3">
      <c r="A441" s="3">
        <v>1833</v>
      </c>
      <c r="B441" s="4" t="s">
        <v>38</v>
      </c>
      <c r="C441" s="4" t="str">
        <f>IF(D441="","Unknown",IF(D441&lt;20,"Teen",IF(D441&lt;40,"Adult","Senior")))</f>
        <v>Adult</v>
      </c>
      <c r="D441" s="3">
        <v>39</v>
      </c>
      <c r="E441" s="3" t="s">
        <v>249</v>
      </c>
      <c r="F441" s="4" t="s">
        <v>17</v>
      </c>
      <c r="G441" s="4" t="s">
        <v>51</v>
      </c>
      <c r="H441" t="s">
        <v>13</v>
      </c>
      <c r="I441" s="3">
        <v>5</v>
      </c>
      <c r="J441" s="5">
        <v>1000</v>
      </c>
      <c r="K441" s="7">
        <v>5000</v>
      </c>
      <c r="L441" s="6">
        <v>45301</v>
      </c>
      <c r="M441" s="8" t="str">
        <f>IF(K441&gt;10000,"High",IF(K441&gt;5000,"Medium","Low"))</f>
        <v>Low</v>
      </c>
      <c r="N441" s="4" t="s">
        <v>240</v>
      </c>
      <c r="O441" s="3">
        <v>1</v>
      </c>
      <c r="P441" s="3">
        <v>2024</v>
      </c>
      <c r="T441" s="4"/>
      <c r="X441"/>
      <c r="Y441" s="3"/>
      <c r="AA441"/>
    </row>
    <row r="442" spans="1:27" x14ac:dyDescent="0.3">
      <c r="A442" s="3">
        <v>1834</v>
      </c>
      <c r="B442" s="4" t="s">
        <v>38</v>
      </c>
      <c r="C442" s="4" t="str">
        <f>IF(D442="","Unknown",IF(D442&lt;20,"Teen",IF(D442&lt;40,"Adult","Senior")))</f>
        <v>Adult</v>
      </c>
      <c r="D442" s="3">
        <v>32</v>
      </c>
      <c r="E442" s="3" t="s">
        <v>249</v>
      </c>
      <c r="F442" s="4" t="s">
        <v>40</v>
      </c>
      <c r="G442" s="4" t="s">
        <v>27</v>
      </c>
      <c r="H442" t="s">
        <v>13</v>
      </c>
      <c r="I442" s="3">
        <v>2</v>
      </c>
      <c r="J442" s="5">
        <v>32322</v>
      </c>
      <c r="K442" s="7">
        <v>64644</v>
      </c>
      <c r="L442" s="6">
        <v>45310</v>
      </c>
      <c r="M442" s="8" t="str">
        <f>IF(K442&gt;10000,"High",IF(K442&gt;5000,"Medium","Low"))</f>
        <v>High</v>
      </c>
      <c r="N442" s="4" t="s">
        <v>242</v>
      </c>
      <c r="O442" s="3">
        <v>1</v>
      </c>
      <c r="P442" s="3">
        <v>2024</v>
      </c>
      <c r="T442" s="4"/>
      <c r="X442"/>
      <c r="Y442" s="3"/>
      <c r="AA442"/>
    </row>
    <row r="443" spans="1:27" x14ac:dyDescent="0.3">
      <c r="A443" s="3">
        <v>1837</v>
      </c>
      <c r="B443" s="4" t="s">
        <v>32</v>
      </c>
      <c r="C443" s="4" t="str">
        <f>IF(D443="","Unknown",IF(D443&lt;20,"Teen",IF(D443&lt;40,"Adult","Senior")))</f>
        <v>Adult</v>
      </c>
      <c r="D443" s="3">
        <v>30</v>
      </c>
      <c r="E443" s="3" t="s">
        <v>250</v>
      </c>
      <c r="F443" s="4" t="s">
        <v>40</v>
      </c>
      <c r="G443" s="4" t="s">
        <v>27</v>
      </c>
      <c r="H443" t="s">
        <v>13</v>
      </c>
      <c r="I443" s="3">
        <v>3</v>
      </c>
      <c r="J443" s="5">
        <v>40566</v>
      </c>
      <c r="K443" s="7">
        <v>121698</v>
      </c>
      <c r="L443" s="6">
        <v>45294</v>
      </c>
      <c r="M443" s="8" t="str">
        <f>IF(K443&gt;10000,"High",IF(K443&gt;5000,"Medium","Low"))</f>
        <v>High</v>
      </c>
      <c r="N443" s="4" t="s">
        <v>242</v>
      </c>
      <c r="O443" s="3">
        <v>1</v>
      </c>
      <c r="P443" s="3">
        <v>2024</v>
      </c>
      <c r="T443" s="4"/>
      <c r="X443"/>
      <c r="Y443" s="3"/>
      <c r="AA443"/>
    </row>
    <row r="444" spans="1:27" x14ac:dyDescent="0.3">
      <c r="A444" s="3">
        <v>1841</v>
      </c>
      <c r="B444" s="4" t="s">
        <v>21</v>
      </c>
      <c r="C444" s="4" t="str">
        <f>IF(D444="","Unknown",IF(D444&lt;20,"Teen",IF(D444&lt;40,"Adult","Senior")))</f>
        <v>Teen</v>
      </c>
      <c r="D444" s="3">
        <v>18</v>
      </c>
      <c r="E444" s="3" t="s">
        <v>251</v>
      </c>
      <c r="F444" s="4" t="s">
        <v>17</v>
      </c>
      <c r="G444" s="4" t="s">
        <v>27</v>
      </c>
      <c r="H444" t="s">
        <v>13</v>
      </c>
      <c r="I444" s="3">
        <v>3</v>
      </c>
      <c r="J444" s="5">
        <v>1000</v>
      </c>
      <c r="K444" s="7">
        <v>3000</v>
      </c>
      <c r="L444" s="6">
        <v>45300</v>
      </c>
      <c r="M444" s="8" t="str">
        <f>IF(K444&gt;10000,"High",IF(K444&gt;5000,"Medium","Low"))</f>
        <v>Low</v>
      </c>
      <c r="N444" s="4" t="s">
        <v>240</v>
      </c>
      <c r="O444" s="3">
        <v>1</v>
      </c>
      <c r="P444" s="3">
        <v>2024</v>
      </c>
      <c r="T444" s="4"/>
      <c r="X444"/>
      <c r="Y444" s="3"/>
      <c r="AA444"/>
    </row>
    <row r="445" spans="1:27" x14ac:dyDescent="0.3">
      <c r="A445" s="3">
        <v>1843</v>
      </c>
      <c r="B445" s="4" t="s">
        <v>16</v>
      </c>
      <c r="C445" s="4" t="str">
        <f>IF(D445="","Unknown",IF(D445&lt;20,"Teen",IF(D445&lt;40,"Adult","Senior")))</f>
        <v>Adult</v>
      </c>
      <c r="D445" s="3">
        <v>30</v>
      </c>
      <c r="E445" s="3" t="s">
        <v>250</v>
      </c>
      <c r="F445" s="4" t="s">
        <v>40</v>
      </c>
      <c r="G445" s="4" t="s">
        <v>12</v>
      </c>
      <c r="H445" t="s">
        <v>13</v>
      </c>
      <c r="I445" s="3">
        <v>2</v>
      </c>
      <c r="J445" s="5">
        <v>30368</v>
      </c>
      <c r="K445" s="7">
        <v>60736</v>
      </c>
      <c r="L445" s="6">
        <v>45304</v>
      </c>
      <c r="M445" s="8" t="str">
        <f>IF(K445&gt;10000,"High",IF(K445&gt;5000,"Medium","Low"))</f>
        <v>High</v>
      </c>
      <c r="N445" s="4" t="s">
        <v>242</v>
      </c>
      <c r="O445" s="3">
        <v>1</v>
      </c>
      <c r="P445" s="3">
        <v>2024</v>
      </c>
      <c r="T445" s="4"/>
      <c r="X445"/>
      <c r="Y445" s="3"/>
      <c r="AA445"/>
    </row>
    <row r="446" spans="1:27" x14ac:dyDescent="0.3">
      <c r="A446" s="3">
        <v>1844</v>
      </c>
      <c r="B446" s="4" t="s">
        <v>16</v>
      </c>
      <c r="C446" s="4" t="str">
        <f>IF(D446="","Unknown",IF(D446&lt;20,"Teen",IF(D446&lt;40,"Adult","Senior")))</f>
        <v>Adult</v>
      </c>
      <c r="D446" s="3">
        <v>23</v>
      </c>
      <c r="E446" s="3" t="s">
        <v>250</v>
      </c>
      <c r="F446" s="4" t="s">
        <v>40</v>
      </c>
      <c r="G446" s="4" t="s">
        <v>27</v>
      </c>
      <c r="H446" t="s">
        <v>13</v>
      </c>
      <c r="I446" s="3">
        <v>2</v>
      </c>
      <c r="J446" s="5">
        <v>1125</v>
      </c>
      <c r="K446" s="7">
        <v>2250</v>
      </c>
      <c r="L446" s="6">
        <v>45318</v>
      </c>
      <c r="M446" s="8" t="str">
        <f>IF(K446&gt;10000,"High",IF(K446&gt;5000,"Medium","Low"))</f>
        <v>Low</v>
      </c>
      <c r="N446" s="4" t="s">
        <v>244</v>
      </c>
      <c r="O446" s="3">
        <v>1</v>
      </c>
      <c r="P446" s="3">
        <v>2024</v>
      </c>
      <c r="T446" s="4"/>
      <c r="X446"/>
      <c r="Y446" s="3"/>
      <c r="AA446"/>
    </row>
    <row r="447" spans="1:27" x14ac:dyDescent="0.3">
      <c r="A447" s="3">
        <v>1845</v>
      </c>
      <c r="B447" s="4" t="s">
        <v>69</v>
      </c>
      <c r="C447" s="4" t="str">
        <f>IF(D447="","Unknown",IF(D447&lt;20,"Teen",IF(D447&lt;40,"Adult","Senior")))</f>
        <v>Teen</v>
      </c>
      <c r="D447" s="3">
        <v>19</v>
      </c>
      <c r="E447" s="3" t="s">
        <v>251</v>
      </c>
      <c r="F447" s="4" t="s">
        <v>17</v>
      </c>
      <c r="G447" s="4" t="s">
        <v>55</v>
      </c>
      <c r="H447" t="s">
        <v>36</v>
      </c>
      <c r="I447" s="3">
        <v>2</v>
      </c>
      <c r="J447" s="5">
        <v>1000</v>
      </c>
      <c r="K447" s="7">
        <v>2000</v>
      </c>
      <c r="L447" s="6">
        <v>45308</v>
      </c>
      <c r="M447" s="8" t="str">
        <f>IF(K447&gt;10000,"High",IF(K447&gt;5000,"Medium","Low"))</f>
        <v>Low</v>
      </c>
      <c r="N447" s="4" t="s">
        <v>243</v>
      </c>
      <c r="O447" s="3">
        <v>1</v>
      </c>
      <c r="P447" s="3">
        <v>2024</v>
      </c>
      <c r="T447" s="4"/>
      <c r="X447"/>
      <c r="Y447" s="3"/>
      <c r="AA447"/>
    </row>
    <row r="448" spans="1:27" x14ac:dyDescent="0.3">
      <c r="A448" s="3">
        <v>1846</v>
      </c>
      <c r="B448" s="4" t="s">
        <v>78</v>
      </c>
      <c r="C448" s="4" t="str">
        <f>IF(D448="","Unknown",IF(D448&lt;20,"Teen",IF(D448&lt;40,"Adult","Senior")))</f>
        <v>Senior</v>
      </c>
      <c r="D448" s="3">
        <v>42</v>
      </c>
      <c r="E448" s="3" t="s">
        <v>249</v>
      </c>
      <c r="F448" s="4" t="s">
        <v>40</v>
      </c>
      <c r="G448" s="4" t="s">
        <v>51</v>
      </c>
      <c r="H448" t="s">
        <v>13</v>
      </c>
      <c r="I448" s="3">
        <v>2</v>
      </c>
      <c r="J448" s="5">
        <v>1000</v>
      </c>
      <c r="K448" s="7">
        <v>2000</v>
      </c>
      <c r="L448" s="6">
        <v>45321</v>
      </c>
      <c r="M448" s="8" t="str">
        <f>IF(K448&gt;10000,"High",IF(K448&gt;5000,"Medium","Low"))</f>
        <v>Low</v>
      </c>
      <c r="N448" s="4" t="s">
        <v>240</v>
      </c>
      <c r="O448" s="3">
        <v>1</v>
      </c>
      <c r="P448" s="3">
        <v>2024</v>
      </c>
      <c r="T448" s="4"/>
      <c r="X448"/>
      <c r="Y448" s="3"/>
      <c r="AA448"/>
    </row>
    <row r="449" spans="1:27" x14ac:dyDescent="0.3">
      <c r="A449" s="3">
        <v>1847</v>
      </c>
      <c r="B449" s="4" t="s">
        <v>73</v>
      </c>
      <c r="C449" s="4" t="str">
        <f>IF(D449="","Unknown",IF(D449&lt;20,"Teen",IF(D449&lt;40,"Adult","Senior")))</f>
        <v>Adult</v>
      </c>
      <c r="D449" s="3">
        <v>32</v>
      </c>
      <c r="E449" s="3" t="s">
        <v>249</v>
      </c>
      <c r="F449" s="4" t="s">
        <v>17</v>
      </c>
      <c r="G449" s="4" t="s">
        <v>18</v>
      </c>
      <c r="H449" t="s">
        <v>30</v>
      </c>
      <c r="I449" s="3">
        <v>1</v>
      </c>
      <c r="J449" s="5">
        <v>1000</v>
      </c>
      <c r="K449" s="7">
        <v>1000</v>
      </c>
      <c r="L449" s="6">
        <v>45306</v>
      </c>
      <c r="M449" s="8" t="str">
        <f>IF(K449&gt;10000,"High",IF(K449&gt;5000,"Medium","Low"))</f>
        <v>Low</v>
      </c>
      <c r="N449" s="4" t="s">
        <v>244</v>
      </c>
      <c r="O449" s="3">
        <v>1</v>
      </c>
      <c r="P449" s="3">
        <v>2024</v>
      </c>
      <c r="T449" s="4"/>
      <c r="X449"/>
      <c r="Y449" s="3"/>
      <c r="AA449"/>
    </row>
    <row r="450" spans="1:27" x14ac:dyDescent="0.3">
      <c r="A450" s="3">
        <v>1850</v>
      </c>
      <c r="B450" s="4" t="s">
        <v>59</v>
      </c>
      <c r="C450" s="4" t="str">
        <f>IF(D450="","Unknown",IF(D450&lt;20,"Teen",IF(D450&lt;40,"Adult","Senior")))</f>
        <v>Adult</v>
      </c>
      <c r="D450" s="3">
        <v>38</v>
      </c>
      <c r="E450" s="3" t="s">
        <v>249</v>
      </c>
      <c r="F450" s="4" t="s">
        <v>17</v>
      </c>
      <c r="G450" s="4" t="s">
        <v>51</v>
      </c>
      <c r="H450" t="s">
        <v>13</v>
      </c>
      <c r="I450" s="3">
        <v>3</v>
      </c>
      <c r="J450" s="5">
        <v>1000</v>
      </c>
      <c r="K450" s="7">
        <v>3000</v>
      </c>
      <c r="L450" s="6">
        <v>45307</v>
      </c>
      <c r="M450" s="8" t="str">
        <f>IF(K450&gt;10000,"High",IF(K450&gt;5000,"Medium","Low"))</f>
        <v>Low</v>
      </c>
      <c r="N450" s="4" t="s">
        <v>240</v>
      </c>
      <c r="O450" s="3">
        <v>1</v>
      </c>
      <c r="P450" s="3">
        <v>2024</v>
      </c>
      <c r="T450" s="4"/>
      <c r="X450"/>
      <c r="Y450" s="3"/>
      <c r="AA450"/>
    </row>
    <row r="451" spans="1:27" x14ac:dyDescent="0.3">
      <c r="A451" s="3">
        <v>1851</v>
      </c>
      <c r="B451" s="4" t="s">
        <v>10</v>
      </c>
      <c r="C451" s="4" t="str">
        <f>IF(D451="","Unknown",IF(D451&lt;20,"Teen",IF(D451&lt;40,"Adult","Senior")))</f>
        <v>Adult</v>
      </c>
      <c r="D451" s="3">
        <v>30</v>
      </c>
      <c r="E451" s="3" t="s">
        <v>250</v>
      </c>
      <c r="F451" s="4" t="s">
        <v>17</v>
      </c>
      <c r="G451" s="4" t="s">
        <v>55</v>
      </c>
      <c r="H451" t="s">
        <v>36</v>
      </c>
      <c r="I451" s="3">
        <v>1</v>
      </c>
      <c r="J451" s="5">
        <v>7915</v>
      </c>
      <c r="K451" s="7">
        <v>7915</v>
      </c>
      <c r="L451" s="6">
        <v>45299</v>
      </c>
      <c r="M451" s="8" t="str">
        <f>IF(K451&gt;10000,"High",IF(K451&gt;5000,"Medium","Low"))</f>
        <v>Medium</v>
      </c>
      <c r="N451" s="4" t="s">
        <v>242</v>
      </c>
      <c r="O451" s="3">
        <v>1</v>
      </c>
      <c r="P451" s="3">
        <v>2024</v>
      </c>
      <c r="T451" s="4"/>
      <c r="X451"/>
      <c r="Y451" s="3"/>
      <c r="AA451"/>
    </row>
    <row r="452" spans="1:27" x14ac:dyDescent="0.3">
      <c r="A452" s="3">
        <v>1852</v>
      </c>
      <c r="B452" s="4" t="s">
        <v>48</v>
      </c>
      <c r="C452" s="4" t="str">
        <f>IF(D452="","Unknown",IF(D452&lt;20,"Teen",IF(D452&lt;40,"Adult","Senior")))</f>
        <v>Teen</v>
      </c>
      <c r="D452" s="3">
        <v>19</v>
      </c>
      <c r="E452" s="3" t="s">
        <v>251</v>
      </c>
      <c r="F452" s="4" t="s">
        <v>40</v>
      </c>
      <c r="G452" s="4" t="s">
        <v>41</v>
      </c>
      <c r="H452" t="s">
        <v>36</v>
      </c>
      <c r="I452" s="3">
        <v>5</v>
      </c>
      <c r="J452" s="5">
        <v>23339</v>
      </c>
      <c r="K452" s="7">
        <v>116695</v>
      </c>
      <c r="L452" s="6">
        <v>45313</v>
      </c>
      <c r="M452" s="8" t="str">
        <f>IF(K452&gt;10000,"High",IF(K452&gt;5000,"Medium","Low"))</f>
        <v>High</v>
      </c>
      <c r="N452" s="4" t="s">
        <v>242</v>
      </c>
      <c r="O452" s="3">
        <v>1</v>
      </c>
      <c r="P452" s="3">
        <v>2024</v>
      </c>
      <c r="T452" s="4"/>
      <c r="X452"/>
      <c r="Y452" s="3"/>
      <c r="AA452"/>
    </row>
    <row r="453" spans="1:27" x14ac:dyDescent="0.3">
      <c r="A453" s="3">
        <v>1853</v>
      </c>
      <c r="B453" s="4" t="s">
        <v>32</v>
      </c>
      <c r="C453" s="4" t="str">
        <f>IF(D453="","Unknown",IF(D453&lt;20,"Teen",IF(D453&lt;40,"Adult","Senior")))</f>
        <v>Adult</v>
      </c>
      <c r="D453" s="3">
        <v>30</v>
      </c>
      <c r="E453" s="3" t="s">
        <v>250</v>
      </c>
      <c r="F453" s="4" t="s">
        <v>40</v>
      </c>
      <c r="G453" s="4" t="s">
        <v>27</v>
      </c>
      <c r="H453" t="s">
        <v>13</v>
      </c>
      <c r="I453" s="3">
        <v>2</v>
      </c>
      <c r="J453" s="5">
        <v>1000</v>
      </c>
      <c r="K453" s="7">
        <v>2000</v>
      </c>
      <c r="L453" s="6">
        <v>45322</v>
      </c>
      <c r="M453" s="8" t="str">
        <f>IF(K453&gt;10000,"High",IF(K453&gt;5000,"Medium","Low"))</f>
        <v>Low</v>
      </c>
      <c r="N453" s="4" t="s">
        <v>243</v>
      </c>
      <c r="O453" s="3">
        <v>1</v>
      </c>
      <c r="P453" s="3">
        <v>2024</v>
      </c>
      <c r="T453" s="4"/>
      <c r="X453"/>
      <c r="Y453" s="3"/>
      <c r="AA453"/>
    </row>
    <row r="454" spans="1:27" x14ac:dyDescent="0.3">
      <c r="A454" s="3">
        <v>1854</v>
      </c>
      <c r="B454" s="4" t="s">
        <v>46</v>
      </c>
      <c r="C454" s="4" t="str">
        <f>IF(D454="","Unknown",IF(D454&lt;20,"Teen",IF(D454&lt;40,"Adult","Senior")))</f>
        <v>Adult</v>
      </c>
      <c r="D454" s="3">
        <v>30</v>
      </c>
      <c r="E454" s="3" t="s">
        <v>250</v>
      </c>
      <c r="F454" s="4" t="s">
        <v>17</v>
      </c>
      <c r="G454" s="4" t="s">
        <v>18</v>
      </c>
      <c r="H454" t="s">
        <v>30</v>
      </c>
      <c r="I454" s="3">
        <v>1</v>
      </c>
      <c r="J454" s="5">
        <v>7973</v>
      </c>
      <c r="K454" s="7">
        <v>7973</v>
      </c>
      <c r="L454" s="6">
        <v>45308</v>
      </c>
      <c r="M454" s="8" t="str">
        <f>IF(K454&gt;10000,"High",IF(K454&gt;5000,"Medium","Low"))</f>
        <v>Medium</v>
      </c>
      <c r="N454" s="4" t="s">
        <v>243</v>
      </c>
      <c r="O454" s="3">
        <v>1</v>
      </c>
      <c r="P454" s="3">
        <v>2024</v>
      </c>
      <c r="T454" s="4"/>
      <c r="X454"/>
      <c r="Y454" s="3"/>
      <c r="AA454"/>
    </row>
    <row r="455" spans="1:27" x14ac:dyDescent="0.3">
      <c r="A455" s="3">
        <v>1857</v>
      </c>
      <c r="B455" s="4" t="s">
        <v>68</v>
      </c>
      <c r="C455" s="4" t="str">
        <f>IF(D455="","Unknown",IF(D455&lt;20,"Teen",IF(D455&lt;40,"Adult","Senior")))</f>
        <v>Adult</v>
      </c>
      <c r="D455" s="3">
        <v>27</v>
      </c>
      <c r="E455" s="3" t="s">
        <v>250</v>
      </c>
      <c r="F455" s="4" t="s">
        <v>17</v>
      </c>
      <c r="G455" s="4" t="s">
        <v>18</v>
      </c>
      <c r="H455" t="s">
        <v>30</v>
      </c>
      <c r="I455" s="3">
        <v>2</v>
      </c>
      <c r="J455" s="5">
        <v>1000</v>
      </c>
      <c r="K455" s="7">
        <v>2000</v>
      </c>
      <c r="L455" s="6">
        <v>45318</v>
      </c>
      <c r="M455" s="8" t="str">
        <f>IF(K455&gt;10000,"High",IF(K455&gt;5000,"Medium","Low"))</f>
        <v>Low</v>
      </c>
      <c r="N455" s="4" t="s">
        <v>240</v>
      </c>
      <c r="O455" s="3">
        <v>1</v>
      </c>
      <c r="P455" s="3">
        <v>2024</v>
      </c>
      <c r="T455" s="4"/>
      <c r="X455"/>
      <c r="Y455" s="3"/>
      <c r="AA455"/>
    </row>
    <row r="456" spans="1:27" x14ac:dyDescent="0.3">
      <c r="A456" s="3">
        <v>1861</v>
      </c>
      <c r="B456" s="4" t="s">
        <v>35</v>
      </c>
      <c r="C456" s="4" t="str">
        <f>IF(D456="","Unknown",IF(D456&lt;20,"Teen",IF(D456&lt;40,"Adult","Senior")))</f>
        <v>Adult</v>
      </c>
      <c r="D456" s="3">
        <v>28</v>
      </c>
      <c r="E456" s="3" t="s">
        <v>250</v>
      </c>
      <c r="F456" s="4" t="s">
        <v>40</v>
      </c>
      <c r="G456" s="4" t="s">
        <v>55</v>
      </c>
      <c r="H456" t="s">
        <v>36</v>
      </c>
      <c r="I456" s="3">
        <v>2</v>
      </c>
      <c r="J456" s="5">
        <v>1000</v>
      </c>
      <c r="K456" s="7">
        <v>2000</v>
      </c>
      <c r="L456" s="6">
        <v>45322</v>
      </c>
      <c r="M456" s="8" t="str">
        <f>IF(K456&gt;10000,"High",IF(K456&gt;5000,"Medium","Low"))</f>
        <v>Low</v>
      </c>
      <c r="N456" s="4" t="s">
        <v>244</v>
      </c>
      <c r="O456" s="3">
        <v>1</v>
      </c>
      <c r="P456" s="3">
        <v>2024</v>
      </c>
      <c r="T456" s="4"/>
      <c r="X456"/>
      <c r="Y456" s="3"/>
      <c r="AA456"/>
    </row>
    <row r="457" spans="1:27" x14ac:dyDescent="0.3">
      <c r="A457" s="3">
        <v>1864</v>
      </c>
      <c r="B457" s="4" t="s">
        <v>38</v>
      </c>
      <c r="C457" s="4" t="str">
        <f>IF(D457="","Unknown",IF(D457&lt;20,"Teen",IF(D457&lt;40,"Adult","Senior")))</f>
        <v>Adult</v>
      </c>
      <c r="D457" s="3">
        <v>26</v>
      </c>
      <c r="E457" s="3" t="s">
        <v>250</v>
      </c>
      <c r="F457" s="4" t="s">
        <v>17</v>
      </c>
      <c r="G457" s="4" t="s">
        <v>55</v>
      </c>
      <c r="H457" t="s">
        <v>36</v>
      </c>
      <c r="I457" s="3">
        <v>3</v>
      </c>
      <c r="J457" s="5">
        <v>1000</v>
      </c>
      <c r="K457" s="7">
        <v>3000</v>
      </c>
      <c r="L457" s="6">
        <v>45304</v>
      </c>
      <c r="M457" s="8" t="str">
        <f>IF(K457&gt;10000,"High",IF(K457&gt;5000,"Medium","Low"))</f>
        <v>Low</v>
      </c>
      <c r="N457" s="4" t="s">
        <v>244</v>
      </c>
      <c r="O457" s="3">
        <v>1</v>
      </c>
      <c r="P457" s="3">
        <v>2024</v>
      </c>
      <c r="T457" s="4"/>
      <c r="X457"/>
      <c r="Y457" s="3"/>
      <c r="AA457"/>
    </row>
    <row r="458" spans="1:27" x14ac:dyDescent="0.3">
      <c r="A458" s="3">
        <v>1865</v>
      </c>
      <c r="B458" s="4" t="s">
        <v>69</v>
      </c>
      <c r="C458" s="4" t="str">
        <f>IF(D458="","Unknown",IF(D458&lt;20,"Teen",IF(D458&lt;40,"Adult","Senior")))</f>
        <v>Senior</v>
      </c>
      <c r="D458" s="3">
        <v>46</v>
      </c>
      <c r="E458" s="3" t="s">
        <v>249</v>
      </c>
      <c r="F458" s="4" t="s">
        <v>40</v>
      </c>
      <c r="G458" s="4" t="s">
        <v>44</v>
      </c>
      <c r="H458" t="s">
        <v>36</v>
      </c>
      <c r="I458" s="3">
        <v>3</v>
      </c>
      <c r="J458" s="5">
        <v>47507</v>
      </c>
      <c r="K458" s="7">
        <v>142521</v>
      </c>
      <c r="L458" s="6">
        <v>45308</v>
      </c>
      <c r="M458" s="8" t="str">
        <f>IF(K458&gt;10000,"High",IF(K458&gt;5000,"Medium","Low"))</f>
        <v>High</v>
      </c>
      <c r="N458" s="4" t="s">
        <v>244</v>
      </c>
      <c r="O458" s="3">
        <v>1</v>
      </c>
      <c r="P458" s="3">
        <v>2024</v>
      </c>
      <c r="T458" s="4"/>
      <c r="X458"/>
      <c r="Y458" s="3"/>
      <c r="AA458"/>
    </row>
    <row r="459" spans="1:27" x14ac:dyDescent="0.3">
      <c r="A459" s="3">
        <v>1867</v>
      </c>
      <c r="B459" s="4" t="s">
        <v>35</v>
      </c>
      <c r="C459" s="4" t="str">
        <f>IF(D459="","Unknown",IF(D459&lt;20,"Teen",IF(D459&lt;40,"Adult","Senior")))</f>
        <v>Adult</v>
      </c>
      <c r="D459" s="3">
        <v>30</v>
      </c>
      <c r="E459" s="3" t="s">
        <v>250</v>
      </c>
      <c r="F459" s="4" t="s">
        <v>40</v>
      </c>
      <c r="G459" s="4" t="s">
        <v>27</v>
      </c>
      <c r="H459" t="s">
        <v>13</v>
      </c>
      <c r="I459" s="3">
        <v>2</v>
      </c>
      <c r="J459" s="5">
        <v>13603</v>
      </c>
      <c r="K459" s="7">
        <v>27206</v>
      </c>
      <c r="L459" s="6">
        <v>45316</v>
      </c>
      <c r="M459" s="8" t="str">
        <f>IF(K459&gt;10000,"High",IF(K459&gt;5000,"Medium","Low"))</f>
        <v>High</v>
      </c>
      <c r="N459" s="4" t="s">
        <v>243</v>
      </c>
      <c r="O459" s="3">
        <v>1</v>
      </c>
      <c r="P459" s="3">
        <v>2024</v>
      </c>
      <c r="T459" s="4"/>
      <c r="X459"/>
      <c r="Y459" s="3"/>
      <c r="AA459"/>
    </row>
    <row r="460" spans="1:27" x14ac:dyDescent="0.3">
      <c r="A460" s="3">
        <v>1868</v>
      </c>
      <c r="B460" s="4" t="s">
        <v>38</v>
      </c>
      <c r="C460" s="4" t="str">
        <f>IF(D460="","Unknown",IF(D460&lt;20,"Teen",IF(D460&lt;40,"Adult","Senior")))</f>
        <v>Adult</v>
      </c>
      <c r="D460" s="3">
        <v>26</v>
      </c>
      <c r="E460" s="3" t="s">
        <v>250</v>
      </c>
      <c r="F460" s="4" t="s">
        <v>40</v>
      </c>
      <c r="G460" s="4" t="s">
        <v>27</v>
      </c>
      <c r="H460" t="s">
        <v>13</v>
      </c>
      <c r="I460" s="3">
        <v>2</v>
      </c>
      <c r="J460" s="5">
        <v>1000</v>
      </c>
      <c r="K460" s="7">
        <v>2000</v>
      </c>
      <c r="L460" s="6">
        <v>45302</v>
      </c>
      <c r="M460" s="8" t="str">
        <f>IF(K460&gt;10000,"High",IF(K460&gt;5000,"Medium","Low"))</f>
        <v>Low</v>
      </c>
      <c r="N460" s="4" t="s">
        <v>240</v>
      </c>
      <c r="O460" s="3">
        <v>1</v>
      </c>
      <c r="P460" s="3">
        <v>2024</v>
      </c>
      <c r="T460" s="4"/>
      <c r="X460"/>
      <c r="Y460" s="3"/>
      <c r="AA460"/>
    </row>
    <row r="461" spans="1:27" x14ac:dyDescent="0.3">
      <c r="A461" s="3">
        <v>1869</v>
      </c>
      <c r="B461" s="4" t="s">
        <v>10</v>
      </c>
      <c r="C461" s="4" t="str">
        <f>IF(D461="","Unknown",IF(D461&lt;20,"Teen",IF(D461&lt;40,"Adult","Senior")))</f>
        <v>Adult</v>
      </c>
      <c r="D461" s="3">
        <v>30</v>
      </c>
      <c r="E461" s="3" t="s">
        <v>250</v>
      </c>
      <c r="F461" s="4" t="s">
        <v>17</v>
      </c>
      <c r="G461" s="4" t="s">
        <v>27</v>
      </c>
      <c r="H461" t="s">
        <v>13</v>
      </c>
      <c r="I461" s="3">
        <v>2</v>
      </c>
      <c r="J461" s="5">
        <v>1372</v>
      </c>
      <c r="K461" s="7">
        <v>2744</v>
      </c>
      <c r="L461" s="6">
        <v>45306</v>
      </c>
      <c r="M461" s="8" t="str">
        <f>IF(K461&gt;10000,"High",IF(K461&gt;5000,"Medium","Low"))</f>
        <v>Low</v>
      </c>
      <c r="N461" s="4" t="s">
        <v>241</v>
      </c>
      <c r="O461" s="3">
        <v>1</v>
      </c>
      <c r="P461" s="3">
        <v>2024</v>
      </c>
      <c r="T461" s="4"/>
      <c r="X461"/>
      <c r="Y461" s="3"/>
      <c r="AA461"/>
    </row>
    <row r="462" spans="1:27" x14ac:dyDescent="0.3">
      <c r="A462" s="3">
        <v>1870</v>
      </c>
      <c r="B462" s="4" t="s">
        <v>54</v>
      </c>
      <c r="C462" s="4" t="str">
        <f>IF(D462="","Unknown",IF(D462&lt;20,"Teen",IF(D462&lt;40,"Adult","Senior")))</f>
        <v>Adult</v>
      </c>
      <c r="D462" s="3">
        <v>30</v>
      </c>
      <c r="E462" s="3" t="s">
        <v>250</v>
      </c>
      <c r="F462" s="4" t="s">
        <v>40</v>
      </c>
      <c r="G462" s="4" t="s">
        <v>51</v>
      </c>
      <c r="H462" t="s">
        <v>13</v>
      </c>
      <c r="I462" s="3">
        <v>3</v>
      </c>
      <c r="J462" s="5">
        <v>10074</v>
      </c>
      <c r="K462" s="7">
        <v>30222</v>
      </c>
      <c r="L462" s="6">
        <v>45308</v>
      </c>
      <c r="M462" s="8" t="str">
        <f>IF(K462&gt;10000,"High",IF(K462&gt;5000,"Medium","Low"))</f>
        <v>High</v>
      </c>
      <c r="N462" s="4" t="s">
        <v>243</v>
      </c>
      <c r="O462" s="3">
        <v>1</v>
      </c>
      <c r="P462" s="3">
        <v>2024</v>
      </c>
      <c r="T462" s="4"/>
      <c r="X462"/>
      <c r="Y462" s="3"/>
      <c r="AA462"/>
    </row>
    <row r="463" spans="1:27" x14ac:dyDescent="0.3">
      <c r="A463" s="3">
        <v>1872</v>
      </c>
      <c r="B463" s="4" t="s">
        <v>25</v>
      </c>
      <c r="C463" s="4" t="str">
        <f>IF(D463="","Unknown",IF(D463&lt;20,"Teen",IF(D463&lt;40,"Adult","Senior")))</f>
        <v>Adult</v>
      </c>
      <c r="D463" s="3">
        <v>30</v>
      </c>
      <c r="E463" s="3" t="s">
        <v>250</v>
      </c>
      <c r="F463" s="4" t="s">
        <v>17</v>
      </c>
      <c r="G463" s="4" t="s">
        <v>23</v>
      </c>
      <c r="H463" t="s">
        <v>30</v>
      </c>
      <c r="I463" s="3">
        <v>5</v>
      </c>
      <c r="J463" s="5">
        <v>1000</v>
      </c>
      <c r="K463" s="7">
        <v>5000</v>
      </c>
      <c r="L463" s="6">
        <v>45306</v>
      </c>
      <c r="M463" s="8" t="str">
        <f>IF(K463&gt;10000,"High",IF(K463&gt;5000,"Medium","Low"))</f>
        <v>Low</v>
      </c>
      <c r="N463" s="4" t="s">
        <v>241</v>
      </c>
      <c r="O463" s="3">
        <v>1</v>
      </c>
      <c r="P463" s="3">
        <v>2024</v>
      </c>
      <c r="T463" s="4"/>
      <c r="X463"/>
      <c r="Y463" s="3"/>
      <c r="AA463"/>
    </row>
    <row r="464" spans="1:27" x14ac:dyDescent="0.3">
      <c r="A464" s="3">
        <v>1874</v>
      </c>
      <c r="B464" s="4" t="s">
        <v>54</v>
      </c>
      <c r="C464" s="4" t="str">
        <f>IF(D464="","Unknown",IF(D464&lt;20,"Teen",IF(D464&lt;40,"Adult","Senior")))</f>
        <v>Adult</v>
      </c>
      <c r="D464" s="3">
        <v>30</v>
      </c>
      <c r="E464" s="3" t="s">
        <v>250</v>
      </c>
      <c r="F464" s="4" t="s">
        <v>40</v>
      </c>
      <c r="G464" s="4" t="s">
        <v>27</v>
      </c>
      <c r="H464" t="s">
        <v>13</v>
      </c>
      <c r="I464" s="3">
        <v>2</v>
      </c>
      <c r="J464" s="5">
        <v>48082</v>
      </c>
      <c r="K464" s="7">
        <v>96164</v>
      </c>
      <c r="L464" s="6">
        <v>45304</v>
      </c>
      <c r="M464" s="8" t="str">
        <f>IF(K464&gt;10000,"High",IF(K464&gt;5000,"Medium","Low"))</f>
        <v>High</v>
      </c>
      <c r="N464" s="4" t="s">
        <v>241</v>
      </c>
      <c r="O464" s="3">
        <v>1</v>
      </c>
      <c r="P464" s="3">
        <v>2024</v>
      </c>
      <c r="T464" s="4"/>
      <c r="X464"/>
      <c r="Y464" s="3"/>
      <c r="AA464"/>
    </row>
    <row r="465" spans="1:27" x14ac:dyDescent="0.3">
      <c r="A465" s="3">
        <v>1876</v>
      </c>
      <c r="B465" s="4" t="s">
        <v>64</v>
      </c>
      <c r="C465" s="4" t="str">
        <f>IF(D465="","Unknown",IF(D465&lt;20,"Teen",IF(D465&lt;40,"Adult","Senior")))</f>
        <v>Adult</v>
      </c>
      <c r="D465" s="3">
        <v>30</v>
      </c>
      <c r="E465" s="3" t="s">
        <v>250</v>
      </c>
      <c r="F465" s="4" t="s">
        <v>40</v>
      </c>
      <c r="G465" s="4" t="s">
        <v>41</v>
      </c>
      <c r="H465" t="s">
        <v>36</v>
      </c>
      <c r="I465" s="3">
        <v>2</v>
      </c>
      <c r="J465" s="5">
        <v>1000</v>
      </c>
      <c r="K465" s="7">
        <v>2000</v>
      </c>
      <c r="L465" s="6">
        <v>45294</v>
      </c>
      <c r="M465" s="8" t="str">
        <f>IF(K465&gt;10000,"High",IF(K465&gt;5000,"Medium","Low"))</f>
        <v>Low</v>
      </c>
      <c r="N465" s="4" t="s">
        <v>240</v>
      </c>
      <c r="O465" s="3">
        <v>1</v>
      </c>
      <c r="P465" s="3">
        <v>2024</v>
      </c>
      <c r="T465" s="4"/>
      <c r="X465"/>
      <c r="Y465" s="3"/>
      <c r="AA465"/>
    </row>
    <row r="466" spans="1:27" x14ac:dyDescent="0.3">
      <c r="A466" s="3">
        <v>1883</v>
      </c>
      <c r="B466" s="4" t="s">
        <v>32</v>
      </c>
      <c r="C466" s="4" t="str">
        <f>IF(D466="","Unknown",IF(D466&lt;20,"Teen",IF(D466&lt;40,"Adult","Senior")))</f>
        <v>Senior</v>
      </c>
      <c r="D466" s="3">
        <v>47</v>
      </c>
      <c r="E466" s="3" t="s">
        <v>249</v>
      </c>
      <c r="F466" s="4" t="s">
        <v>40</v>
      </c>
      <c r="G466" s="4" t="s">
        <v>44</v>
      </c>
      <c r="H466" t="s">
        <v>36</v>
      </c>
      <c r="I466" s="3">
        <v>2</v>
      </c>
      <c r="J466" s="5">
        <v>1000</v>
      </c>
      <c r="K466" s="7">
        <v>2000</v>
      </c>
      <c r="L466" s="6">
        <v>45318</v>
      </c>
      <c r="M466" s="8" t="str">
        <f>IF(K466&gt;10000,"High",IF(K466&gt;5000,"Medium","Low"))</f>
        <v>Low</v>
      </c>
      <c r="N466" s="4" t="s">
        <v>241</v>
      </c>
      <c r="O466" s="3">
        <v>1</v>
      </c>
      <c r="P466" s="3">
        <v>2024</v>
      </c>
      <c r="T466" s="4"/>
      <c r="X466"/>
      <c r="Y466" s="3"/>
      <c r="AA466"/>
    </row>
    <row r="467" spans="1:27" x14ac:dyDescent="0.3">
      <c r="A467" s="3">
        <v>1884</v>
      </c>
      <c r="B467" s="4" t="s">
        <v>38</v>
      </c>
      <c r="C467" s="4" t="str">
        <f>IF(D467="","Unknown",IF(D467&lt;20,"Teen",IF(D467&lt;40,"Adult","Senior")))</f>
        <v>Adult</v>
      </c>
      <c r="D467" s="3">
        <v>38</v>
      </c>
      <c r="E467" s="3" t="s">
        <v>249</v>
      </c>
      <c r="F467" s="4" t="s">
        <v>17</v>
      </c>
      <c r="G467" s="4" t="s">
        <v>51</v>
      </c>
      <c r="H467" t="s">
        <v>13</v>
      </c>
      <c r="I467" s="3">
        <v>2</v>
      </c>
      <c r="J467" s="5">
        <v>1000</v>
      </c>
      <c r="K467" s="7">
        <v>2000</v>
      </c>
      <c r="L467" s="6">
        <v>45322</v>
      </c>
      <c r="M467" s="8" t="str">
        <f>IF(K467&gt;10000,"High",IF(K467&gt;5000,"Medium","Low"))</f>
        <v>Low</v>
      </c>
      <c r="N467" s="4" t="s">
        <v>241</v>
      </c>
      <c r="O467" s="3">
        <v>1</v>
      </c>
      <c r="P467" s="3">
        <v>2024</v>
      </c>
      <c r="T467" s="4"/>
      <c r="X467"/>
      <c r="Y467" s="3"/>
      <c r="AA467"/>
    </row>
    <row r="468" spans="1:27" x14ac:dyDescent="0.3">
      <c r="A468" s="3">
        <v>1888</v>
      </c>
      <c r="B468" s="4" t="s">
        <v>38</v>
      </c>
      <c r="C468" s="4" t="str">
        <f>IF(D468="","Unknown",IF(D468&lt;20,"Teen",IF(D468&lt;40,"Adult","Senior")))</f>
        <v>Adult</v>
      </c>
      <c r="D468" s="3">
        <v>30</v>
      </c>
      <c r="E468" s="3" t="s">
        <v>250</v>
      </c>
      <c r="F468" s="4" t="s">
        <v>17</v>
      </c>
      <c r="G468" s="4" t="s">
        <v>55</v>
      </c>
      <c r="H468" t="s">
        <v>36</v>
      </c>
      <c r="I468" s="3">
        <v>4</v>
      </c>
      <c r="J468" s="5">
        <v>40092</v>
      </c>
      <c r="K468" s="7">
        <v>160368</v>
      </c>
      <c r="L468" s="6">
        <v>45318</v>
      </c>
      <c r="M468" s="8" t="str">
        <f>IF(K468&gt;10000,"High",IF(K468&gt;5000,"Medium","Low"))</f>
        <v>High</v>
      </c>
      <c r="N468" s="4" t="s">
        <v>240</v>
      </c>
      <c r="O468" s="3">
        <v>1</v>
      </c>
      <c r="P468" s="3">
        <v>2024</v>
      </c>
      <c r="T468" s="4"/>
      <c r="X468"/>
      <c r="Y468" s="3"/>
      <c r="AA468"/>
    </row>
    <row r="469" spans="1:27" x14ac:dyDescent="0.3">
      <c r="A469" s="3">
        <v>1890</v>
      </c>
      <c r="B469" s="4" t="s">
        <v>48</v>
      </c>
      <c r="C469" s="4" t="str">
        <f>IF(D469="","Unknown",IF(D469&lt;20,"Teen",IF(D469&lt;40,"Adult","Senior")))</f>
        <v>Adult</v>
      </c>
      <c r="D469" s="3">
        <v>35</v>
      </c>
      <c r="E469" s="3" t="s">
        <v>249</v>
      </c>
      <c r="F469" s="4" t="s">
        <v>40</v>
      </c>
      <c r="G469" s="4" t="s">
        <v>41</v>
      </c>
      <c r="H469" t="s">
        <v>36</v>
      </c>
      <c r="I469" s="3">
        <v>1</v>
      </c>
      <c r="J469" s="5">
        <v>15025</v>
      </c>
      <c r="K469" s="7">
        <v>15025</v>
      </c>
      <c r="L469" s="6">
        <v>45300</v>
      </c>
      <c r="M469" s="8" t="str">
        <f>IF(K469&gt;10000,"High",IF(K469&gt;5000,"Medium","Low"))</f>
        <v>High</v>
      </c>
      <c r="N469" s="4" t="s">
        <v>240</v>
      </c>
      <c r="O469" s="3">
        <v>1</v>
      </c>
      <c r="P469" s="3">
        <v>2024</v>
      </c>
      <c r="T469" s="4"/>
      <c r="X469"/>
      <c r="Y469" s="3"/>
      <c r="AA469"/>
    </row>
    <row r="470" spans="1:27" x14ac:dyDescent="0.3">
      <c r="A470" s="3">
        <v>1897</v>
      </c>
      <c r="B470" s="4" t="s">
        <v>25</v>
      </c>
      <c r="C470" s="4" t="str">
        <f>IF(D470="","Unknown",IF(D470&lt;20,"Teen",IF(D470&lt;40,"Adult","Senior")))</f>
        <v>Adult</v>
      </c>
      <c r="D470" s="3">
        <v>30</v>
      </c>
      <c r="E470" s="3" t="s">
        <v>250</v>
      </c>
      <c r="F470" s="4" t="s">
        <v>40</v>
      </c>
      <c r="G470" s="4" t="s">
        <v>55</v>
      </c>
      <c r="H470" t="s">
        <v>36</v>
      </c>
      <c r="I470" s="3">
        <v>2</v>
      </c>
      <c r="J470" s="5">
        <v>1000</v>
      </c>
      <c r="K470" s="7">
        <v>2000</v>
      </c>
      <c r="L470" s="6">
        <v>45310</v>
      </c>
      <c r="M470" s="8" t="str">
        <f>IF(K470&gt;10000,"High",IF(K470&gt;5000,"Medium","Low"))</f>
        <v>Low</v>
      </c>
      <c r="N470" s="4" t="s">
        <v>242</v>
      </c>
      <c r="O470" s="3">
        <v>1</v>
      </c>
      <c r="P470" s="3">
        <v>2024</v>
      </c>
      <c r="T470" s="4"/>
      <c r="X470"/>
      <c r="Y470" s="3"/>
      <c r="AA470"/>
    </row>
    <row r="471" spans="1:27" x14ac:dyDescent="0.3">
      <c r="A471" s="3">
        <v>1898</v>
      </c>
      <c r="B471" s="4" t="s">
        <v>32</v>
      </c>
      <c r="C471" s="4" t="str">
        <f>IF(D471="","Unknown",IF(D471&lt;20,"Teen",IF(D471&lt;40,"Adult","Senior")))</f>
        <v>Senior</v>
      </c>
      <c r="D471" s="3">
        <v>47</v>
      </c>
      <c r="E471" s="3" t="s">
        <v>249</v>
      </c>
      <c r="F471" s="4" t="s">
        <v>40</v>
      </c>
      <c r="G471" s="4" t="s">
        <v>51</v>
      </c>
      <c r="H471" t="s">
        <v>13</v>
      </c>
      <c r="I471" s="3">
        <v>2</v>
      </c>
      <c r="J471" s="5">
        <v>40388</v>
      </c>
      <c r="K471" s="7">
        <v>80776</v>
      </c>
      <c r="L471" s="6">
        <v>45318</v>
      </c>
      <c r="M471" s="8" t="str">
        <f>IF(K471&gt;10000,"High",IF(K471&gt;5000,"Medium","Low"))</f>
        <v>High</v>
      </c>
      <c r="N471" s="4" t="s">
        <v>244</v>
      </c>
      <c r="O471" s="3">
        <v>1</v>
      </c>
      <c r="P471" s="3">
        <v>2024</v>
      </c>
      <c r="T471" s="4"/>
      <c r="X471"/>
      <c r="Y471" s="3"/>
      <c r="AA471"/>
    </row>
    <row r="472" spans="1:27" x14ac:dyDescent="0.3">
      <c r="A472" s="3">
        <v>1899</v>
      </c>
      <c r="B472" s="4" t="s">
        <v>21</v>
      </c>
      <c r="C472" s="4" t="str">
        <f>IF(D472="","Unknown",IF(D472&lt;20,"Teen",IF(D472&lt;40,"Adult","Senior")))</f>
        <v>Adult</v>
      </c>
      <c r="D472" s="3">
        <v>30</v>
      </c>
      <c r="E472" s="3" t="s">
        <v>250</v>
      </c>
      <c r="F472" s="4" t="s">
        <v>40</v>
      </c>
      <c r="G472" s="4" t="s">
        <v>12</v>
      </c>
      <c r="H472" t="s">
        <v>13</v>
      </c>
      <c r="I472" s="3">
        <v>2</v>
      </c>
      <c r="J472" s="5">
        <v>1000</v>
      </c>
      <c r="K472" s="7">
        <v>2000</v>
      </c>
      <c r="L472" s="6">
        <v>45294</v>
      </c>
      <c r="M472" s="8" t="str">
        <f>IF(K472&gt;10000,"High",IF(K472&gt;5000,"Medium","Low"))</f>
        <v>Low</v>
      </c>
      <c r="N472" s="4" t="s">
        <v>243</v>
      </c>
      <c r="O472" s="3">
        <v>1</v>
      </c>
      <c r="P472" s="3">
        <v>2024</v>
      </c>
      <c r="T472" s="4"/>
      <c r="X472"/>
      <c r="Y472" s="3"/>
      <c r="AA472"/>
    </row>
    <row r="473" spans="1:27" x14ac:dyDescent="0.3">
      <c r="A473" s="3">
        <v>1900</v>
      </c>
      <c r="B473" s="4" t="s">
        <v>16</v>
      </c>
      <c r="C473" s="4" t="str">
        <f>IF(D473="","Unknown",IF(D473&lt;20,"Teen",IF(D473&lt;40,"Adult","Senior")))</f>
        <v>Adult</v>
      </c>
      <c r="D473" s="3">
        <v>39</v>
      </c>
      <c r="E473" s="3" t="s">
        <v>249</v>
      </c>
      <c r="F473" s="4" t="s">
        <v>40</v>
      </c>
      <c r="G473" s="4" t="s">
        <v>12</v>
      </c>
      <c r="H473" t="s">
        <v>13</v>
      </c>
      <c r="I473" s="3">
        <v>2</v>
      </c>
      <c r="J473" s="5">
        <v>1000</v>
      </c>
      <c r="K473" s="7">
        <v>2000</v>
      </c>
      <c r="L473" s="6">
        <v>45298</v>
      </c>
      <c r="M473" s="8" t="str">
        <f>IF(K473&gt;10000,"High",IF(K473&gt;5000,"Medium","Low"))</f>
        <v>Low</v>
      </c>
      <c r="N473" s="4" t="s">
        <v>242</v>
      </c>
      <c r="O473" s="3">
        <v>1</v>
      </c>
      <c r="P473" s="3">
        <v>2024</v>
      </c>
      <c r="T473" s="4"/>
      <c r="X473"/>
      <c r="Y473" s="3"/>
      <c r="AA473"/>
    </row>
    <row r="474" spans="1:27" x14ac:dyDescent="0.3">
      <c r="A474" s="3">
        <v>1901</v>
      </c>
      <c r="B474" s="4" t="s">
        <v>10</v>
      </c>
      <c r="C474" s="4" t="str">
        <f>IF(D474="","Unknown",IF(D474&lt;20,"Teen",IF(D474&lt;40,"Adult","Senior")))</f>
        <v>Adult</v>
      </c>
      <c r="D474" s="3">
        <v>30</v>
      </c>
      <c r="E474" s="3" t="s">
        <v>250</v>
      </c>
      <c r="F474" s="4" t="s">
        <v>40</v>
      </c>
      <c r="G474" s="4" t="s">
        <v>23</v>
      </c>
      <c r="H474" t="s">
        <v>30</v>
      </c>
      <c r="I474" s="3">
        <v>4</v>
      </c>
      <c r="J474" s="5">
        <v>15732</v>
      </c>
      <c r="K474" s="7">
        <v>62928</v>
      </c>
      <c r="L474" s="6">
        <v>45320</v>
      </c>
      <c r="M474" s="8" t="str">
        <f>IF(K474&gt;10000,"High",IF(K474&gt;5000,"Medium","Low"))</f>
        <v>High</v>
      </c>
      <c r="N474" s="4" t="s">
        <v>241</v>
      </c>
      <c r="O474" s="3">
        <v>1</v>
      </c>
      <c r="P474" s="3">
        <v>2024</v>
      </c>
      <c r="T474" s="4"/>
      <c r="X474"/>
      <c r="Y474" s="3"/>
      <c r="AA474"/>
    </row>
    <row r="475" spans="1:27" x14ac:dyDescent="0.3">
      <c r="A475" s="3">
        <v>1902</v>
      </c>
      <c r="B475" s="4" t="s">
        <v>69</v>
      </c>
      <c r="C475" s="4" t="str">
        <f>IF(D475="","Unknown",IF(D475&lt;20,"Teen",IF(D475&lt;40,"Adult","Senior")))</f>
        <v>Adult</v>
      </c>
      <c r="D475" s="3">
        <v>36</v>
      </c>
      <c r="E475" s="3" t="s">
        <v>249</v>
      </c>
      <c r="F475" s="4" t="s">
        <v>40</v>
      </c>
      <c r="G475" s="4" t="s">
        <v>44</v>
      </c>
      <c r="H475" t="s">
        <v>36</v>
      </c>
      <c r="I475" s="3">
        <v>4</v>
      </c>
      <c r="J475" s="5">
        <v>1000</v>
      </c>
      <c r="K475" s="7">
        <v>4000</v>
      </c>
      <c r="L475" s="6">
        <v>45299</v>
      </c>
      <c r="M475" s="8" t="str">
        <f>IF(K475&gt;10000,"High",IF(K475&gt;5000,"Medium","Low"))</f>
        <v>Low</v>
      </c>
      <c r="N475" s="4" t="s">
        <v>242</v>
      </c>
      <c r="O475" s="3">
        <v>1</v>
      </c>
      <c r="P475" s="3">
        <v>2024</v>
      </c>
      <c r="T475" s="4"/>
      <c r="X475"/>
      <c r="Y475" s="3"/>
      <c r="AA475"/>
    </row>
    <row r="476" spans="1:27" x14ac:dyDescent="0.3">
      <c r="A476" s="3">
        <v>1903</v>
      </c>
      <c r="B476" s="4" t="s">
        <v>69</v>
      </c>
      <c r="C476" s="4" t="str">
        <f>IF(D476="","Unknown",IF(D476&lt;20,"Teen",IF(D476&lt;40,"Adult","Senior")))</f>
        <v>Adult</v>
      </c>
      <c r="D476" s="3">
        <v>30</v>
      </c>
      <c r="E476" s="3" t="s">
        <v>250</v>
      </c>
      <c r="F476" s="4" t="s">
        <v>17</v>
      </c>
      <c r="G476" s="4" t="s">
        <v>44</v>
      </c>
      <c r="H476" t="s">
        <v>36</v>
      </c>
      <c r="I476" s="3">
        <v>2</v>
      </c>
      <c r="J476" s="5">
        <v>1000</v>
      </c>
      <c r="K476" s="7">
        <v>2000</v>
      </c>
      <c r="L476" s="6">
        <v>45311</v>
      </c>
      <c r="M476" s="8" t="str">
        <f>IF(K476&gt;10000,"High",IF(K476&gt;5000,"Medium","Low"))</f>
        <v>Low</v>
      </c>
      <c r="N476" s="4" t="s">
        <v>241</v>
      </c>
      <c r="O476" s="3">
        <v>1</v>
      </c>
      <c r="P476" s="3">
        <v>2024</v>
      </c>
      <c r="T476" s="4"/>
      <c r="X476"/>
      <c r="Y476" s="3"/>
      <c r="AA476"/>
    </row>
    <row r="477" spans="1:27" x14ac:dyDescent="0.3">
      <c r="A477" s="3">
        <v>1905</v>
      </c>
      <c r="B477" s="4" t="s">
        <v>78</v>
      </c>
      <c r="C477" s="4" t="str">
        <f>IF(D477="","Unknown",IF(D477&lt;20,"Teen",IF(D477&lt;40,"Adult","Senior")))</f>
        <v>Adult</v>
      </c>
      <c r="D477" s="3">
        <v>28</v>
      </c>
      <c r="E477" s="3" t="s">
        <v>250</v>
      </c>
      <c r="F477" s="4" t="s">
        <v>17</v>
      </c>
      <c r="G477" s="4" t="s">
        <v>12</v>
      </c>
      <c r="H477" t="s">
        <v>13</v>
      </c>
      <c r="I477" s="3">
        <v>1</v>
      </c>
      <c r="J477" s="5">
        <v>1000</v>
      </c>
      <c r="K477" s="7">
        <v>1000</v>
      </c>
      <c r="L477" s="6">
        <v>45312</v>
      </c>
      <c r="M477" s="8" t="str">
        <f>IF(K477&gt;10000,"High",IF(K477&gt;5000,"Medium","Low"))</f>
        <v>Low</v>
      </c>
      <c r="N477" s="4" t="s">
        <v>242</v>
      </c>
      <c r="O477" s="3">
        <v>1</v>
      </c>
      <c r="P477" s="3">
        <v>2024</v>
      </c>
      <c r="T477" s="4"/>
      <c r="X477"/>
      <c r="Y477" s="3"/>
      <c r="AA477"/>
    </row>
    <row r="478" spans="1:27" x14ac:dyDescent="0.3">
      <c r="A478" s="3">
        <v>1906</v>
      </c>
      <c r="B478" s="4" t="s">
        <v>48</v>
      </c>
      <c r="C478" s="4" t="str">
        <f>IF(D478="","Unknown",IF(D478&lt;20,"Teen",IF(D478&lt;40,"Adult","Senior")))</f>
        <v>Adult</v>
      </c>
      <c r="D478" s="3">
        <v>28</v>
      </c>
      <c r="E478" s="3" t="s">
        <v>250</v>
      </c>
      <c r="F478" s="4" t="s">
        <v>40</v>
      </c>
      <c r="G478" s="4" t="s">
        <v>51</v>
      </c>
      <c r="H478" t="s">
        <v>13</v>
      </c>
      <c r="I478" s="3">
        <v>2</v>
      </c>
      <c r="J478" s="5">
        <v>1000</v>
      </c>
      <c r="K478" s="7">
        <v>2000</v>
      </c>
      <c r="L478" s="6">
        <v>45292</v>
      </c>
      <c r="M478" s="8" t="str">
        <f>IF(K478&gt;10000,"High",IF(K478&gt;5000,"Medium","Low"))</f>
        <v>Low</v>
      </c>
      <c r="N478" s="4" t="s">
        <v>241</v>
      </c>
      <c r="O478" s="3">
        <v>1</v>
      </c>
      <c r="P478" s="3">
        <v>2024</v>
      </c>
      <c r="T478" s="4"/>
      <c r="X478"/>
      <c r="Y478" s="3"/>
      <c r="AA478"/>
    </row>
    <row r="479" spans="1:27" x14ac:dyDescent="0.3">
      <c r="A479" s="3">
        <v>1909</v>
      </c>
      <c r="B479" s="4" t="s">
        <v>64</v>
      </c>
      <c r="C479" s="4" t="str">
        <f>IF(D479="","Unknown",IF(D479&lt;20,"Teen",IF(D479&lt;40,"Adult","Senior")))</f>
        <v>Adult</v>
      </c>
      <c r="D479" s="3">
        <v>30</v>
      </c>
      <c r="E479" s="3" t="s">
        <v>250</v>
      </c>
      <c r="F479" s="4" t="s">
        <v>40</v>
      </c>
      <c r="G479" s="4" t="s">
        <v>41</v>
      </c>
      <c r="H479" t="s">
        <v>36</v>
      </c>
      <c r="I479" s="3">
        <v>2</v>
      </c>
      <c r="J479" s="5">
        <v>1000</v>
      </c>
      <c r="K479" s="7">
        <v>2000</v>
      </c>
      <c r="L479" s="6">
        <v>45302</v>
      </c>
      <c r="M479" s="8" t="str">
        <f>IF(K479&gt;10000,"High",IF(K479&gt;5000,"Medium","Low"))</f>
        <v>Low</v>
      </c>
      <c r="N479" s="4" t="s">
        <v>244</v>
      </c>
      <c r="O479" s="3">
        <v>1</v>
      </c>
      <c r="P479" s="3">
        <v>2024</v>
      </c>
      <c r="T479" s="4"/>
      <c r="X479"/>
      <c r="Y479" s="3"/>
      <c r="AA479"/>
    </row>
    <row r="480" spans="1:27" x14ac:dyDescent="0.3">
      <c r="A480" s="3">
        <v>1912</v>
      </c>
      <c r="B480" s="4" t="s">
        <v>73</v>
      </c>
      <c r="C480" s="4" t="str">
        <f>IF(D480="","Unknown",IF(D480&lt;20,"Teen",IF(D480&lt;40,"Adult","Senior")))</f>
        <v>Senior</v>
      </c>
      <c r="D480" s="3">
        <v>43</v>
      </c>
      <c r="E480" s="3" t="s">
        <v>249</v>
      </c>
      <c r="F480" s="4" t="s">
        <v>17</v>
      </c>
      <c r="G480" s="4" t="s">
        <v>44</v>
      </c>
      <c r="H480" t="s">
        <v>36</v>
      </c>
      <c r="I480" s="3">
        <v>5</v>
      </c>
      <c r="J480" s="5">
        <v>12286</v>
      </c>
      <c r="K480" s="7">
        <v>61430</v>
      </c>
      <c r="L480" s="6">
        <v>45319</v>
      </c>
      <c r="M480" s="8" t="str">
        <f>IF(K480&gt;10000,"High",IF(K480&gt;5000,"Medium","Low"))</f>
        <v>High</v>
      </c>
      <c r="N480" s="4" t="s">
        <v>240</v>
      </c>
      <c r="O480" s="3">
        <v>1</v>
      </c>
      <c r="P480" s="3">
        <v>2024</v>
      </c>
      <c r="T480" s="4"/>
      <c r="X480"/>
      <c r="Y480" s="3"/>
      <c r="AA480"/>
    </row>
    <row r="481" spans="1:27" x14ac:dyDescent="0.3">
      <c r="A481" s="3">
        <v>1915</v>
      </c>
      <c r="B481" s="4" t="s">
        <v>25</v>
      </c>
      <c r="C481" s="4" t="str">
        <f>IF(D481="","Unknown",IF(D481&lt;20,"Teen",IF(D481&lt;40,"Adult","Senior")))</f>
        <v>Adult</v>
      </c>
      <c r="D481" s="3">
        <v>30</v>
      </c>
      <c r="E481" s="3" t="s">
        <v>250</v>
      </c>
      <c r="F481" s="4" t="s">
        <v>40</v>
      </c>
      <c r="G481" s="4" t="s">
        <v>18</v>
      </c>
      <c r="H481" t="s">
        <v>30</v>
      </c>
      <c r="I481" s="3">
        <v>2</v>
      </c>
      <c r="J481" s="5">
        <v>1000</v>
      </c>
      <c r="K481" s="7">
        <v>2000</v>
      </c>
      <c r="L481" s="6">
        <v>45310</v>
      </c>
      <c r="M481" s="8" t="str">
        <f>IF(K481&gt;10000,"High",IF(K481&gt;5000,"Medium","Low"))</f>
        <v>Low</v>
      </c>
      <c r="N481" s="4" t="s">
        <v>243</v>
      </c>
      <c r="O481" s="3">
        <v>1</v>
      </c>
      <c r="P481" s="3">
        <v>2024</v>
      </c>
      <c r="T481" s="4"/>
      <c r="X481"/>
      <c r="Y481" s="3"/>
      <c r="AA481"/>
    </row>
    <row r="482" spans="1:27" x14ac:dyDescent="0.3">
      <c r="A482" s="3">
        <v>1916</v>
      </c>
      <c r="B482" s="4" t="s">
        <v>16</v>
      </c>
      <c r="C482" s="4" t="str">
        <f>IF(D482="","Unknown",IF(D482&lt;20,"Teen",IF(D482&lt;40,"Adult","Senior")))</f>
        <v>Adult</v>
      </c>
      <c r="D482" s="3">
        <v>30</v>
      </c>
      <c r="E482" s="3" t="s">
        <v>250</v>
      </c>
      <c r="F482" s="4" t="s">
        <v>17</v>
      </c>
      <c r="G482" s="4" t="s">
        <v>27</v>
      </c>
      <c r="H482" t="s">
        <v>13</v>
      </c>
      <c r="I482" s="3">
        <v>2</v>
      </c>
      <c r="J482" s="5">
        <v>25176</v>
      </c>
      <c r="K482" s="7">
        <v>50352</v>
      </c>
      <c r="L482" s="6">
        <v>45292</v>
      </c>
      <c r="M482" s="8" t="str">
        <f>IF(K482&gt;10000,"High",IF(K482&gt;5000,"Medium","Low"))</f>
        <v>High</v>
      </c>
      <c r="N482" s="4" t="s">
        <v>244</v>
      </c>
      <c r="O482" s="3">
        <v>1</v>
      </c>
      <c r="P482" s="3">
        <v>2024</v>
      </c>
      <c r="T482" s="4"/>
      <c r="X482"/>
      <c r="Y482" s="3"/>
      <c r="AA482"/>
    </row>
    <row r="483" spans="1:27" x14ac:dyDescent="0.3">
      <c r="A483" s="3">
        <v>1924</v>
      </c>
      <c r="B483" s="4" t="s">
        <v>25</v>
      </c>
      <c r="C483" s="4" t="str">
        <f>IF(D483="","Unknown",IF(D483&lt;20,"Teen",IF(D483&lt;40,"Adult","Senior")))</f>
        <v>Teen</v>
      </c>
      <c r="D483" s="3">
        <v>18</v>
      </c>
      <c r="E483" s="3" t="s">
        <v>251</v>
      </c>
      <c r="F483" s="4" t="s">
        <v>40</v>
      </c>
      <c r="G483" s="4" t="s">
        <v>12</v>
      </c>
      <c r="H483" t="s">
        <v>13</v>
      </c>
      <c r="I483" s="3">
        <v>1</v>
      </c>
      <c r="J483" s="5">
        <v>16007</v>
      </c>
      <c r="K483" s="7">
        <v>16007</v>
      </c>
      <c r="L483" s="6">
        <v>45311</v>
      </c>
      <c r="M483" s="8" t="str">
        <f>IF(K483&gt;10000,"High",IF(K483&gt;5000,"Medium","Low"))</f>
        <v>High</v>
      </c>
      <c r="N483" s="4" t="s">
        <v>244</v>
      </c>
      <c r="O483" s="3">
        <v>1</v>
      </c>
      <c r="P483" s="3">
        <v>2024</v>
      </c>
      <c r="T483" s="4"/>
      <c r="X483"/>
      <c r="Y483" s="3"/>
      <c r="AA483"/>
    </row>
    <row r="484" spans="1:27" x14ac:dyDescent="0.3">
      <c r="A484" s="3">
        <v>1928</v>
      </c>
      <c r="B484" s="4" t="s">
        <v>68</v>
      </c>
      <c r="C484" s="4" t="str">
        <f>IF(D484="","Unknown",IF(D484&lt;20,"Teen",IF(D484&lt;40,"Adult","Senior")))</f>
        <v>Senior</v>
      </c>
      <c r="D484" s="3">
        <v>42</v>
      </c>
      <c r="E484" s="3" t="s">
        <v>249</v>
      </c>
      <c r="F484" s="4" t="s">
        <v>17</v>
      </c>
      <c r="G484" s="4" t="s">
        <v>44</v>
      </c>
      <c r="H484" t="s">
        <v>36</v>
      </c>
      <c r="I484" s="3">
        <v>2</v>
      </c>
      <c r="J484" s="5">
        <v>1000</v>
      </c>
      <c r="K484" s="7">
        <v>2000</v>
      </c>
      <c r="L484" s="6">
        <v>45321</v>
      </c>
      <c r="M484" s="8" t="str">
        <f>IF(K484&gt;10000,"High",IF(K484&gt;5000,"Medium","Low"))</f>
        <v>Low</v>
      </c>
      <c r="N484" s="4" t="s">
        <v>243</v>
      </c>
      <c r="O484" s="3">
        <v>1</v>
      </c>
      <c r="P484" s="3">
        <v>2024</v>
      </c>
      <c r="T484" s="4"/>
      <c r="X484"/>
      <c r="Y484" s="3"/>
      <c r="AA484"/>
    </row>
    <row r="485" spans="1:27" x14ac:dyDescent="0.3">
      <c r="A485" s="3">
        <v>1930</v>
      </c>
      <c r="B485" s="4" t="s">
        <v>73</v>
      </c>
      <c r="C485" s="4" t="str">
        <f>IF(D485="","Unknown",IF(D485&lt;20,"Teen",IF(D485&lt;40,"Adult","Senior")))</f>
        <v>Adult</v>
      </c>
      <c r="D485" s="3">
        <v>30</v>
      </c>
      <c r="E485" s="3" t="s">
        <v>250</v>
      </c>
      <c r="F485" s="4" t="s">
        <v>40</v>
      </c>
      <c r="G485" s="4" t="s">
        <v>12</v>
      </c>
      <c r="H485" t="s">
        <v>13</v>
      </c>
      <c r="I485" s="3">
        <v>2</v>
      </c>
      <c r="J485" s="5">
        <v>1000</v>
      </c>
      <c r="K485" s="7">
        <v>2000</v>
      </c>
      <c r="L485" s="6">
        <v>45308</v>
      </c>
      <c r="M485" s="8" t="str">
        <f>IF(K485&gt;10000,"High",IF(K485&gt;5000,"Medium","Low"))</f>
        <v>Low</v>
      </c>
      <c r="N485" s="4" t="s">
        <v>240</v>
      </c>
      <c r="O485" s="3">
        <v>1</v>
      </c>
      <c r="P485" s="3">
        <v>2024</v>
      </c>
      <c r="T485" s="4"/>
      <c r="X485"/>
      <c r="Y485" s="3"/>
      <c r="AA485"/>
    </row>
    <row r="486" spans="1:27" x14ac:dyDescent="0.3">
      <c r="A486" s="3">
        <v>1931</v>
      </c>
      <c r="B486" s="4" t="s">
        <v>10</v>
      </c>
      <c r="C486" s="4" t="str">
        <f>IF(D486="","Unknown",IF(D486&lt;20,"Teen",IF(D486&lt;40,"Adult","Senior")))</f>
        <v>Adult</v>
      </c>
      <c r="D486" s="3">
        <v>30</v>
      </c>
      <c r="E486" s="3" t="s">
        <v>250</v>
      </c>
      <c r="F486" s="4" t="s">
        <v>17</v>
      </c>
      <c r="G486" s="4" t="s">
        <v>51</v>
      </c>
      <c r="H486" t="s">
        <v>13</v>
      </c>
      <c r="I486" s="3">
        <v>3</v>
      </c>
      <c r="J486" s="5">
        <v>1000</v>
      </c>
      <c r="K486" s="7">
        <v>3000</v>
      </c>
      <c r="L486" s="6">
        <v>45319</v>
      </c>
      <c r="M486" s="8" t="str">
        <f>IF(K486&gt;10000,"High",IF(K486&gt;5000,"Medium","Low"))</f>
        <v>Low</v>
      </c>
      <c r="N486" s="4" t="s">
        <v>241</v>
      </c>
      <c r="O486" s="3">
        <v>1</v>
      </c>
      <c r="P486" s="3">
        <v>2024</v>
      </c>
      <c r="T486" s="4"/>
      <c r="X486"/>
      <c r="Y486" s="3"/>
      <c r="AA486"/>
    </row>
    <row r="487" spans="1:27" x14ac:dyDescent="0.3">
      <c r="A487" s="3">
        <v>1934</v>
      </c>
      <c r="B487" s="4" t="s">
        <v>57</v>
      </c>
      <c r="C487" s="4" t="str">
        <f>IF(D487="","Unknown",IF(D487&lt;20,"Teen",IF(D487&lt;40,"Adult","Senior")))</f>
        <v>Adult</v>
      </c>
      <c r="D487" s="3">
        <v>22</v>
      </c>
      <c r="E487" s="3" t="s">
        <v>250</v>
      </c>
      <c r="F487" s="4" t="s">
        <v>40</v>
      </c>
      <c r="G487" s="4" t="s">
        <v>55</v>
      </c>
      <c r="H487" t="s">
        <v>36</v>
      </c>
      <c r="I487" s="3">
        <v>3</v>
      </c>
      <c r="J487" s="5">
        <v>20838</v>
      </c>
      <c r="K487" s="7">
        <v>62514</v>
      </c>
      <c r="L487" s="6">
        <v>45322</v>
      </c>
      <c r="M487" s="8" t="str">
        <f>IF(K487&gt;10000,"High",IF(K487&gt;5000,"Medium","Low"))</f>
        <v>High</v>
      </c>
      <c r="N487" s="4" t="s">
        <v>244</v>
      </c>
      <c r="O487" s="3">
        <v>1</v>
      </c>
      <c r="P487" s="3">
        <v>2024</v>
      </c>
      <c r="T487" s="4"/>
      <c r="X487"/>
      <c r="Y487" s="3"/>
      <c r="AA487"/>
    </row>
    <row r="488" spans="1:27" x14ac:dyDescent="0.3">
      <c r="A488" s="3">
        <v>1935</v>
      </c>
      <c r="B488" s="4" t="s">
        <v>62</v>
      </c>
      <c r="C488" s="4" t="str">
        <f>IF(D488="","Unknown",IF(D488&lt;20,"Teen",IF(D488&lt;40,"Adult","Senior")))</f>
        <v>Senior</v>
      </c>
      <c r="D488" s="3">
        <v>44</v>
      </c>
      <c r="E488" s="3" t="s">
        <v>249</v>
      </c>
      <c r="F488" s="4" t="s">
        <v>17</v>
      </c>
      <c r="G488" s="4" t="s">
        <v>41</v>
      </c>
      <c r="H488" t="s">
        <v>36</v>
      </c>
      <c r="I488" s="3">
        <v>1</v>
      </c>
      <c r="J488" s="5">
        <v>1000</v>
      </c>
      <c r="K488" s="7">
        <v>1000</v>
      </c>
      <c r="L488" s="6">
        <v>45317</v>
      </c>
      <c r="M488" s="8" t="str">
        <f>IF(K488&gt;10000,"High",IF(K488&gt;5000,"Medium","Low"))</f>
        <v>Low</v>
      </c>
      <c r="N488" s="4" t="s">
        <v>243</v>
      </c>
      <c r="O488" s="3">
        <v>1</v>
      </c>
      <c r="P488" s="3">
        <v>2024</v>
      </c>
      <c r="T488" s="4"/>
      <c r="X488"/>
      <c r="Y488" s="3"/>
      <c r="AA488"/>
    </row>
    <row r="489" spans="1:27" x14ac:dyDescent="0.3">
      <c r="A489" s="3">
        <v>1936</v>
      </c>
      <c r="B489" s="4" t="s">
        <v>35</v>
      </c>
      <c r="C489" s="4" t="str">
        <f>IF(D489="","Unknown",IF(D489&lt;20,"Teen",IF(D489&lt;40,"Adult","Senior")))</f>
        <v>Adult</v>
      </c>
      <c r="D489" s="3">
        <v>37</v>
      </c>
      <c r="E489" s="3" t="s">
        <v>249</v>
      </c>
      <c r="F489" s="4" t="s">
        <v>40</v>
      </c>
      <c r="G489" s="4" t="s">
        <v>23</v>
      </c>
      <c r="H489" t="s">
        <v>30</v>
      </c>
      <c r="I489" s="3">
        <v>3</v>
      </c>
      <c r="J489" s="5">
        <v>1000</v>
      </c>
      <c r="K489" s="7">
        <v>3000</v>
      </c>
      <c r="L489" s="6">
        <v>45299</v>
      </c>
      <c r="M489" s="8" t="str">
        <f>IF(K489&gt;10000,"High",IF(K489&gt;5000,"Medium","Low"))</f>
        <v>Low</v>
      </c>
      <c r="N489" s="4" t="s">
        <v>242</v>
      </c>
      <c r="O489" s="3">
        <v>1</v>
      </c>
      <c r="P489" s="3">
        <v>2024</v>
      </c>
      <c r="T489" s="4"/>
      <c r="X489"/>
      <c r="Y489" s="3"/>
      <c r="AA489"/>
    </row>
    <row r="490" spans="1:27" x14ac:dyDescent="0.3">
      <c r="A490" s="3">
        <v>1938</v>
      </c>
      <c r="B490" s="4" t="s">
        <v>46</v>
      </c>
      <c r="C490" s="4" t="str">
        <f>IF(D490="","Unknown",IF(D490&lt;20,"Teen",IF(D490&lt;40,"Adult","Senior")))</f>
        <v>Adult</v>
      </c>
      <c r="D490" s="3">
        <v>30</v>
      </c>
      <c r="E490" s="3" t="s">
        <v>250</v>
      </c>
      <c r="F490" s="4" t="s">
        <v>17</v>
      </c>
      <c r="G490" s="4" t="s">
        <v>41</v>
      </c>
      <c r="H490" t="s">
        <v>36</v>
      </c>
      <c r="I490" s="3">
        <v>2</v>
      </c>
      <c r="J490" s="5">
        <v>1000</v>
      </c>
      <c r="K490" s="7">
        <v>2000</v>
      </c>
      <c r="L490" s="6">
        <v>45306</v>
      </c>
      <c r="M490" s="8" t="str">
        <f>IF(K490&gt;10000,"High",IF(K490&gt;5000,"Medium","Low"))</f>
        <v>Low</v>
      </c>
      <c r="N490" s="4" t="s">
        <v>243</v>
      </c>
      <c r="O490" s="3">
        <v>1</v>
      </c>
      <c r="P490" s="3">
        <v>2024</v>
      </c>
      <c r="T490" s="4"/>
      <c r="X490"/>
      <c r="Y490" s="3"/>
      <c r="AA490"/>
    </row>
    <row r="491" spans="1:27" x14ac:dyDescent="0.3">
      <c r="A491" s="3">
        <v>1940</v>
      </c>
      <c r="B491" s="4" t="s">
        <v>78</v>
      </c>
      <c r="C491" s="4" t="str">
        <f>IF(D491="","Unknown",IF(D491&lt;20,"Teen",IF(D491&lt;40,"Adult","Senior")))</f>
        <v>Adult</v>
      </c>
      <c r="D491" s="3">
        <v>30</v>
      </c>
      <c r="E491" s="3" t="s">
        <v>250</v>
      </c>
      <c r="F491" s="4" t="s">
        <v>40</v>
      </c>
      <c r="G491" s="4" t="s">
        <v>18</v>
      </c>
      <c r="H491" t="s">
        <v>30</v>
      </c>
      <c r="I491" s="3">
        <v>5</v>
      </c>
      <c r="J491" s="5">
        <v>1000</v>
      </c>
      <c r="K491" s="7">
        <v>5000</v>
      </c>
      <c r="L491" s="6">
        <v>45315</v>
      </c>
      <c r="M491" s="8" t="str">
        <f>IF(K491&gt;10000,"High",IF(K491&gt;5000,"Medium","Low"))</f>
        <v>Low</v>
      </c>
      <c r="N491" s="4" t="s">
        <v>243</v>
      </c>
      <c r="O491" s="3">
        <v>1</v>
      </c>
      <c r="P491" s="3">
        <v>2024</v>
      </c>
      <c r="T491" s="4"/>
      <c r="X491"/>
      <c r="Y491" s="3"/>
      <c r="AA491"/>
    </row>
    <row r="492" spans="1:27" x14ac:dyDescent="0.3">
      <c r="A492" s="3">
        <v>1944</v>
      </c>
      <c r="B492" s="4" t="s">
        <v>73</v>
      </c>
      <c r="C492" s="4" t="str">
        <f>IF(D492="","Unknown",IF(D492&lt;20,"Teen",IF(D492&lt;40,"Adult","Senior")))</f>
        <v>Adult</v>
      </c>
      <c r="D492" s="3">
        <v>35</v>
      </c>
      <c r="E492" s="3" t="s">
        <v>249</v>
      </c>
      <c r="F492" s="4" t="s">
        <v>40</v>
      </c>
      <c r="G492" s="4" t="s">
        <v>12</v>
      </c>
      <c r="H492" t="s">
        <v>13</v>
      </c>
      <c r="I492" s="3">
        <v>5</v>
      </c>
      <c r="J492" s="5">
        <v>39043</v>
      </c>
      <c r="K492" s="7">
        <v>195215</v>
      </c>
      <c r="L492" s="6">
        <v>45321</v>
      </c>
      <c r="M492" s="8" t="str">
        <f>IF(K492&gt;10000,"High",IF(K492&gt;5000,"Medium","Low"))</f>
        <v>High</v>
      </c>
      <c r="N492" s="4" t="s">
        <v>242</v>
      </c>
      <c r="O492" s="3">
        <v>1</v>
      </c>
      <c r="P492" s="3">
        <v>2024</v>
      </c>
      <c r="T492" s="4"/>
      <c r="X492"/>
      <c r="Y492" s="3"/>
      <c r="AA492"/>
    </row>
    <row r="493" spans="1:27" x14ac:dyDescent="0.3">
      <c r="A493" s="3">
        <v>1945</v>
      </c>
      <c r="B493" s="4" t="s">
        <v>32</v>
      </c>
      <c r="C493" s="4" t="str">
        <f>IF(D493="","Unknown",IF(D493&lt;20,"Teen",IF(D493&lt;40,"Adult","Senior")))</f>
        <v>Adult</v>
      </c>
      <c r="D493" s="3">
        <v>30</v>
      </c>
      <c r="E493" s="3" t="s">
        <v>250</v>
      </c>
      <c r="F493" s="4" t="s">
        <v>17</v>
      </c>
      <c r="G493" s="4" t="s">
        <v>41</v>
      </c>
      <c r="H493" t="s">
        <v>36</v>
      </c>
      <c r="I493" s="3">
        <v>2</v>
      </c>
      <c r="J493" s="5">
        <v>23442</v>
      </c>
      <c r="K493" s="7">
        <v>46884</v>
      </c>
      <c r="L493" s="6">
        <v>45300</v>
      </c>
      <c r="M493" s="8" t="str">
        <f>IF(K493&gt;10000,"High",IF(K493&gt;5000,"Medium","Low"))</f>
        <v>High</v>
      </c>
      <c r="N493" s="4" t="s">
        <v>244</v>
      </c>
      <c r="O493" s="3">
        <v>1</v>
      </c>
      <c r="P493" s="3">
        <v>2024</v>
      </c>
      <c r="T493" s="4"/>
      <c r="X493"/>
      <c r="Y493" s="3"/>
      <c r="AA493"/>
    </row>
    <row r="494" spans="1:27" x14ac:dyDescent="0.3">
      <c r="A494" s="3">
        <v>1946</v>
      </c>
      <c r="B494" s="4" t="s">
        <v>57</v>
      </c>
      <c r="C494" s="4" t="str">
        <f>IF(D494="","Unknown",IF(D494&lt;20,"Teen",IF(D494&lt;40,"Adult","Senior")))</f>
        <v>Adult</v>
      </c>
      <c r="D494" s="3">
        <v>30</v>
      </c>
      <c r="E494" s="3" t="s">
        <v>250</v>
      </c>
      <c r="F494" s="4" t="s">
        <v>17</v>
      </c>
      <c r="G494" s="4" t="s">
        <v>55</v>
      </c>
      <c r="H494" t="s">
        <v>36</v>
      </c>
      <c r="I494" s="3">
        <v>2</v>
      </c>
      <c r="J494" s="5">
        <v>38297</v>
      </c>
      <c r="K494" s="7">
        <v>76594</v>
      </c>
      <c r="L494" s="6">
        <v>45309</v>
      </c>
      <c r="M494" s="8" t="str">
        <f>IF(K494&gt;10000,"High",IF(K494&gt;5000,"Medium","Low"))</f>
        <v>High</v>
      </c>
      <c r="N494" s="4" t="s">
        <v>243</v>
      </c>
      <c r="O494" s="3">
        <v>1</v>
      </c>
      <c r="P494" s="3">
        <v>2024</v>
      </c>
      <c r="T494" s="4"/>
      <c r="X494"/>
      <c r="Y494" s="3"/>
      <c r="AA494"/>
    </row>
    <row r="495" spans="1:27" x14ac:dyDescent="0.3">
      <c r="A495" s="3">
        <v>1947</v>
      </c>
      <c r="B495" s="4" t="s">
        <v>78</v>
      </c>
      <c r="C495" s="4" t="str">
        <f>IF(D495="","Unknown",IF(D495&lt;20,"Teen",IF(D495&lt;40,"Adult","Senior")))</f>
        <v>Senior</v>
      </c>
      <c r="D495" s="3">
        <v>42</v>
      </c>
      <c r="E495" s="3" t="s">
        <v>249</v>
      </c>
      <c r="F495" s="4" t="s">
        <v>40</v>
      </c>
      <c r="G495" s="4" t="s">
        <v>23</v>
      </c>
      <c r="H495" t="s">
        <v>30</v>
      </c>
      <c r="I495" s="3">
        <v>5</v>
      </c>
      <c r="J495" s="5">
        <v>42911</v>
      </c>
      <c r="K495" s="7">
        <v>214555</v>
      </c>
      <c r="L495" s="6">
        <v>45298</v>
      </c>
      <c r="M495" s="8" t="str">
        <f>IF(K495&gt;10000,"High",IF(K495&gt;5000,"Medium","Low"))</f>
        <v>High</v>
      </c>
      <c r="N495" s="4" t="s">
        <v>242</v>
      </c>
      <c r="O495" s="3">
        <v>1</v>
      </c>
      <c r="P495" s="3">
        <v>2024</v>
      </c>
      <c r="T495" s="4"/>
      <c r="X495"/>
      <c r="Y495" s="3"/>
      <c r="AA495"/>
    </row>
    <row r="496" spans="1:27" x14ac:dyDescent="0.3">
      <c r="A496" s="3">
        <v>1948</v>
      </c>
      <c r="B496" s="4" t="s">
        <v>48</v>
      </c>
      <c r="C496" s="4" t="str">
        <f>IF(D496="","Unknown",IF(D496&lt;20,"Teen",IF(D496&lt;40,"Adult","Senior")))</f>
        <v>Adult</v>
      </c>
      <c r="D496" s="3">
        <v>30</v>
      </c>
      <c r="E496" s="3" t="s">
        <v>250</v>
      </c>
      <c r="F496" s="4" t="s">
        <v>40</v>
      </c>
      <c r="G496" s="4" t="s">
        <v>27</v>
      </c>
      <c r="H496" t="s">
        <v>13</v>
      </c>
      <c r="I496" s="3">
        <v>1</v>
      </c>
      <c r="J496" s="5">
        <v>37415</v>
      </c>
      <c r="K496" s="7">
        <v>37415</v>
      </c>
      <c r="L496" s="6">
        <v>45307</v>
      </c>
      <c r="M496" s="8" t="str">
        <f>IF(K496&gt;10000,"High",IF(K496&gt;5000,"Medium","Low"))</f>
        <v>High</v>
      </c>
      <c r="N496" s="4" t="s">
        <v>240</v>
      </c>
      <c r="O496" s="3">
        <v>1</v>
      </c>
      <c r="P496" s="3">
        <v>2024</v>
      </c>
      <c r="T496" s="4"/>
      <c r="X496"/>
      <c r="Y496" s="3"/>
      <c r="AA496"/>
    </row>
    <row r="497" spans="1:27" x14ac:dyDescent="0.3">
      <c r="A497" s="3">
        <v>1950</v>
      </c>
      <c r="B497" s="4" t="s">
        <v>35</v>
      </c>
      <c r="C497" s="4" t="str">
        <f>IF(D497="","Unknown",IF(D497&lt;20,"Teen",IF(D497&lt;40,"Adult","Senior")))</f>
        <v>Adult</v>
      </c>
      <c r="D497" s="3">
        <v>30</v>
      </c>
      <c r="E497" s="3" t="s">
        <v>250</v>
      </c>
      <c r="F497" s="4" t="s">
        <v>17</v>
      </c>
      <c r="G497" s="4" t="s">
        <v>41</v>
      </c>
      <c r="H497" t="s">
        <v>36</v>
      </c>
      <c r="I497" s="3">
        <v>2</v>
      </c>
      <c r="J497" s="5">
        <v>2100</v>
      </c>
      <c r="K497" s="7">
        <v>4200</v>
      </c>
      <c r="L497" s="6">
        <v>45305</v>
      </c>
      <c r="M497" s="8" t="str">
        <f>IF(K497&gt;10000,"High",IF(K497&gt;5000,"Medium","Low"))</f>
        <v>Low</v>
      </c>
      <c r="N497" s="4" t="s">
        <v>242</v>
      </c>
      <c r="O497" s="3">
        <v>1</v>
      </c>
      <c r="P497" s="3">
        <v>2024</v>
      </c>
      <c r="T497" s="4"/>
      <c r="X497"/>
      <c r="Y497" s="3"/>
      <c r="AA497"/>
    </row>
    <row r="498" spans="1:27" x14ac:dyDescent="0.3">
      <c r="A498" s="3">
        <v>1951</v>
      </c>
      <c r="B498" s="4" t="s">
        <v>35</v>
      </c>
      <c r="C498" s="4" t="str">
        <f>IF(D498="","Unknown",IF(D498&lt;20,"Teen",IF(D498&lt;40,"Adult","Senior")))</f>
        <v>Adult</v>
      </c>
      <c r="D498" s="3">
        <v>30</v>
      </c>
      <c r="E498" s="3" t="s">
        <v>250</v>
      </c>
      <c r="F498" s="4" t="s">
        <v>40</v>
      </c>
      <c r="G498" s="4" t="s">
        <v>44</v>
      </c>
      <c r="H498" t="s">
        <v>36</v>
      </c>
      <c r="I498" s="3">
        <v>2</v>
      </c>
      <c r="J498" s="5">
        <v>1000</v>
      </c>
      <c r="K498" s="7">
        <v>2000</v>
      </c>
      <c r="L498" s="6">
        <v>45316</v>
      </c>
      <c r="M498" s="8" t="str">
        <f>IF(K498&gt;10000,"High",IF(K498&gt;5000,"Medium","Low"))</f>
        <v>Low</v>
      </c>
      <c r="N498" s="4" t="s">
        <v>243</v>
      </c>
      <c r="O498" s="3">
        <v>1</v>
      </c>
      <c r="P498" s="3">
        <v>2024</v>
      </c>
      <c r="T498" s="4"/>
      <c r="X498"/>
      <c r="Y498" s="3"/>
      <c r="AA498"/>
    </row>
    <row r="499" spans="1:27" x14ac:dyDescent="0.3">
      <c r="A499" s="3">
        <v>1955</v>
      </c>
      <c r="B499" s="4" t="s">
        <v>62</v>
      </c>
      <c r="C499" s="4" t="str">
        <f>IF(D499="","Unknown",IF(D499&lt;20,"Teen",IF(D499&lt;40,"Adult","Senior")))</f>
        <v>Adult</v>
      </c>
      <c r="D499" s="3">
        <v>21</v>
      </c>
      <c r="E499" s="3" t="s">
        <v>250</v>
      </c>
      <c r="F499" s="4" t="s">
        <v>17</v>
      </c>
      <c r="G499" s="4" t="s">
        <v>44</v>
      </c>
      <c r="H499" t="s">
        <v>36</v>
      </c>
      <c r="I499" s="3">
        <v>5</v>
      </c>
      <c r="J499" s="5">
        <v>25422</v>
      </c>
      <c r="K499" s="7">
        <v>127110</v>
      </c>
      <c r="L499" s="6">
        <v>45301</v>
      </c>
      <c r="M499" s="8" t="str">
        <f>IF(K499&gt;10000,"High",IF(K499&gt;5000,"Medium","Low"))</f>
        <v>High</v>
      </c>
      <c r="N499" s="4" t="s">
        <v>242</v>
      </c>
      <c r="O499" s="3">
        <v>1</v>
      </c>
      <c r="P499" s="3">
        <v>2024</v>
      </c>
      <c r="T499" s="4"/>
      <c r="X499"/>
      <c r="Y499" s="3"/>
      <c r="AA499"/>
    </row>
    <row r="500" spans="1:27" x14ac:dyDescent="0.3">
      <c r="A500" s="3">
        <v>1956</v>
      </c>
      <c r="B500" s="4" t="s">
        <v>69</v>
      </c>
      <c r="C500" s="4" t="str">
        <f>IF(D500="","Unknown",IF(D500&lt;20,"Teen",IF(D500&lt;40,"Adult","Senior")))</f>
        <v>Senior</v>
      </c>
      <c r="D500" s="3">
        <v>45</v>
      </c>
      <c r="E500" s="3" t="s">
        <v>249</v>
      </c>
      <c r="F500" s="4" t="s">
        <v>40</v>
      </c>
      <c r="G500" s="4" t="s">
        <v>23</v>
      </c>
      <c r="H500" t="s">
        <v>30</v>
      </c>
      <c r="I500" s="3">
        <v>2</v>
      </c>
      <c r="J500" s="5">
        <v>1000</v>
      </c>
      <c r="K500" s="7">
        <v>2000</v>
      </c>
      <c r="L500" s="6">
        <v>45311</v>
      </c>
      <c r="M500" s="8" t="str">
        <f>IF(K500&gt;10000,"High",IF(K500&gt;5000,"Medium","Low"))</f>
        <v>Low</v>
      </c>
      <c r="N500" s="4" t="s">
        <v>244</v>
      </c>
      <c r="O500" s="3">
        <v>1</v>
      </c>
      <c r="P500" s="3">
        <v>2024</v>
      </c>
      <c r="T500" s="4"/>
      <c r="X500"/>
      <c r="Y500" s="3"/>
      <c r="AA500"/>
    </row>
    <row r="501" spans="1:27" x14ac:dyDescent="0.3">
      <c r="A501" s="3">
        <v>1958</v>
      </c>
      <c r="B501" s="4" t="s">
        <v>48</v>
      </c>
      <c r="C501" s="4" t="str">
        <f>IF(D501="","Unknown",IF(D501&lt;20,"Teen",IF(D501&lt;40,"Adult","Senior")))</f>
        <v>Adult</v>
      </c>
      <c r="D501" s="3">
        <v>35</v>
      </c>
      <c r="E501" s="3" t="s">
        <v>249</v>
      </c>
      <c r="F501" s="4" t="s">
        <v>40</v>
      </c>
      <c r="G501" s="4" t="s">
        <v>44</v>
      </c>
      <c r="H501" t="s">
        <v>36</v>
      </c>
      <c r="I501" s="3">
        <v>4</v>
      </c>
      <c r="J501" s="5">
        <v>1000</v>
      </c>
      <c r="K501" s="7">
        <v>4000</v>
      </c>
      <c r="L501" s="6">
        <v>45304</v>
      </c>
      <c r="M501" s="8" t="str">
        <f>IF(K501&gt;10000,"High",IF(K501&gt;5000,"Medium","Low"))</f>
        <v>Low</v>
      </c>
      <c r="N501" s="4" t="s">
        <v>244</v>
      </c>
      <c r="O501" s="3">
        <v>1</v>
      </c>
      <c r="P501" s="3">
        <v>2024</v>
      </c>
      <c r="T501" s="4"/>
      <c r="X501"/>
      <c r="Y501" s="3"/>
      <c r="AA501"/>
    </row>
    <row r="502" spans="1:27" x14ac:dyDescent="0.3">
      <c r="A502" s="3">
        <v>1959</v>
      </c>
      <c r="B502" s="4" t="s">
        <v>32</v>
      </c>
      <c r="C502" s="4" t="str">
        <f>IF(D502="","Unknown",IF(D502&lt;20,"Teen",IF(D502&lt;40,"Adult","Senior")))</f>
        <v>Adult</v>
      </c>
      <c r="D502" s="3">
        <v>30</v>
      </c>
      <c r="E502" s="3" t="s">
        <v>250</v>
      </c>
      <c r="F502" s="4" t="s">
        <v>17</v>
      </c>
      <c r="G502" s="4" t="s">
        <v>51</v>
      </c>
      <c r="H502" t="s">
        <v>13</v>
      </c>
      <c r="I502" s="3">
        <v>3</v>
      </c>
      <c r="J502" s="5">
        <v>1000</v>
      </c>
      <c r="K502" s="7">
        <v>3000</v>
      </c>
      <c r="L502" s="6">
        <v>45298</v>
      </c>
      <c r="M502" s="8" t="str">
        <f>IF(K502&gt;10000,"High",IF(K502&gt;5000,"Medium","Low"))</f>
        <v>Low</v>
      </c>
      <c r="N502" s="4" t="s">
        <v>243</v>
      </c>
      <c r="O502" s="3">
        <v>1</v>
      </c>
      <c r="P502" s="3">
        <v>2024</v>
      </c>
      <c r="T502" s="4"/>
      <c r="X502"/>
      <c r="Y502" s="3"/>
      <c r="AA502"/>
    </row>
    <row r="503" spans="1:27" x14ac:dyDescent="0.3">
      <c r="A503" s="3">
        <v>1961</v>
      </c>
      <c r="B503" s="4" t="s">
        <v>35</v>
      </c>
      <c r="C503" s="4" t="str">
        <f>IF(D503="","Unknown",IF(D503&lt;20,"Teen",IF(D503&lt;40,"Adult","Senior")))</f>
        <v>Adult</v>
      </c>
      <c r="D503" s="3">
        <v>30</v>
      </c>
      <c r="E503" s="3" t="s">
        <v>250</v>
      </c>
      <c r="F503" s="4" t="s">
        <v>40</v>
      </c>
      <c r="G503" s="4" t="s">
        <v>51</v>
      </c>
      <c r="H503" t="s">
        <v>13</v>
      </c>
      <c r="I503" s="3">
        <v>2</v>
      </c>
      <c r="J503" s="5">
        <v>1000</v>
      </c>
      <c r="K503" s="7">
        <v>2000</v>
      </c>
      <c r="L503" s="6">
        <v>45320</v>
      </c>
      <c r="M503" s="8" t="str">
        <f>IF(K503&gt;10000,"High",IF(K503&gt;5000,"Medium","Low"))</f>
        <v>Low</v>
      </c>
      <c r="N503" s="4" t="s">
        <v>241</v>
      </c>
      <c r="O503" s="3">
        <v>1</v>
      </c>
      <c r="P503" s="3">
        <v>2024</v>
      </c>
      <c r="T503" s="4"/>
      <c r="X503"/>
      <c r="Y503" s="3"/>
      <c r="AA503"/>
    </row>
    <row r="504" spans="1:27" x14ac:dyDescent="0.3">
      <c r="A504" s="3">
        <v>1964</v>
      </c>
      <c r="B504" s="4" t="s">
        <v>32</v>
      </c>
      <c r="C504" s="4" t="str">
        <f>IF(D504="","Unknown",IF(D504&lt;20,"Teen",IF(D504&lt;40,"Adult","Senior")))</f>
        <v>Adult</v>
      </c>
      <c r="D504" s="3">
        <v>30</v>
      </c>
      <c r="E504" s="3" t="s">
        <v>250</v>
      </c>
      <c r="F504" s="4" t="s">
        <v>17</v>
      </c>
      <c r="G504" s="4" t="s">
        <v>44</v>
      </c>
      <c r="H504" t="s">
        <v>36</v>
      </c>
      <c r="I504" s="3">
        <v>5</v>
      </c>
      <c r="J504" s="5">
        <v>1000</v>
      </c>
      <c r="K504" s="7">
        <v>5000</v>
      </c>
      <c r="L504" s="6">
        <v>45296</v>
      </c>
      <c r="M504" s="8" t="str">
        <f>IF(K504&gt;10000,"High",IF(K504&gt;5000,"Medium","Low"))</f>
        <v>Low</v>
      </c>
      <c r="N504" s="4" t="s">
        <v>244</v>
      </c>
      <c r="O504" s="3">
        <v>1</v>
      </c>
      <c r="P504" s="3">
        <v>2024</v>
      </c>
      <c r="T504" s="4"/>
      <c r="X504"/>
      <c r="Y504" s="3"/>
      <c r="AA504"/>
    </row>
    <row r="505" spans="1:27" x14ac:dyDescent="0.3">
      <c r="A505" s="3">
        <v>1965</v>
      </c>
      <c r="B505" s="4" t="s">
        <v>78</v>
      </c>
      <c r="C505" s="4" t="str">
        <f>IF(D505="","Unknown",IF(D505&lt;20,"Teen",IF(D505&lt;40,"Adult","Senior")))</f>
        <v>Adult</v>
      </c>
      <c r="D505" s="3">
        <v>30</v>
      </c>
      <c r="E505" s="3" t="s">
        <v>250</v>
      </c>
      <c r="F505" s="4" t="s">
        <v>17</v>
      </c>
      <c r="G505" s="4" t="s">
        <v>23</v>
      </c>
      <c r="H505" t="s">
        <v>30</v>
      </c>
      <c r="I505" s="3">
        <v>2</v>
      </c>
      <c r="J505" s="5">
        <v>1000</v>
      </c>
      <c r="K505" s="7">
        <v>2000</v>
      </c>
      <c r="L505" s="6">
        <v>45317</v>
      </c>
      <c r="M505" s="8" t="str">
        <f>IF(K505&gt;10000,"High",IF(K505&gt;5000,"Medium","Low"))</f>
        <v>Low</v>
      </c>
      <c r="N505" s="4" t="s">
        <v>242</v>
      </c>
      <c r="O505" s="3">
        <v>1</v>
      </c>
      <c r="P505" s="3">
        <v>2024</v>
      </c>
      <c r="T505" s="4"/>
      <c r="X505"/>
      <c r="Y505" s="3"/>
      <c r="AA505"/>
    </row>
    <row r="506" spans="1:27" x14ac:dyDescent="0.3">
      <c r="A506" s="3">
        <v>1968</v>
      </c>
      <c r="B506" s="4" t="s">
        <v>21</v>
      </c>
      <c r="C506" s="4" t="str">
        <f>IF(D506="","Unknown",IF(D506&lt;20,"Teen",IF(D506&lt;40,"Adult","Senior")))</f>
        <v>Senior</v>
      </c>
      <c r="D506" s="3">
        <v>41</v>
      </c>
      <c r="E506" s="3" t="s">
        <v>249</v>
      </c>
      <c r="F506" s="4" t="s">
        <v>17</v>
      </c>
      <c r="G506" s="4" t="s">
        <v>18</v>
      </c>
      <c r="H506" t="s">
        <v>30</v>
      </c>
      <c r="I506" s="3">
        <v>2</v>
      </c>
      <c r="J506" s="5">
        <v>1000</v>
      </c>
      <c r="K506" s="7">
        <v>2000</v>
      </c>
      <c r="L506" s="6">
        <v>45317</v>
      </c>
      <c r="M506" s="8" t="str">
        <f>IF(K506&gt;10000,"High",IF(K506&gt;5000,"Medium","Low"))</f>
        <v>Low</v>
      </c>
      <c r="N506" s="4" t="s">
        <v>240</v>
      </c>
      <c r="O506" s="3">
        <v>1</v>
      </c>
      <c r="P506" s="3">
        <v>2024</v>
      </c>
      <c r="T506" s="4"/>
      <c r="X506"/>
      <c r="Y506" s="3"/>
      <c r="AA506"/>
    </row>
    <row r="507" spans="1:27" x14ac:dyDescent="0.3">
      <c r="A507" s="3">
        <v>1969</v>
      </c>
      <c r="B507" s="4" t="s">
        <v>48</v>
      </c>
      <c r="C507" s="4" t="str">
        <f>IF(D507="","Unknown",IF(D507&lt;20,"Teen",IF(D507&lt;40,"Adult","Senior")))</f>
        <v>Adult</v>
      </c>
      <c r="D507" s="3">
        <v>21</v>
      </c>
      <c r="E507" s="3" t="s">
        <v>250</v>
      </c>
      <c r="F507" s="4" t="s">
        <v>17</v>
      </c>
      <c r="G507" s="4" t="s">
        <v>51</v>
      </c>
      <c r="H507" t="s">
        <v>13</v>
      </c>
      <c r="I507" s="3">
        <v>2</v>
      </c>
      <c r="J507" s="5">
        <v>1000</v>
      </c>
      <c r="K507" s="7">
        <v>2000</v>
      </c>
      <c r="L507" s="6">
        <v>45298</v>
      </c>
      <c r="M507" s="8" t="str">
        <f>IF(K507&gt;10000,"High",IF(K507&gt;5000,"Medium","Low"))</f>
        <v>Low</v>
      </c>
      <c r="N507" s="4" t="s">
        <v>240</v>
      </c>
      <c r="O507" s="3">
        <v>1</v>
      </c>
      <c r="P507" s="3">
        <v>2024</v>
      </c>
      <c r="T507" s="4"/>
      <c r="X507"/>
      <c r="Y507" s="3"/>
      <c r="AA507"/>
    </row>
    <row r="508" spans="1:27" x14ac:dyDescent="0.3">
      <c r="A508" s="3">
        <v>1970</v>
      </c>
      <c r="B508" s="4" t="s">
        <v>54</v>
      </c>
      <c r="C508" s="4" t="str">
        <f>IF(D508="","Unknown",IF(D508&lt;20,"Teen",IF(D508&lt;40,"Adult","Senior")))</f>
        <v>Adult</v>
      </c>
      <c r="D508" s="3">
        <v>28</v>
      </c>
      <c r="E508" s="3" t="s">
        <v>250</v>
      </c>
      <c r="F508" s="4" t="s">
        <v>40</v>
      </c>
      <c r="G508" s="4" t="s">
        <v>27</v>
      </c>
      <c r="H508" t="s">
        <v>13</v>
      </c>
      <c r="I508" s="3">
        <v>2</v>
      </c>
      <c r="J508" s="5">
        <v>1000</v>
      </c>
      <c r="K508" s="7">
        <v>2000</v>
      </c>
      <c r="L508" s="6">
        <v>45295</v>
      </c>
      <c r="M508" s="8" t="str">
        <f>IF(K508&gt;10000,"High",IF(K508&gt;5000,"Medium","Low"))</f>
        <v>Low</v>
      </c>
      <c r="N508" s="4" t="s">
        <v>242</v>
      </c>
      <c r="O508" s="3">
        <v>1</v>
      </c>
      <c r="P508" s="3">
        <v>2024</v>
      </c>
      <c r="T508" s="4"/>
      <c r="X508"/>
      <c r="Y508" s="3"/>
      <c r="AA508"/>
    </row>
    <row r="509" spans="1:27" x14ac:dyDescent="0.3">
      <c r="A509" s="3">
        <v>1971</v>
      </c>
      <c r="B509" s="4" t="s">
        <v>21</v>
      </c>
      <c r="C509" s="4" t="str">
        <f>IF(D509="","Unknown",IF(D509&lt;20,"Teen",IF(D509&lt;40,"Adult","Senior")))</f>
        <v>Adult</v>
      </c>
      <c r="D509" s="3">
        <v>30</v>
      </c>
      <c r="E509" s="3" t="s">
        <v>250</v>
      </c>
      <c r="F509" s="4" t="s">
        <v>40</v>
      </c>
      <c r="G509" s="4" t="s">
        <v>23</v>
      </c>
      <c r="H509" t="s">
        <v>30</v>
      </c>
      <c r="I509" s="3">
        <v>2</v>
      </c>
      <c r="J509" s="5">
        <v>1000</v>
      </c>
      <c r="K509" s="7">
        <v>2000</v>
      </c>
      <c r="L509" s="6">
        <v>45311</v>
      </c>
      <c r="M509" s="8" t="str">
        <f>IF(K509&gt;10000,"High",IF(K509&gt;5000,"Medium","Low"))</f>
        <v>Low</v>
      </c>
      <c r="N509" s="4" t="s">
        <v>241</v>
      </c>
      <c r="O509" s="3">
        <v>1</v>
      </c>
      <c r="P509" s="3">
        <v>2024</v>
      </c>
      <c r="T509" s="4"/>
      <c r="X509"/>
      <c r="Y509" s="3"/>
      <c r="AA509"/>
    </row>
    <row r="510" spans="1:27" x14ac:dyDescent="0.3">
      <c r="A510" s="3">
        <v>1973</v>
      </c>
      <c r="B510" s="4" t="s">
        <v>21</v>
      </c>
      <c r="C510" s="4" t="str">
        <f>IF(D510="","Unknown",IF(D510&lt;20,"Teen",IF(D510&lt;40,"Adult","Senior")))</f>
        <v>Adult</v>
      </c>
      <c r="D510" s="3">
        <v>30</v>
      </c>
      <c r="E510" s="3" t="s">
        <v>250</v>
      </c>
      <c r="F510" s="4" t="s">
        <v>40</v>
      </c>
      <c r="G510" s="4" t="s">
        <v>18</v>
      </c>
      <c r="H510" t="s">
        <v>30</v>
      </c>
      <c r="I510" s="3">
        <v>1</v>
      </c>
      <c r="J510" s="5">
        <v>25976</v>
      </c>
      <c r="K510" s="7">
        <v>25976</v>
      </c>
      <c r="L510" s="6">
        <v>45299</v>
      </c>
      <c r="M510" s="8" t="str">
        <f>IF(K510&gt;10000,"High",IF(K510&gt;5000,"Medium","Low"))</f>
        <v>High</v>
      </c>
      <c r="N510" s="4" t="s">
        <v>243</v>
      </c>
      <c r="O510" s="3">
        <v>1</v>
      </c>
      <c r="P510" s="3">
        <v>2024</v>
      </c>
      <c r="T510" s="4"/>
      <c r="X510"/>
      <c r="Y510" s="3"/>
      <c r="AA510"/>
    </row>
    <row r="511" spans="1:27" x14ac:dyDescent="0.3">
      <c r="A511" s="3">
        <v>1974</v>
      </c>
      <c r="B511" s="4" t="s">
        <v>10</v>
      </c>
      <c r="C511" s="4" t="str">
        <f>IF(D511="","Unknown",IF(D511&lt;20,"Teen",IF(D511&lt;40,"Adult","Senior")))</f>
        <v>Adult</v>
      </c>
      <c r="D511" s="3">
        <v>20</v>
      </c>
      <c r="E511" s="3" t="s">
        <v>251</v>
      </c>
      <c r="F511" s="4" t="s">
        <v>40</v>
      </c>
      <c r="G511" s="4" t="s">
        <v>44</v>
      </c>
      <c r="H511" t="s">
        <v>36</v>
      </c>
      <c r="I511" s="3">
        <v>2</v>
      </c>
      <c r="J511" s="5">
        <v>1000</v>
      </c>
      <c r="K511" s="7">
        <v>2000</v>
      </c>
      <c r="L511" s="6">
        <v>45292</v>
      </c>
      <c r="M511" s="8" t="str">
        <f>IF(K511&gt;10000,"High",IF(K511&gt;5000,"Medium","Low"))</f>
        <v>Low</v>
      </c>
      <c r="N511" s="4" t="s">
        <v>242</v>
      </c>
      <c r="O511" s="3">
        <v>1</v>
      </c>
      <c r="P511" s="3">
        <v>2024</v>
      </c>
      <c r="T511" s="4"/>
      <c r="X511"/>
      <c r="Y511" s="3"/>
      <c r="AA511"/>
    </row>
    <row r="512" spans="1:27" x14ac:dyDescent="0.3">
      <c r="A512" s="3">
        <v>1975</v>
      </c>
      <c r="B512" s="4" t="s">
        <v>64</v>
      </c>
      <c r="C512" s="4" t="str">
        <f>IF(D512="","Unknown",IF(D512&lt;20,"Teen",IF(D512&lt;40,"Adult","Senior")))</f>
        <v>Adult</v>
      </c>
      <c r="D512" s="3">
        <v>30</v>
      </c>
      <c r="E512" s="3" t="s">
        <v>250</v>
      </c>
      <c r="F512" s="4" t="s">
        <v>17</v>
      </c>
      <c r="G512" s="4" t="s">
        <v>18</v>
      </c>
      <c r="H512" t="s">
        <v>30</v>
      </c>
      <c r="I512" s="3">
        <v>2</v>
      </c>
      <c r="J512" s="5">
        <v>1000</v>
      </c>
      <c r="K512" s="7">
        <v>2000</v>
      </c>
      <c r="L512" s="6">
        <v>45321</v>
      </c>
      <c r="M512" s="8" t="str">
        <f>IF(K512&gt;10000,"High",IF(K512&gt;5000,"Medium","Low"))</f>
        <v>Low</v>
      </c>
      <c r="N512" s="4" t="s">
        <v>240</v>
      </c>
      <c r="O512" s="3">
        <v>1</v>
      </c>
      <c r="P512" s="3">
        <v>2024</v>
      </c>
      <c r="T512" s="4"/>
      <c r="X512"/>
      <c r="Y512" s="3"/>
      <c r="AA512"/>
    </row>
    <row r="513" spans="1:27" x14ac:dyDescent="0.3">
      <c r="A513" s="3">
        <v>1976</v>
      </c>
      <c r="B513" s="4" t="s">
        <v>38</v>
      </c>
      <c r="C513" s="4" t="str">
        <f>IF(D513="","Unknown",IF(D513&lt;20,"Teen",IF(D513&lt;40,"Adult","Senior")))</f>
        <v>Adult</v>
      </c>
      <c r="D513" s="3">
        <v>23</v>
      </c>
      <c r="E513" s="3" t="s">
        <v>250</v>
      </c>
      <c r="F513" s="4" t="s">
        <v>17</v>
      </c>
      <c r="G513" s="4" t="s">
        <v>27</v>
      </c>
      <c r="H513" t="s">
        <v>13</v>
      </c>
      <c r="I513" s="3">
        <v>4</v>
      </c>
      <c r="J513" s="5">
        <v>8479</v>
      </c>
      <c r="K513" s="7">
        <v>33916</v>
      </c>
      <c r="L513" s="6">
        <v>45321</v>
      </c>
      <c r="M513" s="8" t="str">
        <f>IF(K513&gt;10000,"High",IF(K513&gt;5000,"Medium","Low"))</f>
        <v>High</v>
      </c>
      <c r="N513" s="4" t="s">
        <v>240</v>
      </c>
      <c r="O513" s="3">
        <v>1</v>
      </c>
      <c r="P513" s="3">
        <v>2024</v>
      </c>
      <c r="T513" s="4"/>
      <c r="X513"/>
      <c r="Y513" s="3"/>
      <c r="AA513"/>
    </row>
    <row r="514" spans="1:27" x14ac:dyDescent="0.3">
      <c r="A514" s="3">
        <v>1978</v>
      </c>
      <c r="B514" s="4" t="s">
        <v>35</v>
      </c>
      <c r="C514" s="4" t="str">
        <f>IF(D514="","Unknown",IF(D514&lt;20,"Teen",IF(D514&lt;40,"Adult","Senior")))</f>
        <v>Adult</v>
      </c>
      <c r="D514" s="3">
        <v>30</v>
      </c>
      <c r="E514" s="3" t="s">
        <v>250</v>
      </c>
      <c r="F514" s="4" t="s">
        <v>17</v>
      </c>
      <c r="G514" s="4" t="s">
        <v>41</v>
      </c>
      <c r="H514" t="s">
        <v>36</v>
      </c>
      <c r="I514" s="3">
        <v>2</v>
      </c>
      <c r="J514" s="5">
        <v>1000</v>
      </c>
      <c r="K514" s="7">
        <v>2000</v>
      </c>
      <c r="L514" s="6">
        <v>45319</v>
      </c>
      <c r="M514" s="8" t="str">
        <f>IF(K514&gt;10000,"High",IF(K514&gt;5000,"Medium","Low"))</f>
        <v>Low</v>
      </c>
      <c r="N514" s="4" t="s">
        <v>244</v>
      </c>
      <c r="O514" s="3">
        <v>1</v>
      </c>
      <c r="P514" s="3">
        <v>2024</v>
      </c>
      <c r="T514" s="4"/>
      <c r="X514"/>
      <c r="Y514" s="3"/>
      <c r="AA514"/>
    </row>
    <row r="515" spans="1:27" x14ac:dyDescent="0.3">
      <c r="A515" s="3">
        <v>1979</v>
      </c>
      <c r="B515" s="4" t="s">
        <v>73</v>
      </c>
      <c r="C515" s="4" t="str">
        <f>IF(D515="","Unknown",IF(D515&lt;20,"Teen",IF(D515&lt;40,"Adult","Senior")))</f>
        <v>Adult</v>
      </c>
      <c r="D515" s="3">
        <v>30</v>
      </c>
      <c r="E515" s="3" t="s">
        <v>250</v>
      </c>
      <c r="F515" s="4" t="s">
        <v>40</v>
      </c>
      <c r="G515" s="4" t="s">
        <v>18</v>
      </c>
      <c r="H515" t="s">
        <v>30</v>
      </c>
      <c r="I515" s="3">
        <v>2</v>
      </c>
      <c r="J515" s="5">
        <v>34501</v>
      </c>
      <c r="K515" s="7">
        <v>69002</v>
      </c>
      <c r="L515" s="6">
        <v>45318</v>
      </c>
      <c r="M515" s="8" t="str">
        <f>IF(K515&gt;10000,"High",IF(K515&gt;5000,"Medium","Low"))</f>
        <v>High</v>
      </c>
      <c r="N515" s="4" t="s">
        <v>242</v>
      </c>
      <c r="O515" s="3">
        <v>1</v>
      </c>
      <c r="P515" s="3">
        <v>2024</v>
      </c>
      <c r="T515" s="4"/>
      <c r="X515"/>
      <c r="Y515" s="3"/>
      <c r="AA515"/>
    </row>
    <row r="516" spans="1:27" x14ac:dyDescent="0.3">
      <c r="A516" s="3">
        <v>1982</v>
      </c>
      <c r="B516" s="4" t="s">
        <v>25</v>
      </c>
      <c r="C516" s="4" t="str">
        <f>IF(D516="","Unknown",IF(D516&lt;20,"Teen",IF(D516&lt;40,"Adult","Senior")))</f>
        <v>Senior</v>
      </c>
      <c r="D516" s="3">
        <v>41</v>
      </c>
      <c r="E516" s="3" t="s">
        <v>249</v>
      </c>
      <c r="F516" s="4" t="s">
        <v>17</v>
      </c>
      <c r="G516" s="4" t="s">
        <v>44</v>
      </c>
      <c r="H516" t="s">
        <v>36</v>
      </c>
      <c r="I516" s="3">
        <v>5</v>
      </c>
      <c r="J516" s="5">
        <v>1000</v>
      </c>
      <c r="K516" s="7">
        <v>5000</v>
      </c>
      <c r="L516" s="6">
        <v>45301</v>
      </c>
      <c r="M516" s="8" t="str">
        <f>IF(K516&gt;10000,"High",IF(K516&gt;5000,"Medium","Low"))</f>
        <v>Low</v>
      </c>
      <c r="N516" s="4" t="s">
        <v>242</v>
      </c>
      <c r="O516" s="3">
        <v>1</v>
      </c>
      <c r="P516" s="3">
        <v>2024</v>
      </c>
      <c r="T516" s="4"/>
      <c r="X516"/>
      <c r="Y516" s="3"/>
      <c r="AA516"/>
    </row>
    <row r="517" spans="1:27" x14ac:dyDescent="0.3">
      <c r="A517" s="3">
        <v>1983</v>
      </c>
      <c r="B517" s="4" t="s">
        <v>59</v>
      </c>
      <c r="C517" s="4" t="str">
        <f>IF(D517="","Unknown",IF(D517&lt;20,"Teen",IF(D517&lt;40,"Adult","Senior")))</f>
        <v>Adult</v>
      </c>
      <c r="D517" s="3">
        <v>30</v>
      </c>
      <c r="E517" s="3" t="s">
        <v>250</v>
      </c>
      <c r="F517" s="4" t="s">
        <v>17</v>
      </c>
      <c r="G517" s="4" t="s">
        <v>44</v>
      </c>
      <c r="H517" t="s">
        <v>36</v>
      </c>
      <c r="I517" s="3">
        <v>2</v>
      </c>
      <c r="J517" s="5">
        <v>19777</v>
      </c>
      <c r="K517" s="7">
        <v>39554</v>
      </c>
      <c r="L517" s="6">
        <v>45293</v>
      </c>
      <c r="M517" s="8" t="str">
        <f>IF(K517&gt;10000,"High",IF(K517&gt;5000,"Medium","Low"))</f>
        <v>High</v>
      </c>
      <c r="N517" s="4" t="s">
        <v>243</v>
      </c>
      <c r="O517" s="3">
        <v>1</v>
      </c>
      <c r="P517" s="3">
        <v>2024</v>
      </c>
      <c r="T517" s="4"/>
      <c r="X517"/>
      <c r="Y517" s="3"/>
      <c r="AA517"/>
    </row>
    <row r="518" spans="1:27" x14ac:dyDescent="0.3">
      <c r="A518" s="3">
        <v>1985</v>
      </c>
      <c r="B518" s="4" t="s">
        <v>59</v>
      </c>
      <c r="C518" s="4" t="str">
        <f>IF(D518="","Unknown",IF(D518&lt;20,"Teen",IF(D518&lt;40,"Adult","Senior")))</f>
        <v>Adult</v>
      </c>
      <c r="D518" s="3">
        <v>30</v>
      </c>
      <c r="E518" s="3" t="s">
        <v>250</v>
      </c>
      <c r="F518" s="4" t="s">
        <v>17</v>
      </c>
      <c r="G518" s="4" t="s">
        <v>55</v>
      </c>
      <c r="H518" t="s">
        <v>36</v>
      </c>
      <c r="I518" s="3">
        <v>2</v>
      </c>
      <c r="J518" s="5">
        <v>1000</v>
      </c>
      <c r="K518" s="7">
        <v>2000</v>
      </c>
      <c r="L518" s="6">
        <v>45294</v>
      </c>
      <c r="M518" s="8" t="str">
        <f>IF(K518&gt;10000,"High",IF(K518&gt;5000,"Medium","Low"))</f>
        <v>Low</v>
      </c>
      <c r="N518" s="4" t="s">
        <v>241</v>
      </c>
      <c r="O518" s="3">
        <v>1</v>
      </c>
      <c r="P518" s="3">
        <v>2024</v>
      </c>
      <c r="T518" s="4"/>
      <c r="X518"/>
      <c r="Y518" s="3"/>
      <c r="AA518"/>
    </row>
    <row r="519" spans="1:27" x14ac:dyDescent="0.3">
      <c r="A519" s="3">
        <v>1988</v>
      </c>
      <c r="B519" s="4" t="s">
        <v>21</v>
      </c>
      <c r="C519" s="4" t="str">
        <f>IF(D519="","Unknown",IF(D519&lt;20,"Teen",IF(D519&lt;40,"Adult","Senior")))</f>
        <v>Adult</v>
      </c>
      <c r="D519" s="3">
        <v>23</v>
      </c>
      <c r="E519" s="3" t="s">
        <v>250</v>
      </c>
      <c r="F519" s="4" t="s">
        <v>40</v>
      </c>
      <c r="G519" s="4" t="s">
        <v>27</v>
      </c>
      <c r="H519" t="s">
        <v>13</v>
      </c>
      <c r="I519" s="3">
        <v>2</v>
      </c>
      <c r="J519" s="5">
        <v>14326</v>
      </c>
      <c r="K519" s="7">
        <v>28652</v>
      </c>
      <c r="L519" s="6">
        <v>45320</v>
      </c>
      <c r="M519" s="8" t="str">
        <f>IF(K519&gt;10000,"High",IF(K519&gt;5000,"Medium","Low"))</f>
        <v>High</v>
      </c>
      <c r="N519" s="4" t="s">
        <v>243</v>
      </c>
      <c r="O519" s="3">
        <v>1</v>
      </c>
      <c r="P519" s="3">
        <v>2024</v>
      </c>
      <c r="T519" s="4"/>
      <c r="X519"/>
      <c r="Y519" s="3"/>
      <c r="AA519"/>
    </row>
    <row r="520" spans="1:27" x14ac:dyDescent="0.3">
      <c r="A520" s="3">
        <v>1989</v>
      </c>
      <c r="B520" s="4" t="s">
        <v>16</v>
      </c>
      <c r="C520" s="4" t="str">
        <f>IF(D520="","Unknown",IF(D520&lt;20,"Teen",IF(D520&lt;40,"Adult","Senior")))</f>
        <v>Adult</v>
      </c>
      <c r="D520" s="3">
        <v>30</v>
      </c>
      <c r="E520" s="3" t="s">
        <v>250</v>
      </c>
      <c r="F520" s="4" t="s">
        <v>17</v>
      </c>
      <c r="G520" s="4" t="s">
        <v>44</v>
      </c>
      <c r="H520" t="s">
        <v>36</v>
      </c>
      <c r="I520" s="3">
        <v>2</v>
      </c>
      <c r="J520" s="5">
        <v>1000</v>
      </c>
      <c r="K520" s="7">
        <v>2000</v>
      </c>
      <c r="L520" s="6">
        <v>45308</v>
      </c>
      <c r="M520" s="8" t="str">
        <f>IF(K520&gt;10000,"High",IF(K520&gt;5000,"Medium","Low"))</f>
        <v>Low</v>
      </c>
      <c r="N520" s="4" t="s">
        <v>244</v>
      </c>
      <c r="O520" s="3">
        <v>1</v>
      </c>
      <c r="P520" s="3">
        <v>2024</v>
      </c>
      <c r="T520" s="4"/>
      <c r="X520"/>
      <c r="Y520" s="3"/>
      <c r="AA520"/>
    </row>
    <row r="521" spans="1:27" x14ac:dyDescent="0.3">
      <c r="A521" s="3">
        <v>1990</v>
      </c>
      <c r="B521" s="4" t="s">
        <v>46</v>
      </c>
      <c r="C521" s="4" t="str">
        <f>IF(D521="","Unknown",IF(D521&lt;20,"Teen",IF(D521&lt;40,"Adult","Senior")))</f>
        <v>Senior</v>
      </c>
      <c r="D521" s="3">
        <v>50</v>
      </c>
      <c r="E521" s="3" t="s">
        <v>249</v>
      </c>
      <c r="F521" s="4" t="s">
        <v>17</v>
      </c>
      <c r="G521" s="4" t="s">
        <v>23</v>
      </c>
      <c r="H521" t="s">
        <v>30</v>
      </c>
      <c r="I521" s="3">
        <v>4</v>
      </c>
      <c r="J521" s="5">
        <v>1000</v>
      </c>
      <c r="K521" s="7">
        <v>4000</v>
      </c>
      <c r="L521" s="6">
        <v>45312</v>
      </c>
      <c r="M521" s="8" t="str">
        <f>IF(K521&gt;10000,"High",IF(K521&gt;5000,"Medium","Low"))</f>
        <v>Low</v>
      </c>
      <c r="N521" s="4" t="s">
        <v>241</v>
      </c>
      <c r="O521" s="3">
        <v>1</v>
      </c>
      <c r="P521" s="3">
        <v>2024</v>
      </c>
      <c r="T521" s="4"/>
      <c r="X521"/>
      <c r="Y521" s="3"/>
      <c r="AA521"/>
    </row>
    <row r="522" spans="1:27" x14ac:dyDescent="0.3">
      <c r="A522" s="3">
        <v>1991</v>
      </c>
      <c r="B522" s="4" t="s">
        <v>64</v>
      </c>
      <c r="C522" s="4" t="str">
        <f>IF(D522="","Unknown",IF(D522&lt;20,"Teen",IF(D522&lt;40,"Adult","Senior")))</f>
        <v>Adult</v>
      </c>
      <c r="D522" s="3">
        <v>39</v>
      </c>
      <c r="E522" s="3" t="s">
        <v>249</v>
      </c>
      <c r="F522" s="4" t="s">
        <v>17</v>
      </c>
      <c r="G522" s="4" t="s">
        <v>12</v>
      </c>
      <c r="H522" t="s">
        <v>13</v>
      </c>
      <c r="I522" s="3">
        <v>3</v>
      </c>
      <c r="J522" s="5">
        <v>10685</v>
      </c>
      <c r="K522" s="7">
        <v>32055</v>
      </c>
      <c r="L522" s="6">
        <v>45302</v>
      </c>
      <c r="M522" s="8" t="str">
        <f>IF(K522&gt;10000,"High",IF(K522&gt;5000,"Medium","Low"))</f>
        <v>High</v>
      </c>
      <c r="N522" s="4" t="s">
        <v>243</v>
      </c>
      <c r="O522" s="3">
        <v>1</v>
      </c>
      <c r="P522" s="3">
        <v>2024</v>
      </c>
      <c r="T522" s="4"/>
      <c r="X522"/>
      <c r="Y522" s="3"/>
      <c r="AA522"/>
    </row>
    <row r="523" spans="1:27" x14ac:dyDescent="0.3">
      <c r="A523" s="3">
        <v>1992</v>
      </c>
      <c r="B523" s="4" t="s">
        <v>46</v>
      </c>
      <c r="C523" s="4" t="str">
        <f>IF(D523="","Unknown",IF(D523&lt;20,"Teen",IF(D523&lt;40,"Adult","Senior")))</f>
        <v>Adult</v>
      </c>
      <c r="D523" s="3">
        <v>30</v>
      </c>
      <c r="E523" s="3" t="s">
        <v>250</v>
      </c>
      <c r="F523" s="4" t="s">
        <v>40</v>
      </c>
      <c r="G523" s="4" t="s">
        <v>27</v>
      </c>
      <c r="H523" t="s">
        <v>13</v>
      </c>
      <c r="I523" s="3">
        <v>2</v>
      </c>
      <c r="J523" s="5">
        <v>47524</v>
      </c>
      <c r="K523" s="7">
        <v>95048</v>
      </c>
      <c r="L523" s="6">
        <v>45306</v>
      </c>
      <c r="M523" s="8" t="str">
        <f>IF(K523&gt;10000,"High",IF(K523&gt;5000,"Medium","Low"))</f>
        <v>High</v>
      </c>
      <c r="N523" s="4" t="s">
        <v>244</v>
      </c>
      <c r="O523" s="3">
        <v>1</v>
      </c>
      <c r="P523" s="3">
        <v>2024</v>
      </c>
      <c r="T523" s="4"/>
      <c r="X523"/>
      <c r="Y523" s="3"/>
      <c r="AA523"/>
    </row>
    <row r="524" spans="1:27" x14ac:dyDescent="0.3">
      <c r="A524" s="3">
        <v>1993</v>
      </c>
      <c r="B524" s="4" t="s">
        <v>57</v>
      </c>
      <c r="C524" s="4" t="str">
        <f>IF(D524="","Unknown",IF(D524&lt;20,"Teen",IF(D524&lt;40,"Adult","Senior")))</f>
        <v>Adult</v>
      </c>
      <c r="D524" s="3">
        <v>30</v>
      </c>
      <c r="E524" s="3" t="s">
        <v>250</v>
      </c>
      <c r="F524" s="4" t="s">
        <v>17</v>
      </c>
      <c r="G524" s="4" t="s">
        <v>18</v>
      </c>
      <c r="H524" t="s">
        <v>30</v>
      </c>
      <c r="I524" s="3">
        <v>2</v>
      </c>
      <c r="J524" s="5">
        <v>19690</v>
      </c>
      <c r="K524" s="7">
        <v>39380</v>
      </c>
      <c r="L524" s="6">
        <v>45320</v>
      </c>
      <c r="M524" s="8" t="str">
        <f>IF(K524&gt;10000,"High",IF(K524&gt;5000,"Medium","Low"))</f>
        <v>High</v>
      </c>
      <c r="N524" s="4" t="s">
        <v>241</v>
      </c>
      <c r="O524" s="3">
        <v>1</v>
      </c>
      <c r="P524" s="3">
        <v>2024</v>
      </c>
      <c r="T524" s="4"/>
      <c r="X524"/>
      <c r="Y524" s="3"/>
      <c r="AA524"/>
    </row>
    <row r="525" spans="1:27" x14ac:dyDescent="0.3">
      <c r="A525" s="3">
        <v>1994</v>
      </c>
      <c r="B525" s="4" t="s">
        <v>48</v>
      </c>
      <c r="C525" s="4" t="str">
        <f>IF(D525="","Unknown",IF(D525&lt;20,"Teen",IF(D525&lt;40,"Adult","Senior")))</f>
        <v>Adult</v>
      </c>
      <c r="D525" s="3">
        <v>33</v>
      </c>
      <c r="E525" s="3" t="s">
        <v>249</v>
      </c>
      <c r="F525" s="4" t="s">
        <v>17</v>
      </c>
      <c r="G525" s="4" t="s">
        <v>41</v>
      </c>
      <c r="H525" t="s">
        <v>36</v>
      </c>
      <c r="I525" s="3">
        <v>1</v>
      </c>
      <c r="J525" s="5">
        <v>1000</v>
      </c>
      <c r="K525" s="7">
        <v>1000</v>
      </c>
      <c r="L525" s="6">
        <v>45299</v>
      </c>
      <c r="M525" s="8" t="str">
        <f>IF(K525&gt;10000,"High",IF(K525&gt;5000,"Medium","Low"))</f>
        <v>Low</v>
      </c>
      <c r="N525" s="4" t="s">
        <v>240</v>
      </c>
      <c r="O525" s="3">
        <v>1</v>
      </c>
      <c r="P525" s="3">
        <v>2024</v>
      </c>
      <c r="T525" s="4"/>
      <c r="X525"/>
      <c r="Y525" s="3"/>
      <c r="AA525"/>
    </row>
    <row r="526" spans="1:27" x14ac:dyDescent="0.3">
      <c r="A526" s="3">
        <v>1995</v>
      </c>
      <c r="B526" s="4" t="s">
        <v>62</v>
      </c>
      <c r="C526" s="4" t="str">
        <f>IF(D526="","Unknown",IF(D526&lt;20,"Teen",IF(D526&lt;40,"Adult","Senior")))</f>
        <v>Adult</v>
      </c>
      <c r="D526" s="3">
        <v>30</v>
      </c>
      <c r="E526" s="3" t="s">
        <v>250</v>
      </c>
      <c r="F526" s="4" t="s">
        <v>40</v>
      </c>
      <c r="G526" s="4" t="s">
        <v>44</v>
      </c>
      <c r="H526" t="s">
        <v>36</v>
      </c>
      <c r="I526" s="3">
        <v>4</v>
      </c>
      <c r="J526" s="5">
        <v>1000</v>
      </c>
      <c r="K526" s="7">
        <v>4000</v>
      </c>
      <c r="L526" s="6">
        <v>45312</v>
      </c>
      <c r="M526" s="8" t="str">
        <f>IF(K526&gt;10000,"High",IF(K526&gt;5000,"Medium","Low"))</f>
        <v>Low</v>
      </c>
      <c r="N526" s="4" t="s">
        <v>241</v>
      </c>
      <c r="O526" s="3">
        <v>1</v>
      </c>
      <c r="P526" s="3">
        <v>2024</v>
      </c>
      <c r="T526" s="4"/>
      <c r="X526"/>
      <c r="Y526" s="3"/>
      <c r="AA526"/>
    </row>
    <row r="527" spans="1:27" x14ac:dyDescent="0.3">
      <c r="A527" s="3">
        <v>1999</v>
      </c>
      <c r="B527" s="4" t="s">
        <v>46</v>
      </c>
      <c r="C527" s="4" t="str">
        <f>IF(D527="","Unknown",IF(D527&lt;20,"Teen",IF(D527&lt;40,"Adult","Senior")))</f>
        <v>Adult</v>
      </c>
      <c r="D527" s="3">
        <v>30</v>
      </c>
      <c r="E527" s="3" t="s">
        <v>250</v>
      </c>
      <c r="F527" s="4" t="s">
        <v>40</v>
      </c>
      <c r="G527" s="4" t="s">
        <v>18</v>
      </c>
      <c r="H527" t="s">
        <v>30</v>
      </c>
      <c r="I527" s="3">
        <v>2</v>
      </c>
      <c r="J527" s="5">
        <v>23006</v>
      </c>
      <c r="K527" s="7">
        <v>46012</v>
      </c>
      <c r="L527" s="6">
        <v>45312</v>
      </c>
      <c r="M527" s="8" t="str">
        <f>IF(K527&gt;10000,"High",IF(K527&gt;5000,"Medium","Low"))</f>
        <v>High</v>
      </c>
      <c r="N527" s="4" t="s">
        <v>241</v>
      </c>
      <c r="O527" s="3">
        <v>1</v>
      </c>
      <c r="P527" s="3">
        <v>2024</v>
      </c>
      <c r="T527" s="4"/>
      <c r="X527"/>
      <c r="Y527" s="3"/>
      <c r="AA527"/>
    </row>
    <row r="528" spans="1:27" x14ac:dyDescent="0.3">
      <c r="A528" s="3">
        <v>1002</v>
      </c>
      <c r="B528" s="4" t="s">
        <v>16</v>
      </c>
      <c r="C528" s="4" t="str">
        <f>IF(D528="","Unknown",IF(D528&lt;20,"Teen",IF(D528&lt;40,"Adult","Senior")))</f>
        <v>Adult</v>
      </c>
      <c r="D528" s="3">
        <v>34</v>
      </c>
      <c r="E528" s="3" t="s">
        <v>249</v>
      </c>
      <c r="F528" s="4" t="s">
        <v>17</v>
      </c>
      <c r="G528" s="4" t="s">
        <v>18</v>
      </c>
      <c r="H528" t="s">
        <v>30</v>
      </c>
      <c r="I528" s="3">
        <v>3</v>
      </c>
      <c r="J528" s="5">
        <v>6733</v>
      </c>
      <c r="K528" s="7">
        <v>20199</v>
      </c>
      <c r="L528" s="6">
        <v>45327</v>
      </c>
      <c r="M528" s="8" t="str">
        <f>IF(K528&gt;10000,"High",IF(K528&gt;5000,"Medium","Low"))</f>
        <v>High</v>
      </c>
      <c r="N528" s="4" t="s">
        <v>241</v>
      </c>
      <c r="O528" s="3">
        <v>2</v>
      </c>
      <c r="P528" s="3">
        <v>2024</v>
      </c>
      <c r="T528" s="4"/>
      <c r="X528"/>
      <c r="Y528" s="3"/>
      <c r="AA528"/>
    </row>
    <row r="529" spans="1:27" x14ac:dyDescent="0.3">
      <c r="A529" s="3">
        <v>1005</v>
      </c>
      <c r="B529" s="4" t="s">
        <v>16</v>
      </c>
      <c r="C529" s="4" t="str">
        <f>IF(D529="","Unknown",IF(D529&lt;20,"Teen",IF(D529&lt;40,"Adult","Senior")))</f>
        <v>Senior</v>
      </c>
      <c r="D529" s="3">
        <v>45</v>
      </c>
      <c r="E529" s="3" t="s">
        <v>249</v>
      </c>
      <c r="F529" s="4" t="s">
        <v>17</v>
      </c>
      <c r="G529" s="4" t="s">
        <v>27</v>
      </c>
      <c r="H529" t="s">
        <v>13</v>
      </c>
      <c r="I529" s="3">
        <v>4</v>
      </c>
      <c r="J529" s="5">
        <v>1000</v>
      </c>
      <c r="K529" s="7">
        <v>4000</v>
      </c>
      <c r="L529" s="6">
        <v>45324</v>
      </c>
      <c r="M529" s="8" t="str">
        <f>IF(K529&gt;10000,"High",IF(K529&gt;5000,"Medium","Low"))</f>
        <v>Low</v>
      </c>
      <c r="N529" s="4" t="s">
        <v>242</v>
      </c>
      <c r="O529" s="3">
        <v>2</v>
      </c>
      <c r="P529" s="3">
        <v>2024</v>
      </c>
      <c r="T529" s="4"/>
      <c r="X529"/>
      <c r="Y529" s="3"/>
      <c r="AA529"/>
    </row>
    <row r="530" spans="1:27" x14ac:dyDescent="0.3">
      <c r="A530" s="3">
        <v>1009</v>
      </c>
      <c r="B530" s="4" t="s">
        <v>35</v>
      </c>
      <c r="C530" s="4" t="str">
        <f>IF(D530="","Unknown",IF(D530&lt;20,"Teen",IF(D530&lt;40,"Adult","Senior")))</f>
        <v>Adult</v>
      </c>
      <c r="D530" s="3">
        <v>30</v>
      </c>
      <c r="E530" s="3" t="s">
        <v>250</v>
      </c>
      <c r="F530" s="4" t="s">
        <v>40</v>
      </c>
      <c r="G530" s="4" t="s">
        <v>41</v>
      </c>
      <c r="H530" t="s">
        <v>36</v>
      </c>
      <c r="I530" s="3">
        <v>5</v>
      </c>
      <c r="J530" s="5">
        <v>15644</v>
      </c>
      <c r="K530" s="7">
        <v>78220</v>
      </c>
      <c r="L530" s="6">
        <v>45350</v>
      </c>
      <c r="M530" s="8" t="str">
        <f>IF(K530&gt;10000,"High",IF(K530&gt;5000,"Medium","Low"))</f>
        <v>High</v>
      </c>
      <c r="N530" s="4" t="s">
        <v>243</v>
      </c>
      <c r="O530" s="3">
        <v>2</v>
      </c>
      <c r="P530" s="3">
        <v>2024</v>
      </c>
      <c r="T530" s="4"/>
      <c r="X530"/>
      <c r="Y530" s="3"/>
      <c r="AA530"/>
    </row>
    <row r="531" spans="1:27" x14ac:dyDescent="0.3">
      <c r="A531" s="3">
        <v>1012</v>
      </c>
      <c r="B531" s="4" t="s">
        <v>48</v>
      </c>
      <c r="C531" s="4" t="str">
        <f>IF(D531="","Unknown",IF(D531&lt;20,"Teen",IF(D531&lt;40,"Adult","Senior")))</f>
        <v>Senior</v>
      </c>
      <c r="D531" s="3">
        <v>48</v>
      </c>
      <c r="E531" s="3" t="s">
        <v>249</v>
      </c>
      <c r="F531" s="4" t="s">
        <v>17</v>
      </c>
      <c r="G531" s="4" t="s">
        <v>27</v>
      </c>
      <c r="H531" t="s">
        <v>13</v>
      </c>
      <c r="I531" s="3">
        <v>2</v>
      </c>
      <c r="J531" s="5">
        <v>1000</v>
      </c>
      <c r="K531" s="7">
        <v>2000</v>
      </c>
      <c r="L531" s="6">
        <v>45351</v>
      </c>
      <c r="M531" s="8" t="str">
        <f>IF(K531&gt;10000,"High",IF(K531&gt;5000,"Medium","Low"))</f>
        <v>Low</v>
      </c>
      <c r="N531" s="4" t="s">
        <v>242</v>
      </c>
      <c r="O531" s="3">
        <v>2</v>
      </c>
      <c r="P531" s="3">
        <v>2024</v>
      </c>
      <c r="T531" s="4"/>
      <c r="X531"/>
      <c r="Y531" s="3"/>
      <c r="AA531"/>
    </row>
    <row r="532" spans="1:27" x14ac:dyDescent="0.3">
      <c r="A532" s="3">
        <v>1016</v>
      </c>
      <c r="B532" s="4" t="s">
        <v>54</v>
      </c>
      <c r="C532" s="4" t="str">
        <f>IF(D532="","Unknown",IF(D532&lt;20,"Teen",IF(D532&lt;40,"Adult","Senior")))</f>
        <v>Adult</v>
      </c>
      <c r="D532" s="3">
        <v>30</v>
      </c>
      <c r="E532" s="3" t="s">
        <v>250</v>
      </c>
      <c r="F532" s="4" t="s">
        <v>17</v>
      </c>
      <c r="G532" s="4" t="s">
        <v>55</v>
      </c>
      <c r="H532" t="s">
        <v>36</v>
      </c>
      <c r="I532" s="3">
        <v>2</v>
      </c>
      <c r="J532" s="5">
        <v>1000</v>
      </c>
      <c r="K532" s="7">
        <v>2000</v>
      </c>
      <c r="L532" s="6">
        <v>45351</v>
      </c>
      <c r="M532" s="8" t="str">
        <f>IF(K532&gt;10000,"High",IF(K532&gt;5000,"Medium","Low"))</f>
        <v>Low</v>
      </c>
      <c r="N532" s="4" t="s">
        <v>242</v>
      </c>
      <c r="O532" s="3">
        <v>2</v>
      </c>
      <c r="P532" s="3">
        <v>2024</v>
      </c>
      <c r="T532" s="4"/>
      <c r="X532"/>
      <c r="Y532" s="3"/>
      <c r="AA532"/>
    </row>
    <row r="533" spans="1:27" x14ac:dyDescent="0.3">
      <c r="A533" s="3">
        <v>1017</v>
      </c>
      <c r="B533" s="4" t="s">
        <v>57</v>
      </c>
      <c r="C533" s="4" t="str">
        <f>IF(D533="","Unknown",IF(D533&lt;20,"Teen",IF(D533&lt;40,"Adult","Senior")))</f>
        <v>Adult</v>
      </c>
      <c r="D533" s="3">
        <v>30</v>
      </c>
      <c r="E533" s="3" t="s">
        <v>250</v>
      </c>
      <c r="F533" s="4" t="s">
        <v>17</v>
      </c>
      <c r="G533" s="4" t="s">
        <v>55</v>
      </c>
      <c r="H533" t="s">
        <v>36</v>
      </c>
      <c r="I533" s="3">
        <v>1</v>
      </c>
      <c r="J533" s="5">
        <v>34599</v>
      </c>
      <c r="K533" s="7">
        <v>34599</v>
      </c>
      <c r="L533" s="6">
        <v>45323</v>
      </c>
      <c r="M533" s="8" t="str">
        <f>IF(K533&gt;10000,"High",IF(K533&gt;5000,"Medium","Low"))</f>
        <v>High</v>
      </c>
      <c r="N533" s="4" t="s">
        <v>244</v>
      </c>
      <c r="O533" s="3">
        <v>2</v>
      </c>
      <c r="P533" s="3">
        <v>2024</v>
      </c>
      <c r="T533" s="4"/>
      <c r="X533"/>
      <c r="Y533" s="3"/>
      <c r="AA533"/>
    </row>
    <row r="534" spans="1:27" x14ac:dyDescent="0.3">
      <c r="A534" s="3">
        <v>1019</v>
      </c>
      <c r="B534" s="4" t="s">
        <v>32</v>
      </c>
      <c r="C534" s="4" t="str">
        <f>IF(D534="","Unknown",IF(D534&lt;20,"Teen",IF(D534&lt;40,"Adult","Senior")))</f>
        <v>Adult</v>
      </c>
      <c r="D534" s="3">
        <v>30</v>
      </c>
      <c r="E534" s="3" t="s">
        <v>250</v>
      </c>
      <c r="F534" s="4" t="s">
        <v>40</v>
      </c>
      <c r="G534" s="4" t="s">
        <v>18</v>
      </c>
      <c r="H534" t="s">
        <v>30</v>
      </c>
      <c r="I534" s="3">
        <v>1</v>
      </c>
      <c r="J534" s="5">
        <v>1000</v>
      </c>
      <c r="K534" s="7">
        <v>1000</v>
      </c>
      <c r="L534" s="6">
        <v>45337</v>
      </c>
      <c r="M534" s="8" t="str">
        <f>IF(K534&gt;10000,"High",IF(K534&gt;5000,"Medium","Low"))</f>
        <v>Low</v>
      </c>
      <c r="N534" s="4" t="s">
        <v>243</v>
      </c>
      <c r="O534" s="3">
        <v>2</v>
      </c>
      <c r="P534" s="3">
        <v>2024</v>
      </c>
      <c r="T534" s="4"/>
      <c r="X534"/>
      <c r="Y534" s="3"/>
      <c r="AA534"/>
    </row>
    <row r="535" spans="1:27" x14ac:dyDescent="0.3">
      <c r="A535" s="3">
        <v>1020</v>
      </c>
      <c r="B535" s="4" t="s">
        <v>62</v>
      </c>
      <c r="C535" s="4" t="str">
        <f>IF(D535="","Unknown",IF(D535&lt;20,"Teen",IF(D535&lt;40,"Adult","Senior")))</f>
        <v>Adult</v>
      </c>
      <c r="D535" s="3">
        <v>30</v>
      </c>
      <c r="E535" s="3" t="s">
        <v>250</v>
      </c>
      <c r="F535" s="4" t="s">
        <v>17</v>
      </c>
      <c r="G535" s="4" t="s">
        <v>18</v>
      </c>
      <c r="H535" t="s">
        <v>30</v>
      </c>
      <c r="I535" s="3">
        <v>2</v>
      </c>
      <c r="J535" s="5">
        <v>1000</v>
      </c>
      <c r="K535" s="7">
        <v>2000</v>
      </c>
      <c r="L535" s="6">
        <v>45341</v>
      </c>
      <c r="M535" s="8" t="str">
        <f>IF(K535&gt;10000,"High",IF(K535&gt;5000,"Medium","Low"))</f>
        <v>Low</v>
      </c>
      <c r="N535" s="4" t="s">
        <v>241</v>
      </c>
      <c r="O535" s="3">
        <v>2</v>
      </c>
      <c r="P535" s="3">
        <v>2024</v>
      </c>
      <c r="T535" s="4"/>
      <c r="X535"/>
      <c r="Y535" s="3"/>
      <c r="AA535"/>
    </row>
    <row r="536" spans="1:27" x14ac:dyDescent="0.3">
      <c r="A536" s="3">
        <v>1024</v>
      </c>
      <c r="B536" s="4" t="s">
        <v>68</v>
      </c>
      <c r="C536" s="4" t="str">
        <f>IF(D536="","Unknown",IF(D536&lt;20,"Teen",IF(D536&lt;40,"Adult","Senior")))</f>
        <v>Senior</v>
      </c>
      <c r="D536" s="3">
        <v>46</v>
      </c>
      <c r="E536" s="3" t="s">
        <v>249</v>
      </c>
      <c r="F536" s="4" t="s">
        <v>17</v>
      </c>
      <c r="G536" s="4" t="s">
        <v>51</v>
      </c>
      <c r="H536" t="s">
        <v>13</v>
      </c>
      <c r="I536" s="3">
        <v>2</v>
      </c>
      <c r="J536" s="5">
        <v>1000</v>
      </c>
      <c r="K536" s="7">
        <v>2000</v>
      </c>
      <c r="L536" s="6">
        <v>45324</v>
      </c>
      <c r="M536" s="8" t="str">
        <f>IF(K536&gt;10000,"High",IF(K536&gt;5000,"Medium","Low"))</f>
        <v>Low</v>
      </c>
      <c r="N536" s="4" t="s">
        <v>241</v>
      </c>
      <c r="O536" s="3">
        <v>2</v>
      </c>
      <c r="P536" s="3">
        <v>2024</v>
      </c>
      <c r="T536" s="4"/>
      <c r="X536"/>
      <c r="Y536" s="3"/>
      <c r="AA536"/>
    </row>
    <row r="537" spans="1:27" x14ac:dyDescent="0.3">
      <c r="A537" s="3">
        <v>1026</v>
      </c>
      <c r="B537" s="4" t="s">
        <v>69</v>
      </c>
      <c r="C537" s="4" t="str">
        <f>IF(D537="","Unknown",IF(D537&lt;20,"Teen",IF(D537&lt;40,"Adult","Senior")))</f>
        <v>Adult</v>
      </c>
      <c r="D537" s="3">
        <v>30</v>
      </c>
      <c r="E537" s="3" t="s">
        <v>250</v>
      </c>
      <c r="F537" s="4" t="s">
        <v>17</v>
      </c>
      <c r="G537" s="4" t="s">
        <v>27</v>
      </c>
      <c r="H537" t="s">
        <v>13</v>
      </c>
      <c r="I537" s="3">
        <v>1</v>
      </c>
      <c r="J537" s="5">
        <v>16677</v>
      </c>
      <c r="K537" s="7">
        <v>16677</v>
      </c>
      <c r="L537" s="6">
        <v>45340</v>
      </c>
      <c r="M537" s="8" t="str">
        <f>IF(K537&gt;10000,"High",IF(K537&gt;5000,"Medium","Low"))</f>
        <v>High</v>
      </c>
      <c r="N537" s="4" t="s">
        <v>243</v>
      </c>
      <c r="O537" s="3">
        <v>2</v>
      </c>
      <c r="P537" s="3">
        <v>2024</v>
      </c>
      <c r="T537" s="4"/>
      <c r="X537"/>
      <c r="Y537" s="3"/>
      <c r="AA537"/>
    </row>
    <row r="538" spans="1:27" x14ac:dyDescent="0.3">
      <c r="A538" s="3">
        <v>1027</v>
      </c>
      <c r="B538" s="4" t="s">
        <v>10</v>
      </c>
      <c r="C538" s="4" t="str">
        <f>IF(D538="","Unknown",IF(D538&lt;20,"Teen",IF(D538&lt;40,"Adult","Senior")))</f>
        <v>Senior</v>
      </c>
      <c r="D538" s="3">
        <v>47</v>
      </c>
      <c r="E538" s="3" t="s">
        <v>249</v>
      </c>
      <c r="F538" s="4" t="s">
        <v>40</v>
      </c>
      <c r="G538" s="4" t="s">
        <v>51</v>
      </c>
      <c r="H538" t="s">
        <v>13</v>
      </c>
      <c r="I538" s="3">
        <v>2</v>
      </c>
      <c r="J538" s="5">
        <v>1000</v>
      </c>
      <c r="K538" s="7">
        <v>2000</v>
      </c>
      <c r="L538" s="6">
        <v>45348</v>
      </c>
      <c r="M538" s="8" t="str">
        <f>IF(K538&gt;10000,"High",IF(K538&gt;5000,"Medium","Low"))</f>
        <v>Low</v>
      </c>
      <c r="N538" s="4" t="s">
        <v>242</v>
      </c>
      <c r="O538" s="3">
        <v>2</v>
      </c>
      <c r="P538" s="3">
        <v>2024</v>
      </c>
      <c r="T538" s="4"/>
      <c r="X538"/>
      <c r="Y538" s="3"/>
      <c r="AA538"/>
    </row>
    <row r="539" spans="1:27" x14ac:dyDescent="0.3">
      <c r="A539" s="3">
        <v>1028</v>
      </c>
      <c r="B539" s="4" t="s">
        <v>57</v>
      </c>
      <c r="C539" s="4" t="str">
        <f>IF(D539="","Unknown",IF(D539&lt;20,"Teen",IF(D539&lt;40,"Adult","Senior")))</f>
        <v>Adult</v>
      </c>
      <c r="D539" s="3">
        <v>29</v>
      </c>
      <c r="E539" s="3" t="s">
        <v>250</v>
      </c>
      <c r="F539" s="4" t="s">
        <v>40</v>
      </c>
      <c r="G539" s="4" t="s">
        <v>55</v>
      </c>
      <c r="H539" t="s">
        <v>36</v>
      </c>
      <c r="I539" s="3">
        <v>2</v>
      </c>
      <c r="J539" s="5">
        <v>49227</v>
      </c>
      <c r="K539" s="7">
        <v>98454</v>
      </c>
      <c r="L539" s="6">
        <v>45342</v>
      </c>
      <c r="M539" s="8" t="str">
        <f>IF(K539&gt;10000,"High",IF(K539&gt;5000,"Medium","Low"))</f>
        <v>High</v>
      </c>
      <c r="N539" s="4" t="s">
        <v>240</v>
      </c>
      <c r="O539" s="3">
        <v>2</v>
      </c>
      <c r="P539" s="3">
        <v>2024</v>
      </c>
      <c r="T539" s="4"/>
      <c r="X539"/>
      <c r="Y539" s="3"/>
      <c r="AA539"/>
    </row>
    <row r="540" spans="1:27" x14ac:dyDescent="0.3">
      <c r="A540" s="3">
        <v>1029</v>
      </c>
      <c r="B540" s="4" t="s">
        <v>73</v>
      </c>
      <c r="C540" s="4" t="str">
        <f>IF(D540="","Unknown",IF(D540&lt;20,"Teen",IF(D540&lt;40,"Adult","Senior")))</f>
        <v>Adult</v>
      </c>
      <c r="D540" s="3">
        <v>34</v>
      </c>
      <c r="E540" s="3" t="s">
        <v>249</v>
      </c>
      <c r="F540" s="4" t="s">
        <v>17</v>
      </c>
      <c r="G540" s="4" t="s">
        <v>51</v>
      </c>
      <c r="H540" t="s">
        <v>13</v>
      </c>
      <c r="I540" s="3">
        <v>3</v>
      </c>
      <c r="J540" s="5">
        <v>1000</v>
      </c>
      <c r="K540" s="7">
        <v>3000</v>
      </c>
      <c r="L540" s="6">
        <v>45342</v>
      </c>
      <c r="M540" s="8" t="str">
        <f>IF(K540&gt;10000,"High",IF(K540&gt;5000,"Medium","Low"))</f>
        <v>Low</v>
      </c>
      <c r="N540" s="4" t="s">
        <v>243</v>
      </c>
      <c r="O540" s="3">
        <v>2</v>
      </c>
      <c r="P540" s="3">
        <v>2024</v>
      </c>
      <c r="T540" s="4"/>
      <c r="X540"/>
      <c r="Y540" s="3"/>
      <c r="AA540"/>
    </row>
    <row r="541" spans="1:27" x14ac:dyDescent="0.3">
      <c r="A541" s="3">
        <v>1031</v>
      </c>
      <c r="B541" s="4" t="s">
        <v>64</v>
      </c>
      <c r="C541" s="4" t="str">
        <f>IF(D541="","Unknown",IF(D541&lt;20,"Teen",IF(D541&lt;40,"Adult","Senior")))</f>
        <v>Adult</v>
      </c>
      <c r="D541" s="3">
        <v>30</v>
      </c>
      <c r="E541" s="3" t="s">
        <v>250</v>
      </c>
      <c r="F541" s="4" t="s">
        <v>17</v>
      </c>
      <c r="G541" s="4" t="s">
        <v>27</v>
      </c>
      <c r="H541" t="s">
        <v>13</v>
      </c>
      <c r="I541" s="3">
        <v>5</v>
      </c>
      <c r="J541" s="5">
        <v>36400</v>
      </c>
      <c r="K541" s="7">
        <v>182000</v>
      </c>
      <c r="L541" s="6">
        <v>45335</v>
      </c>
      <c r="M541" s="8" t="str">
        <f>IF(K541&gt;10000,"High",IF(K541&gt;5000,"Medium","Low"))</f>
        <v>High</v>
      </c>
      <c r="N541" s="4" t="s">
        <v>244</v>
      </c>
      <c r="O541" s="3">
        <v>2</v>
      </c>
      <c r="P541" s="3">
        <v>2024</v>
      </c>
      <c r="T541" s="4"/>
      <c r="X541"/>
      <c r="Y541" s="3"/>
      <c r="AA541"/>
    </row>
    <row r="542" spans="1:27" x14ac:dyDescent="0.3">
      <c r="A542" s="3">
        <v>1034</v>
      </c>
      <c r="B542" s="4" t="s">
        <v>25</v>
      </c>
      <c r="C542" s="4" t="str">
        <f>IF(D542="","Unknown",IF(D542&lt;20,"Teen",IF(D542&lt;40,"Adult","Senior")))</f>
        <v>Adult</v>
      </c>
      <c r="D542" s="3">
        <v>30</v>
      </c>
      <c r="E542" s="3" t="s">
        <v>250</v>
      </c>
      <c r="F542" s="4" t="s">
        <v>40</v>
      </c>
      <c r="G542" s="4" t="s">
        <v>23</v>
      </c>
      <c r="H542" t="s">
        <v>30</v>
      </c>
      <c r="I542" s="3">
        <v>2</v>
      </c>
      <c r="J542" s="5">
        <v>29455</v>
      </c>
      <c r="K542" s="7">
        <v>58910</v>
      </c>
      <c r="L542" s="6">
        <v>45334</v>
      </c>
      <c r="M542" s="8" t="str">
        <f>IF(K542&gt;10000,"High",IF(K542&gt;5000,"Medium","Low"))</f>
        <v>High</v>
      </c>
      <c r="N542" s="4" t="s">
        <v>244</v>
      </c>
      <c r="O542" s="3">
        <v>2</v>
      </c>
      <c r="P542" s="3">
        <v>2024</v>
      </c>
      <c r="T542" s="4"/>
      <c r="X542"/>
      <c r="Y542" s="3"/>
      <c r="AA542"/>
    </row>
    <row r="543" spans="1:27" x14ac:dyDescent="0.3">
      <c r="A543" s="3">
        <v>1035</v>
      </c>
      <c r="B543" s="4" t="s">
        <v>78</v>
      </c>
      <c r="C543" s="4" t="str">
        <f>IF(D543="","Unknown",IF(D543&lt;20,"Teen",IF(D543&lt;40,"Adult","Senior")))</f>
        <v>Adult</v>
      </c>
      <c r="D543" s="3">
        <v>30</v>
      </c>
      <c r="E543" s="3" t="s">
        <v>250</v>
      </c>
      <c r="F543" s="4" t="s">
        <v>40</v>
      </c>
      <c r="G543" s="4" t="s">
        <v>44</v>
      </c>
      <c r="H543" t="s">
        <v>36</v>
      </c>
      <c r="I543" s="3">
        <v>5</v>
      </c>
      <c r="J543" s="5">
        <v>1000</v>
      </c>
      <c r="K543" s="7">
        <v>5000</v>
      </c>
      <c r="L543" s="6">
        <v>45338</v>
      </c>
      <c r="M543" s="8" t="str">
        <f>IF(K543&gt;10000,"High",IF(K543&gt;5000,"Medium","Low"))</f>
        <v>Low</v>
      </c>
      <c r="N543" s="4" t="s">
        <v>241</v>
      </c>
      <c r="O543" s="3">
        <v>2</v>
      </c>
      <c r="P543" s="3">
        <v>2024</v>
      </c>
      <c r="T543" s="4"/>
      <c r="X543"/>
      <c r="Y543" s="3"/>
      <c r="AA543"/>
    </row>
    <row r="544" spans="1:27" x14ac:dyDescent="0.3">
      <c r="A544" s="3">
        <v>1036</v>
      </c>
      <c r="B544" s="4" t="s">
        <v>68</v>
      </c>
      <c r="C544" s="4" t="str">
        <f>IF(D544="","Unknown",IF(D544&lt;20,"Teen",IF(D544&lt;40,"Adult","Senior")))</f>
        <v>Adult</v>
      </c>
      <c r="D544" s="3">
        <v>30</v>
      </c>
      <c r="E544" s="3" t="s">
        <v>250</v>
      </c>
      <c r="F544" s="4" t="s">
        <v>40</v>
      </c>
      <c r="G544" s="4" t="s">
        <v>41</v>
      </c>
      <c r="H544" t="s">
        <v>36</v>
      </c>
      <c r="I544" s="3">
        <v>4</v>
      </c>
      <c r="J544" s="5">
        <v>1000</v>
      </c>
      <c r="K544" s="7">
        <v>4000</v>
      </c>
      <c r="L544" s="6">
        <v>45325</v>
      </c>
      <c r="M544" s="8" t="str">
        <f>IF(K544&gt;10000,"High",IF(K544&gt;5000,"Medium","Low"))</f>
        <v>Low</v>
      </c>
      <c r="N544" s="4" t="s">
        <v>244</v>
      </c>
      <c r="O544" s="3">
        <v>2</v>
      </c>
      <c r="P544" s="3">
        <v>2024</v>
      </c>
      <c r="T544" s="4"/>
      <c r="X544"/>
      <c r="Y544" s="3"/>
      <c r="AA544"/>
    </row>
    <row r="545" spans="1:27" x14ac:dyDescent="0.3">
      <c r="A545" s="3">
        <v>1042</v>
      </c>
      <c r="B545" s="4" t="s">
        <v>25</v>
      </c>
      <c r="C545" s="4" t="str">
        <f>IF(D545="","Unknown",IF(D545&lt;20,"Teen",IF(D545&lt;40,"Adult","Senior")))</f>
        <v>Adult</v>
      </c>
      <c r="D545" s="3">
        <v>30</v>
      </c>
      <c r="E545" s="3" t="s">
        <v>250</v>
      </c>
      <c r="F545" s="4" t="s">
        <v>40</v>
      </c>
      <c r="G545" s="4" t="s">
        <v>23</v>
      </c>
      <c r="H545" t="s">
        <v>30</v>
      </c>
      <c r="I545" s="3">
        <v>2</v>
      </c>
      <c r="J545" s="5">
        <v>9264</v>
      </c>
      <c r="K545" s="7">
        <v>18528</v>
      </c>
      <c r="L545" s="6">
        <v>45348</v>
      </c>
      <c r="M545" s="8" t="str">
        <f>IF(K545&gt;10000,"High",IF(K545&gt;5000,"Medium","Low"))</f>
        <v>High</v>
      </c>
      <c r="N545" s="4" t="s">
        <v>242</v>
      </c>
      <c r="O545" s="3">
        <v>2</v>
      </c>
      <c r="P545" s="3">
        <v>2024</v>
      </c>
      <c r="T545" s="4"/>
      <c r="X545"/>
      <c r="Y545" s="3"/>
      <c r="AA545"/>
    </row>
    <row r="546" spans="1:27" x14ac:dyDescent="0.3">
      <c r="A546" s="3">
        <v>1043</v>
      </c>
      <c r="B546" s="4" t="s">
        <v>64</v>
      </c>
      <c r="C546" s="4" t="str">
        <f>IF(D546="","Unknown",IF(D546&lt;20,"Teen",IF(D546&lt;40,"Adult","Senior")))</f>
        <v>Adult</v>
      </c>
      <c r="D546" s="3">
        <v>30</v>
      </c>
      <c r="E546" s="3" t="s">
        <v>250</v>
      </c>
      <c r="F546" s="4" t="s">
        <v>17</v>
      </c>
      <c r="G546" s="4" t="s">
        <v>12</v>
      </c>
      <c r="H546" t="s">
        <v>13</v>
      </c>
      <c r="I546" s="3">
        <v>5</v>
      </c>
      <c r="J546" s="5">
        <v>1557</v>
      </c>
      <c r="K546" s="7">
        <v>7785</v>
      </c>
      <c r="L546" s="6">
        <v>45346</v>
      </c>
      <c r="M546" s="8" t="str">
        <f>IF(K546&gt;10000,"High",IF(K546&gt;5000,"Medium","Low"))</f>
        <v>Medium</v>
      </c>
      <c r="N546" s="4" t="s">
        <v>243</v>
      </c>
      <c r="O546" s="3">
        <v>2</v>
      </c>
      <c r="P546" s="3">
        <v>2024</v>
      </c>
      <c r="T546" s="4"/>
      <c r="X546"/>
      <c r="Y546" s="3"/>
      <c r="AA546"/>
    </row>
    <row r="547" spans="1:27" x14ac:dyDescent="0.3">
      <c r="A547" s="3">
        <v>1044</v>
      </c>
      <c r="B547" s="4" t="s">
        <v>32</v>
      </c>
      <c r="C547" s="4" t="str">
        <f>IF(D547="","Unknown",IF(D547&lt;20,"Teen",IF(D547&lt;40,"Adult","Senior")))</f>
        <v>Adult</v>
      </c>
      <c r="D547" s="3">
        <v>30</v>
      </c>
      <c r="E547" s="3" t="s">
        <v>250</v>
      </c>
      <c r="F547" s="4" t="s">
        <v>40</v>
      </c>
      <c r="G547" s="4" t="s">
        <v>27</v>
      </c>
      <c r="H547" t="s">
        <v>13</v>
      </c>
      <c r="I547" s="3">
        <v>2</v>
      </c>
      <c r="J547" s="5">
        <v>49020</v>
      </c>
      <c r="K547" s="7">
        <v>98040</v>
      </c>
      <c r="L547" s="6">
        <v>45332</v>
      </c>
      <c r="M547" s="8" t="str">
        <f>IF(K547&gt;10000,"High",IF(K547&gt;5000,"Medium","Low"))</f>
        <v>High</v>
      </c>
      <c r="N547" s="4" t="s">
        <v>243</v>
      </c>
      <c r="O547" s="3">
        <v>2</v>
      </c>
      <c r="P547" s="3">
        <v>2024</v>
      </c>
      <c r="T547" s="4"/>
      <c r="X547"/>
      <c r="Y547" s="3"/>
      <c r="AA547"/>
    </row>
    <row r="548" spans="1:27" x14ac:dyDescent="0.3">
      <c r="A548" s="3">
        <v>1051</v>
      </c>
      <c r="B548" s="4" t="s">
        <v>57</v>
      </c>
      <c r="C548" s="4" t="str">
        <f>IF(D548="","Unknown",IF(D548&lt;20,"Teen",IF(D548&lt;40,"Adult","Senior")))</f>
        <v>Adult</v>
      </c>
      <c r="D548" s="3">
        <v>24</v>
      </c>
      <c r="E548" s="3" t="s">
        <v>250</v>
      </c>
      <c r="F548" s="4" t="s">
        <v>40</v>
      </c>
      <c r="G548" s="4" t="s">
        <v>23</v>
      </c>
      <c r="H548" t="s">
        <v>30</v>
      </c>
      <c r="I548" s="3">
        <v>2</v>
      </c>
      <c r="J548" s="5">
        <v>1000</v>
      </c>
      <c r="K548" s="7">
        <v>2000</v>
      </c>
      <c r="L548" s="6">
        <v>45336</v>
      </c>
      <c r="M548" s="8" t="str">
        <f>IF(K548&gt;10000,"High",IF(K548&gt;5000,"Medium","Low"))</f>
        <v>Low</v>
      </c>
      <c r="N548" s="4" t="s">
        <v>241</v>
      </c>
      <c r="O548" s="3">
        <v>2</v>
      </c>
      <c r="P548" s="3">
        <v>2024</v>
      </c>
      <c r="T548" s="4"/>
      <c r="X548"/>
      <c r="Y548" s="3"/>
      <c r="AA548"/>
    </row>
    <row r="549" spans="1:27" x14ac:dyDescent="0.3">
      <c r="A549" s="3">
        <v>1053</v>
      </c>
      <c r="B549" s="4" t="s">
        <v>38</v>
      </c>
      <c r="C549" s="4" t="str">
        <f>IF(D549="","Unknown",IF(D549&lt;20,"Teen",IF(D549&lt;40,"Adult","Senior")))</f>
        <v>Adult</v>
      </c>
      <c r="D549" s="3">
        <v>27</v>
      </c>
      <c r="E549" s="3" t="s">
        <v>250</v>
      </c>
      <c r="F549" s="4" t="s">
        <v>17</v>
      </c>
      <c r="G549" s="4" t="s">
        <v>27</v>
      </c>
      <c r="H549" t="s">
        <v>13</v>
      </c>
      <c r="I549" s="3">
        <v>2</v>
      </c>
      <c r="J549" s="5">
        <v>41672</v>
      </c>
      <c r="K549" s="7">
        <v>83344</v>
      </c>
      <c r="L549" s="6">
        <v>45332</v>
      </c>
      <c r="M549" s="8" t="str">
        <f>IF(K549&gt;10000,"High",IF(K549&gt;5000,"Medium","Low"))</f>
        <v>High</v>
      </c>
      <c r="N549" s="4" t="s">
        <v>243</v>
      </c>
      <c r="O549" s="3">
        <v>2</v>
      </c>
      <c r="P549" s="3">
        <v>2024</v>
      </c>
      <c r="T549" s="4"/>
      <c r="X549"/>
      <c r="Y549" s="3"/>
      <c r="AA549"/>
    </row>
    <row r="550" spans="1:27" x14ac:dyDescent="0.3">
      <c r="A550" s="3">
        <v>1054</v>
      </c>
      <c r="B550" s="4" t="s">
        <v>64</v>
      </c>
      <c r="C550" s="4" t="str">
        <f>IF(D550="","Unknown",IF(D550&lt;20,"Teen",IF(D550&lt;40,"Adult","Senior")))</f>
        <v>Adult</v>
      </c>
      <c r="D550" s="3">
        <v>30</v>
      </c>
      <c r="E550" s="3" t="s">
        <v>250</v>
      </c>
      <c r="F550" s="4" t="s">
        <v>17</v>
      </c>
      <c r="G550" s="4" t="s">
        <v>51</v>
      </c>
      <c r="H550" t="s">
        <v>13</v>
      </c>
      <c r="I550" s="3">
        <v>4</v>
      </c>
      <c r="J550" s="5">
        <v>1000</v>
      </c>
      <c r="K550" s="7">
        <v>4000</v>
      </c>
      <c r="L550" s="6">
        <v>45335</v>
      </c>
      <c r="M550" s="8" t="str">
        <f>IF(K550&gt;10000,"High",IF(K550&gt;5000,"Medium","Low"))</f>
        <v>Low</v>
      </c>
      <c r="N550" s="4" t="s">
        <v>244</v>
      </c>
      <c r="O550" s="3">
        <v>2</v>
      </c>
      <c r="P550" s="3">
        <v>2024</v>
      </c>
      <c r="T550" s="4"/>
      <c r="X550"/>
      <c r="Y550" s="3"/>
      <c r="AA550"/>
    </row>
    <row r="551" spans="1:27" x14ac:dyDescent="0.3">
      <c r="A551" s="3">
        <v>1056</v>
      </c>
      <c r="B551" s="4" t="s">
        <v>46</v>
      </c>
      <c r="C551" s="4" t="str">
        <f>IF(D551="","Unknown",IF(D551&lt;20,"Teen",IF(D551&lt;40,"Adult","Senior")))</f>
        <v>Adult</v>
      </c>
      <c r="D551" s="3">
        <v>23</v>
      </c>
      <c r="E551" s="3" t="s">
        <v>250</v>
      </c>
      <c r="F551" s="4" t="s">
        <v>40</v>
      </c>
      <c r="G551" s="4" t="s">
        <v>23</v>
      </c>
      <c r="H551" t="s">
        <v>30</v>
      </c>
      <c r="I551" s="3">
        <v>2</v>
      </c>
      <c r="J551" s="5">
        <v>1000</v>
      </c>
      <c r="K551" s="7">
        <v>2000</v>
      </c>
      <c r="L551" s="6">
        <v>45338</v>
      </c>
      <c r="M551" s="8" t="str">
        <f>IF(K551&gt;10000,"High",IF(K551&gt;5000,"Medium","Low"))</f>
        <v>Low</v>
      </c>
      <c r="N551" s="4" t="s">
        <v>240</v>
      </c>
      <c r="O551" s="3">
        <v>2</v>
      </c>
      <c r="P551" s="3">
        <v>2024</v>
      </c>
      <c r="T551" s="4"/>
      <c r="X551"/>
      <c r="Y551" s="3"/>
      <c r="AA551"/>
    </row>
    <row r="552" spans="1:27" x14ac:dyDescent="0.3">
      <c r="A552" s="3">
        <v>1057</v>
      </c>
      <c r="B552" s="4" t="s">
        <v>38</v>
      </c>
      <c r="C552" s="4" t="str">
        <f>IF(D552="","Unknown",IF(D552&lt;20,"Teen",IF(D552&lt;40,"Adult","Senior")))</f>
        <v>Adult</v>
      </c>
      <c r="D552" s="3">
        <v>30</v>
      </c>
      <c r="E552" s="3" t="s">
        <v>250</v>
      </c>
      <c r="F552" s="4" t="s">
        <v>40</v>
      </c>
      <c r="G552" s="4" t="s">
        <v>23</v>
      </c>
      <c r="H552" t="s">
        <v>30</v>
      </c>
      <c r="I552" s="3">
        <v>3</v>
      </c>
      <c r="J552" s="5">
        <v>1000</v>
      </c>
      <c r="K552" s="7">
        <v>3000</v>
      </c>
      <c r="L552" s="6">
        <v>45346</v>
      </c>
      <c r="M552" s="8" t="str">
        <f>IF(K552&gt;10000,"High",IF(K552&gt;5000,"Medium","Low"))</f>
        <v>Low</v>
      </c>
      <c r="N552" s="4" t="s">
        <v>242</v>
      </c>
      <c r="O552" s="3">
        <v>2</v>
      </c>
      <c r="P552" s="3">
        <v>2024</v>
      </c>
      <c r="T552" s="4"/>
      <c r="X552"/>
      <c r="Y552" s="3"/>
      <c r="AA552"/>
    </row>
    <row r="553" spans="1:27" x14ac:dyDescent="0.3">
      <c r="A553" s="3">
        <v>1064</v>
      </c>
      <c r="B553" s="4" t="s">
        <v>73</v>
      </c>
      <c r="C553" s="4" t="str">
        <f>IF(D553="","Unknown",IF(D553&lt;20,"Teen",IF(D553&lt;40,"Adult","Senior")))</f>
        <v>Senior</v>
      </c>
      <c r="D553" s="3">
        <v>41</v>
      </c>
      <c r="E553" s="3" t="s">
        <v>249</v>
      </c>
      <c r="F553" s="4" t="s">
        <v>40</v>
      </c>
      <c r="G553" s="4" t="s">
        <v>27</v>
      </c>
      <c r="H553" t="s">
        <v>13</v>
      </c>
      <c r="I553" s="3">
        <v>2</v>
      </c>
      <c r="J553" s="5">
        <v>18041</v>
      </c>
      <c r="K553" s="7">
        <v>36082</v>
      </c>
      <c r="L553" s="6">
        <v>45341</v>
      </c>
      <c r="M553" s="8" t="str">
        <f>IF(K553&gt;10000,"High",IF(K553&gt;5000,"Medium","Low"))</f>
        <v>High</v>
      </c>
      <c r="N553" s="4" t="s">
        <v>243</v>
      </c>
      <c r="O553" s="3">
        <v>2</v>
      </c>
      <c r="P553" s="3">
        <v>2024</v>
      </c>
      <c r="T553" s="4"/>
      <c r="X553"/>
      <c r="Y553" s="3"/>
      <c r="AA553"/>
    </row>
    <row r="554" spans="1:27" x14ac:dyDescent="0.3">
      <c r="A554" s="3">
        <v>1065</v>
      </c>
      <c r="B554" s="4" t="s">
        <v>69</v>
      </c>
      <c r="C554" s="4" t="str">
        <f>IF(D554="","Unknown",IF(D554&lt;20,"Teen",IF(D554&lt;40,"Adult","Senior")))</f>
        <v>Adult</v>
      </c>
      <c r="D554" s="3">
        <v>25</v>
      </c>
      <c r="E554" s="3" t="s">
        <v>250</v>
      </c>
      <c r="F554" s="4" t="s">
        <v>17</v>
      </c>
      <c r="G554" s="4" t="s">
        <v>12</v>
      </c>
      <c r="H554" t="s">
        <v>13</v>
      </c>
      <c r="I554" s="3">
        <v>4</v>
      </c>
      <c r="J554" s="5">
        <v>1000</v>
      </c>
      <c r="K554" s="7">
        <v>4000</v>
      </c>
      <c r="L554" s="6">
        <v>45350</v>
      </c>
      <c r="M554" s="8" t="str">
        <f>IF(K554&gt;10000,"High",IF(K554&gt;5000,"Medium","Low"))</f>
        <v>Low</v>
      </c>
      <c r="N554" s="4" t="s">
        <v>241</v>
      </c>
      <c r="O554" s="3">
        <v>2</v>
      </c>
      <c r="P554" s="3">
        <v>2024</v>
      </c>
      <c r="T554" s="4"/>
      <c r="X554"/>
      <c r="Y554" s="3"/>
      <c r="AA554"/>
    </row>
    <row r="555" spans="1:27" x14ac:dyDescent="0.3">
      <c r="A555" s="3">
        <v>1070</v>
      </c>
      <c r="B555" s="4" t="s">
        <v>59</v>
      </c>
      <c r="C555" s="4" t="str">
        <f>IF(D555="","Unknown",IF(D555&lt;20,"Teen",IF(D555&lt;40,"Adult","Senior")))</f>
        <v>Adult</v>
      </c>
      <c r="D555" s="3">
        <v>23</v>
      </c>
      <c r="E555" s="3" t="s">
        <v>250</v>
      </c>
      <c r="F555" s="4" t="s">
        <v>40</v>
      </c>
      <c r="G555" s="4" t="s">
        <v>12</v>
      </c>
      <c r="H555" t="s">
        <v>13</v>
      </c>
      <c r="I555" s="3">
        <v>3</v>
      </c>
      <c r="J555" s="5">
        <v>1000</v>
      </c>
      <c r="K555" s="7">
        <v>3000</v>
      </c>
      <c r="L555" s="6">
        <v>45340</v>
      </c>
      <c r="M555" s="8" t="str">
        <f>IF(K555&gt;10000,"High",IF(K555&gt;5000,"Medium","Low"))</f>
        <v>Low</v>
      </c>
      <c r="N555" s="4" t="s">
        <v>240</v>
      </c>
      <c r="O555" s="3">
        <v>2</v>
      </c>
      <c r="P555" s="3">
        <v>2024</v>
      </c>
      <c r="T555" s="4"/>
      <c r="X555"/>
      <c r="Y555" s="3"/>
      <c r="AA555"/>
    </row>
    <row r="556" spans="1:27" x14ac:dyDescent="0.3">
      <c r="A556" s="3">
        <v>1076</v>
      </c>
      <c r="B556" s="4" t="s">
        <v>25</v>
      </c>
      <c r="C556" s="4" t="str">
        <f>IF(D556="","Unknown",IF(D556&lt;20,"Teen",IF(D556&lt;40,"Adult","Senior")))</f>
        <v>Adult</v>
      </c>
      <c r="D556" s="3">
        <v>30</v>
      </c>
      <c r="E556" s="3" t="s">
        <v>250</v>
      </c>
      <c r="F556" s="4" t="s">
        <v>40</v>
      </c>
      <c r="G556" s="4" t="s">
        <v>18</v>
      </c>
      <c r="H556" t="s">
        <v>30</v>
      </c>
      <c r="I556" s="3">
        <v>2</v>
      </c>
      <c r="J556" s="5">
        <v>1000</v>
      </c>
      <c r="K556" s="7">
        <v>2000</v>
      </c>
      <c r="L556" s="6">
        <v>45329</v>
      </c>
      <c r="M556" s="8" t="str">
        <f>IF(K556&gt;10000,"High",IF(K556&gt;5000,"Medium","Low"))</f>
        <v>Low</v>
      </c>
      <c r="N556" s="4" t="s">
        <v>243</v>
      </c>
      <c r="O556" s="3">
        <v>2</v>
      </c>
      <c r="P556" s="3">
        <v>2024</v>
      </c>
      <c r="T556" s="4"/>
      <c r="X556"/>
      <c r="Y556" s="3"/>
      <c r="AA556"/>
    </row>
    <row r="557" spans="1:27" x14ac:dyDescent="0.3">
      <c r="A557" s="3">
        <v>1077</v>
      </c>
      <c r="B557" s="4" t="s">
        <v>32</v>
      </c>
      <c r="C557" s="4" t="str">
        <f>IF(D557="","Unknown",IF(D557&lt;20,"Teen",IF(D557&lt;40,"Adult","Senior")))</f>
        <v>Adult</v>
      </c>
      <c r="D557" s="3">
        <v>30</v>
      </c>
      <c r="E557" s="3" t="s">
        <v>250</v>
      </c>
      <c r="F557" s="4" t="s">
        <v>40</v>
      </c>
      <c r="G557" s="4" t="s">
        <v>23</v>
      </c>
      <c r="H557" t="s">
        <v>30</v>
      </c>
      <c r="I557" s="3">
        <v>2</v>
      </c>
      <c r="J557" s="5">
        <v>1000</v>
      </c>
      <c r="K557" s="7">
        <v>2000</v>
      </c>
      <c r="L557" s="6">
        <v>45329</v>
      </c>
      <c r="M557" s="8" t="str">
        <f>IF(K557&gt;10000,"High",IF(K557&gt;5000,"Medium","Low"))</f>
        <v>Low</v>
      </c>
      <c r="N557" s="4" t="s">
        <v>243</v>
      </c>
      <c r="O557" s="3">
        <v>2</v>
      </c>
      <c r="P557" s="3">
        <v>2024</v>
      </c>
      <c r="T557" s="4"/>
      <c r="X557"/>
      <c r="Y557" s="3"/>
      <c r="AA557"/>
    </row>
    <row r="558" spans="1:27" x14ac:dyDescent="0.3">
      <c r="A558" s="3">
        <v>1078</v>
      </c>
      <c r="B558" s="4" t="s">
        <v>25</v>
      </c>
      <c r="C558" s="4" t="str">
        <f>IF(D558="","Unknown",IF(D558&lt;20,"Teen",IF(D558&lt;40,"Adult","Senior")))</f>
        <v>Adult</v>
      </c>
      <c r="D558" s="3">
        <v>30</v>
      </c>
      <c r="E558" s="3" t="s">
        <v>250</v>
      </c>
      <c r="F558" s="4" t="s">
        <v>17</v>
      </c>
      <c r="G558" s="4" t="s">
        <v>12</v>
      </c>
      <c r="H558" t="s">
        <v>13</v>
      </c>
      <c r="I558" s="3">
        <v>5</v>
      </c>
      <c r="J558" s="5">
        <v>1000</v>
      </c>
      <c r="K558" s="7">
        <v>5000</v>
      </c>
      <c r="L558" s="6">
        <v>45327</v>
      </c>
      <c r="M558" s="8" t="str">
        <f>IF(K558&gt;10000,"High",IF(K558&gt;5000,"Medium","Low"))</f>
        <v>Low</v>
      </c>
      <c r="N558" s="4" t="s">
        <v>240</v>
      </c>
      <c r="O558" s="3">
        <v>2</v>
      </c>
      <c r="P558" s="3">
        <v>2024</v>
      </c>
      <c r="T558" s="4"/>
      <c r="X558"/>
      <c r="Y558" s="3"/>
      <c r="AA558"/>
    </row>
    <row r="559" spans="1:27" x14ac:dyDescent="0.3">
      <c r="A559" s="3">
        <v>1081</v>
      </c>
      <c r="B559" s="4" t="s">
        <v>54</v>
      </c>
      <c r="C559" s="4" t="str">
        <f>IF(D559="","Unknown",IF(D559&lt;20,"Teen",IF(D559&lt;40,"Adult","Senior")))</f>
        <v>Adult</v>
      </c>
      <c r="D559" s="3">
        <v>30</v>
      </c>
      <c r="E559" s="3" t="s">
        <v>250</v>
      </c>
      <c r="F559" s="4" t="s">
        <v>17</v>
      </c>
      <c r="G559" s="4" t="s">
        <v>23</v>
      </c>
      <c r="H559" t="s">
        <v>30</v>
      </c>
      <c r="I559" s="3">
        <v>2</v>
      </c>
      <c r="J559" s="5">
        <v>1000</v>
      </c>
      <c r="K559" s="7">
        <v>2000</v>
      </c>
      <c r="L559" s="6">
        <v>45339</v>
      </c>
      <c r="M559" s="8" t="str">
        <f>IF(K559&gt;10000,"High",IF(K559&gt;5000,"Medium","Low"))</f>
        <v>Low</v>
      </c>
      <c r="N559" s="4" t="s">
        <v>242</v>
      </c>
      <c r="O559" s="3">
        <v>2</v>
      </c>
      <c r="P559" s="3">
        <v>2024</v>
      </c>
      <c r="T559" s="4"/>
      <c r="X559"/>
      <c r="Y559" s="3"/>
      <c r="AA559"/>
    </row>
    <row r="560" spans="1:27" x14ac:dyDescent="0.3">
      <c r="A560" s="3">
        <v>1087</v>
      </c>
      <c r="B560" s="4" t="s">
        <v>57</v>
      </c>
      <c r="C560" s="4" t="str">
        <f>IF(D560="","Unknown",IF(D560&lt;20,"Teen",IF(D560&lt;40,"Adult","Senior")))</f>
        <v>Adult</v>
      </c>
      <c r="D560" s="3">
        <v>30</v>
      </c>
      <c r="E560" s="3" t="s">
        <v>250</v>
      </c>
      <c r="F560" s="4" t="s">
        <v>40</v>
      </c>
      <c r="G560" s="4" t="s">
        <v>51</v>
      </c>
      <c r="H560" t="s">
        <v>13</v>
      </c>
      <c r="I560" s="3">
        <v>2</v>
      </c>
      <c r="J560" s="5">
        <v>49818</v>
      </c>
      <c r="K560" s="7">
        <v>99636</v>
      </c>
      <c r="L560" s="6">
        <v>45338</v>
      </c>
      <c r="M560" s="8" t="str">
        <f>IF(K560&gt;10000,"High",IF(K560&gt;5000,"Medium","Low"))</f>
        <v>High</v>
      </c>
      <c r="N560" s="4" t="s">
        <v>242</v>
      </c>
      <c r="O560" s="3">
        <v>2</v>
      </c>
      <c r="P560" s="3">
        <v>2024</v>
      </c>
      <c r="T560" s="4"/>
      <c r="X560"/>
      <c r="Y560" s="3"/>
      <c r="AA560"/>
    </row>
    <row r="561" spans="1:27" x14ac:dyDescent="0.3">
      <c r="A561" s="3">
        <v>1088</v>
      </c>
      <c r="B561" s="4" t="s">
        <v>59</v>
      </c>
      <c r="C561" s="4" t="str">
        <f>IF(D561="","Unknown",IF(D561&lt;20,"Teen",IF(D561&lt;40,"Adult","Senior")))</f>
        <v>Adult</v>
      </c>
      <c r="D561" s="3">
        <v>30</v>
      </c>
      <c r="E561" s="3" t="s">
        <v>250</v>
      </c>
      <c r="F561" s="4" t="s">
        <v>40</v>
      </c>
      <c r="G561" s="4" t="s">
        <v>27</v>
      </c>
      <c r="H561" t="s">
        <v>13</v>
      </c>
      <c r="I561" s="3">
        <v>5</v>
      </c>
      <c r="J561" s="5">
        <v>12794</v>
      </c>
      <c r="K561" s="7">
        <v>63970</v>
      </c>
      <c r="L561" s="6">
        <v>45338</v>
      </c>
      <c r="M561" s="8" t="str">
        <f>IF(K561&gt;10000,"High",IF(K561&gt;5000,"Medium","Low"))</f>
        <v>High</v>
      </c>
      <c r="N561" s="4" t="s">
        <v>243</v>
      </c>
      <c r="O561" s="3">
        <v>2</v>
      </c>
      <c r="P561" s="3">
        <v>2024</v>
      </c>
      <c r="T561" s="4"/>
      <c r="X561"/>
      <c r="Y561" s="3"/>
      <c r="AA561"/>
    </row>
    <row r="562" spans="1:27" x14ac:dyDescent="0.3">
      <c r="A562" s="3">
        <v>1090</v>
      </c>
      <c r="B562" s="4" t="s">
        <v>16</v>
      </c>
      <c r="C562" s="4" t="str">
        <f>IF(D562="","Unknown",IF(D562&lt;20,"Teen",IF(D562&lt;40,"Adult","Senior")))</f>
        <v>Adult</v>
      </c>
      <c r="D562" s="3">
        <v>22</v>
      </c>
      <c r="E562" s="3" t="s">
        <v>250</v>
      </c>
      <c r="F562" s="4" t="s">
        <v>40</v>
      </c>
      <c r="G562" s="4" t="s">
        <v>27</v>
      </c>
      <c r="H562" t="s">
        <v>13</v>
      </c>
      <c r="I562" s="3">
        <v>2</v>
      </c>
      <c r="J562" s="5">
        <v>18507</v>
      </c>
      <c r="K562" s="7">
        <v>37014</v>
      </c>
      <c r="L562" s="6">
        <v>45339</v>
      </c>
      <c r="M562" s="8" t="str">
        <f>IF(K562&gt;10000,"High",IF(K562&gt;5000,"Medium","Low"))</f>
        <v>High</v>
      </c>
      <c r="N562" s="4" t="s">
        <v>242</v>
      </c>
      <c r="O562" s="3">
        <v>2</v>
      </c>
      <c r="P562" s="3">
        <v>2024</v>
      </c>
      <c r="T562" s="4"/>
      <c r="X562"/>
      <c r="Y562" s="3"/>
      <c r="AA562"/>
    </row>
    <row r="563" spans="1:27" x14ac:dyDescent="0.3">
      <c r="A563" s="3">
        <v>1091</v>
      </c>
      <c r="B563" s="4" t="s">
        <v>10</v>
      </c>
      <c r="C563" s="4" t="str">
        <f>IF(D563="","Unknown",IF(D563&lt;20,"Teen",IF(D563&lt;40,"Adult","Senior")))</f>
        <v>Adult</v>
      </c>
      <c r="D563" s="3">
        <v>30</v>
      </c>
      <c r="E563" s="3" t="s">
        <v>250</v>
      </c>
      <c r="F563" s="4" t="s">
        <v>17</v>
      </c>
      <c r="G563" s="4" t="s">
        <v>27</v>
      </c>
      <c r="H563" t="s">
        <v>13</v>
      </c>
      <c r="I563" s="3">
        <v>2</v>
      </c>
      <c r="J563" s="5">
        <v>1000</v>
      </c>
      <c r="K563" s="7">
        <v>2000</v>
      </c>
      <c r="L563" s="6">
        <v>45323</v>
      </c>
      <c r="M563" s="8" t="str">
        <f>IF(K563&gt;10000,"High",IF(K563&gt;5000,"Medium","Low"))</f>
        <v>Low</v>
      </c>
      <c r="N563" s="4" t="s">
        <v>244</v>
      </c>
      <c r="O563" s="3">
        <v>2</v>
      </c>
      <c r="P563" s="3">
        <v>2024</v>
      </c>
      <c r="T563" s="4"/>
      <c r="X563"/>
      <c r="Y563" s="3"/>
      <c r="AA563"/>
    </row>
    <row r="564" spans="1:27" x14ac:dyDescent="0.3">
      <c r="A564" s="3">
        <v>1093</v>
      </c>
      <c r="B564" s="4" t="s">
        <v>16</v>
      </c>
      <c r="C564" s="4" t="str">
        <f>IF(D564="","Unknown",IF(D564&lt;20,"Teen",IF(D564&lt;40,"Adult","Senior")))</f>
        <v>Adult</v>
      </c>
      <c r="D564" s="3">
        <v>30</v>
      </c>
      <c r="E564" s="3" t="s">
        <v>250</v>
      </c>
      <c r="F564" s="4" t="s">
        <v>17</v>
      </c>
      <c r="G564" s="4" t="s">
        <v>55</v>
      </c>
      <c r="H564" t="s">
        <v>36</v>
      </c>
      <c r="I564" s="3">
        <v>2</v>
      </c>
      <c r="J564" s="5">
        <v>46496</v>
      </c>
      <c r="K564" s="7">
        <v>92992</v>
      </c>
      <c r="L564" s="6">
        <v>45348</v>
      </c>
      <c r="M564" s="8" t="str">
        <f>IF(K564&gt;10000,"High",IF(K564&gt;5000,"Medium","Low"))</f>
        <v>High</v>
      </c>
      <c r="N564" s="4" t="s">
        <v>244</v>
      </c>
      <c r="O564" s="3">
        <v>2</v>
      </c>
      <c r="P564" s="3">
        <v>2024</v>
      </c>
      <c r="T564" s="4"/>
      <c r="X564"/>
      <c r="Y564" s="3"/>
      <c r="AA564"/>
    </row>
    <row r="565" spans="1:27" x14ac:dyDescent="0.3">
      <c r="A565" s="3">
        <v>1094</v>
      </c>
      <c r="B565" s="4" t="s">
        <v>62</v>
      </c>
      <c r="C565" s="4" t="str">
        <f>IF(D565="","Unknown",IF(D565&lt;20,"Teen",IF(D565&lt;40,"Adult","Senior")))</f>
        <v>Adult</v>
      </c>
      <c r="D565" s="3">
        <v>30</v>
      </c>
      <c r="E565" s="3" t="s">
        <v>250</v>
      </c>
      <c r="F565" s="4" t="s">
        <v>40</v>
      </c>
      <c r="G565" s="4" t="s">
        <v>18</v>
      </c>
      <c r="H565" t="s">
        <v>30</v>
      </c>
      <c r="I565" s="3">
        <v>2</v>
      </c>
      <c r="J565" s="5">
        <v>1000</v>
      </c>
      <c r="K565" s="7">
        <v>2000</v>
      </c>
      <c r="L565" s="6">
        <v>45349</v>
      </c>
      <c r="M565" s="8" t="str">
        <f>IF(K565&gt;10000,"High",IF(K565&gt;5000,"Medium","Low"))</f>
        <v>Low</v>
      </c>
      <c r="N565" s="4" t="s">
        <v>244</v>
      </c>
      <c r="O565" s="3">
        <v>2</v>
      </c>
      <c r="P565" s="3">
        <v>2024</v>
      </c>
      <c r="T565" s="4"/>
      <c r="X565"/>
      <c r="Y565" s="3"/>
      <c r="AA565"/>
    </row>
    <row r="566" spans="1:27" x14ac:dyDescent="0.3">
      <c r="A566" s="3">
        <v>1095</v>
      </c>
      <c r="B566" s="4" t="s">
        <v>73</v>
      </c>
      <c r="C566" s="4" t="str">
        <f>IF(D566="","Unknown",IF(D566&lt;20,"Teen",IF(D566&lt;40,"Adult","Senior")))</f>
        <v>Senior</v>
      </c>
      <c r="D566" s="3">
        <v>45</v>
      </c>
      <c r="E566" s="3" t="s">
        <v>249</v>
      </c>
      <c r="F566" s="4" t="s">
        <v>17</v>
      </c>
      <c r="G566" s="4" t="s">
        <v>27</v>
      </c>
      <c r="H566" t="s">
        <v>13</v>
      </c>
      <c r="I566" s="3">
        <v>2</v>
      </c>
      <c r="J566" s="5">
        <v>1000</v>
      </c>
      <c r="K566" s="7">
        <v>2000</v>
      </c>
      <c r="L566" s="6">
        <v>45328</v>
      </c>
      <c r="M566" s="8" t="str">
        <f>IF(K566&gt;10000,"High",IF(K566&gt;5000,"Medium","Low"))</f>
        <v>Low</v>
      </c>
      <c r="N566" s="4" t="s">
        <v>241</v>
      </c>
      <c r="O566" s="3">
        <v>2</v>
      </c>
      <c r="P566" s="3">
        <v>2024</v>
      </c>
      <c r="T566" s="4"/>
      <c r="X566"/>
      <c r="Y566" s="3"/>
      <c r="AA566"/>
    </row>
    <row r="567" spans="1:27" x14ac:dyDescent="0.3">
      <c r="A567" s="3">
        <v>1096</v>
      </c>
      <c r="B567" s="4" t="s">
        <v>10</v>
      </c>
      <c r="C567" s="4" t="str">
        <f>IF(D567="","Unknown",IF(D567&lt;20,"Teen",IF(D567&lt;40,"Adult","Senior")))</f>
        <v>Adult</v>
      </c>
      <c r="D567" s="3">
        <v>30</v>
      </c>
      <c r="E567" s="3" t="s">
        <v>250</v>
      </c>
      <c r="F567" s="4" t="s">
        <v>40</v>
      </c>
      <c r="G567" s="4" t="s">
        <v>23</v>
      </c>
      <c r="H567" t="s">
        <v>30</v>
      </c>
      <c r="I567" s="3">
        <v>3</v>
      </c>
      <c r="J567" s="5">
        <v>37004</v>
      </c>
      <c r="K567" s="7">
        <v>111012</v>
      </c>
      <c r="L567" s="6">
        <v>45337</v>
      </c>
      <c r="M567" s="8" t="str">
        <f>IF(K567&gt;10000,"High",IF(K567&gt;5000,"Medium","Low"))</f>
        <v>High</v>
      </c>
      <c r="N567" s="4" t="s">
        <v>244</v>
      </c>
      <c r="O567" s="3">
        <v>2</v>
      </c>
      <c r="P567" s="3">
        <v>2024</v>
      </c>
      <c r="T567" s="4"/>
      <c r="X567"/>
      <c r="Y567" s="3"/>
      <c r="AA567"/>
    </row>
    <row r="568" spans="1:27" x14ac:dyDescent="0.3">
      <c r="A568" s="3">
        <v>1100</v>
      </c>
      <c r="B568" s="4" t="s">
        <v>21</v>
      </c>
      <c r="C568" s="4" t="str">
        <f>IF(D568="","Unknown",IF(D568&lt;20,"Teen",IF(D568&lt;40,"Adult","Senior")))</f>
        <v>Adult</v>
      </c>
      <c r="D568" s="3">
        <v>30</v>
      </c>
      <c r="E568" s="3" t="s">
        <v>250</v>
      </c>
      <c r="F568" s="4" t="s">
        <v>40</v>
      </c>
      <c r="G568" s="4" t="s">
        <v>41</v>
      </c>
      <c r="H568" t="s">
        <v>36</v>
      </c>
      <c r="I568" s="3">
        <v>2</v>
      </c>
      <c r="J568" s="5">
        <v>1000</v>
      </c>
      <c r="K568" s="7">
        <v>2000</v>
      </c>
      <c r="L568" s="6">
        <v>45349</v>
      </c>
      <c r="M568" s="8" t="str">
        <f>IF(K568&gt;10000,"High",IF(K568&gt;5000,"Medium","Low"))</f>
        <v>Low</v>
      </c>
      <c r="N568" s="4" t="s">
        <v>244</v>
      </c>
      <c r="O568" s="3">
        <v>2</v>
      </c>
      <c r="P568" s="3">
        <v>2024</v>
      </c>
      <c r="T568" s="4"/>
      <c r="X568"/>
      <c r="Y568" s="3"/>
      <c r="AA568"/>
    </row>
    <row r="569" spans="1:27" x14ac:dyDescent="0.3">
      <c r="A569" s="3">
        <v>1101</v>
      </c>
      <c r="B569" s="4" t="s">
        <v>38</v>
      </c>
      <c r="C569" s="4" t="str">
        <f>IF(D569="","Unknown",IF(D569&lt;20,"Teen",IF(D569&lt;40,"Adult","Senior")))</f>
        <v>Adult</v>
      </c>
      <c r="D569" s="3">
        <v>30</v>
      </c>
      <c r="E569" s="3" t="s">
        <v>250</v>
      </c>
      <c r="F569" s="4" t="s">
        <v>40</v>
      </c>
      <c r="G569" s="4" t="s">
        <v>44</v>
      </c>
      <c r="H569" t="s">
        <v>36</v>
      </c>
      <c r="I569" s="3">
        <v>3</v>
      </c>
      <c r="J569" s="5">
        <v>16654</v>
      </c>
      <c r="K569" s="7">
        <v>49962</v>
      </c>
      <c r="L569" s="6">
        <v>45326</v>
      </c>
      <c r="M569" s="8" t="str">
        <f>IF(K569&gt;10000,"High",IF(K569&gt;5000,"Medium","Low"))</f>
        <v>High</v>
      </c>
      <c r="N569" s="4" t="s">
        <v>244</v>
      </c>
      <c r="O569" s="3">
        <v>2</v>
      </c>
      <c r="P569" s="3">
        <v>2024</v>
      </c>
      <c r="T569" s="4"/>
      <c r="X569"/>
      <c r="Y569" s="3"/>
      <c r="AA569"/>
    </row>
    <row r="570" spans="1:27" x14ac:dyDescent="0.3">
      <c r="A570" s="3">
        <v>1102</v>
      </c>
      <c r="B570" s="4" t="s">
        <v>21</v>
      </c>
      <c r="C570" s="4" t="str">
        <f>IF(D570="","Unknown",IF(D570&lt;20,"Teen",IF(D570&lt;40,"Adult","Senior")))</f>
        <v>Senior</v>
      </c>
      <c r="D570" s="3">
        <v>45</v>
      </c>
      <c r="E570" s="3" t="s">
        <v>249</v>
      </c>
      <c r="F570" s="4" t="s">
        <v>17</v>
      </c>
      <c r="G570" s="4" t="s">
        <v>55</v>
      </c>
      <c r="H570" t="s">
        <v>36</v>
      </c>
      <c r="I570" s="3">
        <v>2</v>
      </c>
      <c r="J570" s="5">
        <v>17222</v>
      </c>
      <c r="K570" s="7">
        <v>34444</v>
      </c>
      <c r="L570" s="6">
        <v>45337</v>
      </c>
      <c r="M570" s="8" t="str">
        <f>IF(K570&gt;10000,"High",IF(K570&gt;5000,"Medium","Low"))</f>
        <v>High</v>
      </c>
      <c r="N570" s="4" t="s">
        <v>244</v>
      </c>
      <c r="O570" s="3">
        <v>2</v>
      </c>
      <c r="P570" s="3">
        <v>2024</v>
      </c>
      <c r="T570" s="4"/>
      <c r="X570"/>
      <c r="Y570" s="3"/>
      <c r="AA570"/>
    </row>
    <row r="571" spans="1:27" x14ac:dyDescent="0.3">
      <c r="A571" s="3">
        <v>1104</v>
      </c>
      <c r="B571" s="4" t="s">
        <v>54</v>
      </c>
      <c r="C571" s="4" t="str">
        <f>IF(D571="","Unknown",IF(D571&lt;20,"Teen",IF(D571&lt;40,"Adult","Senior")))</f>
        <v>Adult</v>
      </c>
      <c r="D571" s="3">
        <v>31</v>
      </c>
      <c r="E571" s="3" t="s">
        <v>249</v>
      </c>
      <c r="F571" s="4" t="s">
        <v>40</v>
      </c>
      <c r="G571" s="4" t="s">
        <v>55</v>
      </c>
      <c r="H571" t="s">
        <v>36</v>
      </c>
      <c r="I571" s="3">
        <v>2</v>
      </c>
      <c r="J571" s="5">
        <v>1000</v>
      </c>
      <c r="K571" s="7">
        <v>2000</v>
      </c>
      <c r="L571" s="6">
        <v>45335</v>
      </c>
      <c r="M571" s="8" t="str">
        <f>IF(K571&gt;10000,"High",IF(K571&gt;5000,"Medium","Low"))</f>
        <v>Low</v>
      </c>
      <c r="N571" s="4" t="s">
        <v>244</v>
      </c>
      <c r="O571" s="3">
        <v>2</v>
      </c>
      <c r="P571" s="3">
        <v>2024</v>
      </c>
      <c r="T571" s="4"/>
      <c r="X571"/>
      <c r="Y571" s="3"/>
      <c r="AA571"/>
    </row>
    <row r="572" spans="1:27" x14ac:dyDescent="0.3">
      <c r="A572" s="3">
        <v>1106</v>
      </c>
      <c r="B572" s="4" t="s">
        <v>25</v>
      </c>
      <c r="C572" s="4" t="str">
        <f>IF(D572="","Unknown",IF(D572&lt;20,"Teen",IF(D572&lt;40,"Adult","Senior")))</f>
        <v>Adult</v>
      </c>
      <c r="D572" s="3">
        <v>35</v>
      </c>
      <c r="E572" s="3" t="s">
        <v>249</v>
      </c>
      <c r="F572" s="4" t="s">
        <v>40</v>
      </c>
      <c r="G572" s="4" t="s">
        <v>41</v>
      </c>
      <c r="H572" t="s">
        <v>36</v>
      </c>
      <c r="I572" s="3">
        <v>4</v>
      </c>
      <c r="J572" s="5">
        <v>1000</v>
      </c>
      <c r="K572" s="7">
        <v>4000</v>
      </c>
      <c r="L572" s="6">
        <v>45337</v>
      </c>
      <c r="M572" s="8" t="str">
        <f>IF(K572&gt;10000,"High",IF(K572&gt;5000,"Medium","Low"))</f>
        <v>Low</v>
      </c>
      <c r="N572" s="4" t="s">
        <v>241</v>
      </c>
      <c r="O572" s="3">
        <v>2</v>
      </c>
      <c r="P572" s="3">
        <v>2024</v>
      </c>
      <c r="T572" s="4"/>
      <c r="X572"/>
      <c r="Y572" s="3"/>
      <c r="AA572"/>
    </row>
    <row r="573" spans="1:27" x14ac:dyDescent="0.3">
      <c r="A573" s="3">
        <v>1108</v>
      </c>
      <c r="B573" s="4" t="s">
        <v>54</v>
      </c>
      <c r="C573" s="4" t="str">
        <f>IF(D573="","Unknown",IF(D573&lt;20,"Teen",IF(D573&lt;40,"Adult","Senior")))</f>
        <v>Adult</v>
      </c>
      <c r="D573" s="3">
        <v>27</v>
      </c>
      <c r="E573" s="3" t="s">
        <v>250</v>
      </c>
      <c r="F573" s="4" t="s">
        <v>40</v>
      </c>
      <c r="G573" s="4" t="s">
        <v>27</v>
      </c>
      <c r="H573" t="s">
        <v>13</v>
      </c>
      <c r="I573" s="3">
        <v>5</v>
      </c>
      <c r="J573" s="5">
        <v>1000</v>
      </c>
      <c r="K573" s="7">
        <v>5000</v>
      </c>
      <c r="L573" s="6">
        <v>45339</v>
      </c>
      <c r="M573" s="8" t="str">
        <f>IF(K573&gt;10000,"High",IF(K573&gt;5000,"Medium","Low"))</f>
        <v>Low</v>
      </c>
      <c r="N573" s="4" t="s">
        <v>244</v>
      </c>
      <c r="O573" s="3">
        <v>2</v>
      </c>
      <c r="P573" s="3">
        <v>2024</v>
      </c>
      <c r="T573" s="4"/>
      <c r="X573"/>
      <c r="Y573" s="3"/>
      <c r="AA573"/>
    </row>
    <row r="574" spans="1:27" x14ac:dyDescent="0.3">
      <c r="A574" s="3">
        <v>1109</v>
      </c>
      <c r="B574" s="4" t="s">
        <v>73</v>
      </c>
      <c r="C574" s="4" t="str">
        <f>IF(D574="","Unknown",IF(D574&lt;20,"Teen",IF(D574&lt;40,"Adult","Senior")))</f>
        <v>Senior</v>
      </c>
      <c r="D574" s="3">
        <v>46</v>
      </c>
      <c r="E574" s="3" t="s">
        <v>249</v>
      </c>
      <c r="F574" s="4" t="s">
        <v>17</v>
      </c>
      <c r="G574" s="4" t="s">
        <v>55</v>
      </c>
      <c r="H574" t="s">
        <v>36</v>
      </c>
      <c r="I574" s="3">
        <v>2</v>
      </c>
      <c r="J574" s="5">
        <v>1000</v>
      </c>
      <c r="K574" s="7">
        <v>2000</v>
      </c>
      <c r="L574" s="6">
        <v>45339</v>
      </c>
      <c r="M574" s="8" t="str">
        <f>IF(K574&gt;10000,"High",IF(K574&gt;5000,"Medium","Low"))</f>
        <v>Low</v>
      </c>
      <c r="N574" s="4" t="s">
        <v>241</v>
      </c>
      <c r="O574" s="3">
        <v>2</v>
      </c>
      <c r="P574" s="3">
        <v>2024</v>
      </c>
      <c r="T574" s="4"/>
      <c r="X574"/>
      <c r="Y574" s="3"/>
      <c r="AA574"/>
    </row>
    <row r="575" spans="1:27" x14ac:dyDescent="0.3">
      <c r="A575" s="3">
        <v>1112</v>
      </c>
      <c r="B575" s="4" t="s">
        <v>59</v>
      </c>
      <c r="C575" s="4" t="str">
        <f>IF(D575="","Unknown",IF(D575&lt;20,"Teen",IF(D575&lt;40,"Adult","Senior")))</f>
        <v>Adult</v>
      </c>
      <c r="D575" s="3">
        <v>29</v>
      </c>
      <c r="E575" s="3" t="s">
        <v>250</v>
      </c>
      <c r="F575" s="4" t="s">
        <v>17</v>
      </c>
      <c r="G575" s="4" t="s">
        <v>44</v>
      </c>
      <c r="H575" t="s">
        <v>36</v>
      </c>
      <c r="I575" s="3">
        <v>2</v>
      </c>
      <c r="J575" s="5">
        <v>1000</v>
      </c>
      <c r="K575" s="7">
        <v>2000</v>
      </c>
      <c r="L575" s="6">
        <v>45326</v>
      </c>
      <c r="M575" s="8" t="str">
        <f>IF(K575&gt;10000,"High",IF(K575&gt;5000,"Medium","Low"))</f>
        <v>Low</v>
      </c>
      <c r="N575" s="4" t="s">
        <v>243</v>
      </c>
      <c r="O575" s="3">
        <v>2</v>
      </c>
      <c r="P575" s="3">
        <v>2024</v>
      </c>
      <c r="T575" s="4"/>
      <c r="X575"/>
      <c r="Y575" s="3"/>
      <c r="AA575"/>
    </row>
    <row r="576" spans="1:27" x14ac:dyDescent="0.3">
      <c r="A576" s="3">
        <v>1115</v>
      </c>
      <c r="B576" s="4" t="s">
        <v>54</v>
      </c>
      <c r="C576" s="4" t="str">
        <f>IF(D576="","Unknown",IF(D576&lt;20,"Teen",IF(D576&lt;40,"Adult","Senior")))</f>
        <v>Adult</v>
      </c>
      <c r="D576" s="3">
        <v>21</v>
      </c>
      <c r="E576" s="3" t="s">
        <v>250</v>
      </c>
      <c r="F576" s="4" t="s">
        <v>17</v>
      </c>
      <c r="G576" s="4" t="s">
        <v>18</v>
      </c>
      <c r="H576" t="s">
        <v>30</v>
      </c>
      <c r="I576" s="3">
        <v>1</v>
      </c>
      <c r="J576" s="5">
        <v>12924</v>
      </c>
      <c r="K576" s="7">
        <v>12924</v>
      </c>
      <c r="L576" s="6">
        <v>45329</v>
      </c>
      <c r="M576" s="8" t="str">
        <f>IF(K576&gt;10000,"High",IF(K576&gt;5000,"Medium","Low"))</f>
        <v>High</v>
      </c>
      <c r="N576" s="4" t="s">
        <v>244</v>
      </c>
      <c r="O576" s="3">
        <v>2</v>
      </c>
      <c r="P576" s="3">
        <v>2024</v>
      </c>
      <c r="T576" s="4"/>
      <c r="X576"/>
      <c r="Y576" s="3"/>
      <c r="AA576"/>
    </row>
    <row r="577" spans="1:27" x14ac:dyDescent="0.3">
      <c r="A577" s="3">
        <v>1118</v>
      </c>
      <c r="B577" s="4" t="s">
        <v>35</v>
      </c>
      <c r="C577" s="4" t="str">
        <f>IF(D577="","Unknown",IF(D577&lt;20,"Teen",IF(D577&lt;40,"Adult","Senior")))</f>
        <v>Senior</v>
      </c>
      <c r="D577" s="3">
        <v>47</v>
      </c>
      <c r="E577" s="3" t="s">
        <v>249</v>
      </c>
      <c r="F577" s="4" t="s">
        <v>17</v>
      </c>
      <c r="G577" s="4" t="s">
        <v>55</v>
      </c>
      <c r="H577" t="s">
        <v>36</v>
      </c>
      <c r="I577" s="3">
        <v>3</v>
      </c>
      <c r="J577" s="5">
        <v>1000</v>
      </c>
      <c r="K577" s="7">
        <v>3000</v>
      </c>
      <c r="L577" s="6">
        <v>45333</v>
      </c>
      <c r="M577" s="8" t="str">
        <f>IF(K577&gt;10000,"High",IF(K577&gt;5000,"Medium","Low"))</f>
        <v>Low</v>
      </c>
      <c r="N577" s="4" t="s">
        <v>241</v>
      </c>
      <c r="O577" s="3">
        <v>2</v>
      </c>
      <c r="P577" s="3">
        <v>2024</v>
      </c>
      <c r="T577" s="4"/>
      <c r="X577"/>
      <c r="Y577" s="3"/>
      <c r="AA577"/>
    </row>
    <row r="578" spans="1:27" x14ac:dyDescent="0.3">
      <c r="A578" s="3">
        <v>1120</v>
      </c>
      <c r="B578" s="4" t="s">
        <v>68</v>
      </c>
      <c r="C578" s="4" t="str">
        <f>IF(D578="","Unknown",IF(D578&lt;20,"Teen",IF(D578&lt;40,"Adult","Senior")))</f>
        <v>Adult</v>
      </c>
      <c r="D578" s="3">
        <v>35</v>
      </c>
      <c r="E578" s="3" t="s">
        <v>249</v>
      </c>
      <c r="F578" s="4" t="s">
        <v>17</v>
      </c>
      <c r="G578" s="4" t="s">
        <v>51</v>
      </c>
      <c r="H578" t="s">
        <v>13</v>
      </c>
      <c r="I578" s="3">
        <v>2</v>
      </c>
      <c r="J578" s="5">
        <v>1000</v>
      </c>
      <c r="K578" s="7">
        <v>2000</v>
      </c>
      <c r="L578" s="6">
        <v>45350</v>
      </c>
      <c r="M578" s="8" t="str">
        <f>IF(K578&gt;10000,"High",IF(K578&gt;5000,"Medium","Low"))</f>
        <v>Low</v>
      </c>
      <c r="N578" s="4" t="s">
        <v>244</v>
      </c>
      <c r="O578" s="3">
        <v>2</v>
      </c>
      <c r="P578" s="3">
        <v>2024</v>
      </c>
      <c r="T578" s="4"/>
      <c r="X578"/>
      <c r="Y578" s="3"/>
      <c r="AA578"/>
    </row>
    <row r="579" spans="1:27" x14ac:dyDescent="0.3">
      <c r="A579" s="3">
        <v>1124</v>
      </c>
      <c r="B579" s="4" t="s">
        <v>38</v>
      </c>
      <c r="C579" s="4" t="str">
        <f>IF(D579="","Unknown",IF(D579&lt;20,"Teen",IF(D579&lt;40,"Adult","Senior")))</f>
        <v>Senior</v>
      </c>
      <c r="D579" s="3">
        <v>41</v>
      </c>
      <c r="E579" s="3" t="s">
        <v>249</v>
      </c>
      <c r="F579" s="4" t="s">
        <v>40</v>
      </c>
      <c r="G579" s="4" t="s">
        <v>12</v>
      </c>
      <c r="H579" t="s">
        <v>13</v>
      </c>
      <c r="I579" s="3">
        <v>2</v>
      </c>
      <c r="J579" s="5">
        <v>8359</v>
      </c>
      <c r="K579" s="7">
        <v>16718</v>
      </c>
      <c r="L579" s="6">
        <v>45348</v>
      </c>
      <c r="M579" s="8" t="str">
        <f>IF(K579&gt;10000,"High",IF(K579&gt;5000,"Medium","Low"))</f>
        <v>High</v>
      </c>
      <c r="N579" s="4" t="s">
        <v>241</v>
      </c>
      <c r="O579" s="3">
        <v>2</v>
      </c>
      <c r="P579" s="3">
        <v>2024</v>
      </c>
      <c r="T579" s="4"/>
      <c r="X579"/>
      <c r="Y579" s="3"/>
      <c r="AA579"/>
    </row>
    <row r="580" spans="1:27" x14ac:dyDescent="0.3">
      <c r="A580" s="3">
        <v>1126</v>
      </c>
      <c r="B580" s="4" t="s">
        <v>35</v>
      </c>
      <c r="C580" s="4" t="str">
        <f>IF(D580="","Unknown",IF(D580&lt;20,"Teen",IF(D580&lt;40,"Adult","Senior")))</f>
        <v>Adult</v>
      </c>
      <c r="D580" s="3">
        <v>25</v>
      </c>
      <c r="E580" s="3" t="s">
        <v>250</v>
      </c>
      <c r="F580" s="4" t="s">
        <v>17</v>
      </c>
      <c r="G580" s="4" t="s">
        <v>55</v>
      </c>
      <c r="H580" t="s">
        <v>36</v>
      </c>
      <c r="I580" s="3">
        <v>2</v>
      </c>
      <c r="J580" s="5">
        <v>45782</v>
      </c>
      <c r="K580" s="7">
        <v>91564</v>
      </c>
      <c r="L580" s="6">
        <v>45339</v>
      </c>
      <c r="M580" s="8" t="str">
        <f>IF(K580&gt;10000,"High",IF(K580&gt;5000,"Medium","Low"))</f>
        <v>High</v>
      </c>
      <c r="N580" s="4" t="s">
        <v>244</v>
      </c>
      <c r="O580" s="3">
        <v>2</v>
      </c>
      <c r="P580" s="3">
        <v>2024</v>
      </c>
      <c r="T580" s="4"/>
      <c r="X580"/>
      <c r="Y580" s="3"/>
      <c r="AA580"/>
    </row>
    <row r="581" spans="1:27" x14ac:dyDescent="0.3">
      <c r="A581" s="3">
        <v>1127</v>
      </c>
      <c r="B581" s="4" t="s">
        <v>21</v>
      </c>
      <c r="C581" s="4" t="str">
        <f>IF(D581="","Unknown",IF(D581&lt;20,"Teen",IF(D581&lt;40,"Adult","Senior")))</f>
        <v>Adult</v>
      </c>
      <c r="D581" s="3">
        <v>28</v>
      </c>
      <c r="E581" s="3" t="s">
        <v>250</v>
      </c>
      <c r="F581" s="4" t="s">
        <v>40</v>
      </c>
      <c r="G581" s="4" t="s">
        <v>12</v>
      </c>
      <c r="H581" t="s">
        <v>13</v>
      </c>
      <c r="I581" s="3">
        <v>2</v>
      </c>
      <c r="J581" s="5">
        <v>1000</v>
      </c>
      <c r="K581" s="7">
        <v>2000</v>
      </c>
      <c r="L581" s="6">
        <v>45348</v>
      </c>
      <c r="M581" s="8" t="str">
        <f>IF(K581&gt;10000,"High",IF(K581&gt;5000,"Medium","Low"))</f>
        <v>Low</v>
      </c>
      <c r="N581" s="4" t="s">
        <v>243</v>
      </c>
      <c r="O581" s="3">
        <v>2</v>
      </c>
      <c r="P581" s="3">
        <v>2024</v>
      </c>
      <c r="T581" s="4"/>
      <c r="X581"/>
      <c r="Y581" s="3"/>
      <c r="AA581"/>
    </row>
    <row r="582" spans="1:27" x14ac:dyDescent="0.3">
      <c r="A582" s="3">
        <v>1128</v>
      </c>
      <c r="B582" s="4" t="s">
        <v>69</v>
      </c>
      <c r="C582" s="4" t="str">
        <f>IF(D582="","Unknown",IF(D582&lt;20,"Teen",IF(D582&lt;40,"Adult","Senior")))</f>
        <v>Adult</v>
      </c>
      <c r="D582" s="3">
        <v>30</v>
      </c>
      <c r="E582" s="3" t="s">
        <v>250</v>
      </c>
      <c r="F582" s="4" t="s">
        <v>17</v>
      </c>
      <c r="G582" s="4" t="s">
        <v>44</v>
      </c>
      <c r="H582" t="s">
        <v>36</v>
      </c>
      <c r="I582" s="3">
        <v>5</v>
      </c>
      <c r="J582" s="5">
        <v>1000</v>
      </c>
      <c r="K582" s="7">
        <v>5000</v>
      </c>
      <c r="L582" s="6">
        <v>45343</v>
      </c>
      <c r="M582" s="8" t="str">
        <f>IF(K582&gt;10000,"High",IF(K582&gt;5000,"Medium","Low"))</f>
        <v>Low</v>
      </c>
      <c r="N582" s="4" t="s">
        <v>243</v>
      </c>
      <c r="O582" s="3">
        <v>2</v>
      </c>
      <c r="P582" s="3">
        <v>2024</v>
      </c>
      <c r="T582" s="4"/>
      <c r="X582"/>
      <c r="Y582" s="3"/>
      <c r="AA582"/>
    </row>
    <row r="583" spans="1:27" x14ac:dyDescent="0.3">
      <c r="A583" s="3">
        <v>1129</v>
      </c>
      <c r="B583" s="4" t="s">
        <v>48</v>
      </c>
      <c r="C583" s="4" t="str">
        <f>IF(D583="","Unknown",IF(D583&lt;20,"Teen",IF(D583&lt;40,"Adult","Senior")))</f>
        <v>Adult</v>
      </c>
      <c r="D583" s="3">
        <v>39</v>
      </c>
      <c r="E583" s="3" t="s">
        <v>249</v>
      </c>
      <c r="F583" s="4" t="s">
        <v>17</v>
      </c>
      <c r="G583" s="4" t="s">
        <v>27</v>
      </c>
      <c r="H583" t="s">
        <v>13</v>
      </c>
      <c r="I583" s="3">
        <v>2</v>
      </c>
      <c r="J583" s="5">
        <v>1000</v>
      </c>
      <c r="K583" s="7">
        <v>2000</v>
      </c>
      <c r="L583" s="6">
        <v>45334</v>
      </c>
      <c r="M583" s="8" t="str">
        <f>IF(K583&gt;10000,"High",IF(K583&gt;5000,"Medium","Low"))</f>
        <v>Low</v>
      </c>
      <c r="N583" s="4" t="s">
        <v>240</v>
      </c>
      <c r="O583" s="3">
        <v>2</v>
      </c>
      <c r="P583" s="3">
        <v>2024</v>
      </c>
      <c r="T583" s="4"/>
      <c r="X583"/>
      <c r="Y583" s="3"/>
      <c r="AA583"/>
    </row>
    <row r="584" spans="1:27" x14ac:dyDescent="0.3">
      <c r="A584" s="3">
        <v>1132</v>
      </c>
      <c r="B584" s="4" t="s">
        <v>32</v>
      </c>
      <c r="C584" s="4" t="str">
        <f>IF(D584="","Unknown",IF(D584&lt;20,"Teen",IF(D584&lt;40,"Adult","Senior")))</f>
        <v>Adult</v>
      </c>
      <c r="D584" s="3">
        <v>27</v>
      </c>
      <c r="E584" s="3" t="s">
        <v>250</v>
      </c>
      <c r="F584" s="4" t="s">
        <v>40</v>
      </c>
      <c r="G584" s="4" t="s">
        <v>23</v>
      </c>
      <c r="H584" t="s">
        <v>30</v>
      </c>
      <c r="I584" s="3">
        <v>4</v>
      </c>
      <c r="J584" s="5">
        <v>15517</v>
      </c>
      <c r="K584" s="7">
        <v>62068</v>
      </c>
      <c r="L584" s="6">
        <v>45330</v>
      </c>
      <c r="M584" s="8" t="str">
        <f>IF(K584&gt;10000,"High",IF(K584&gt;5000,"Medium","Low"))</f>
        <v>High</v>
      </c>
      <c r="N584" s="4" t="s">
        <v>244</v>
      </c>
      <c r="O584" s="3">
        <v>2</v>
      </c>
      <c r="P584" s="3">
        <v>2024</v>
      </c>
      <c r="T584" s="4"/>
      <c r="X584"/>
      <c r="Y584" s="3"/>
      <c r="AA584"/>
    </row>
    <row r="585" spans="1:27" x14ac:dyDescent="0.3">
      <c r="A585" s="3">
        <v>1133</v>
      </c>
      <c r="B585" s="4" t="s">
        <v>68</v>
      </c>
      <c r="C585" s="4" t="str">
        <f>IF(D585="","Unknown",IF(D585&lt;20,"Teen",IF(D585&lt;40,"Adult","Senior")))</f>
        <v>Adult</v>
      </c>
      <c r="D585" s="3">
        <v>30</v>
      </c>
      <c r="E585" s="3" t="s">
        <v>250</v>
      </c>
      <c r="F585" s="4" t="s">
        <v>40</v>
      </c>
      <c r="G585" s="4" t="s">
        <v>12</v>
      </c>
      <c r="H585" t="s">
        <v>13</v>
      </c>
      <c r="I585" s="3">
        <v>2</v>
      </c>
      <c r="J585" s="5">
        <v>1000</v>
      </c>
      <c r="K585" s="7">
        <v>2000</v>
      </c>
      <c r="L585" s="6">
        <v>45332</v>
      </c>
      <c r="M585" s="8" t="str">
        <f>IF(K585&gt;10000,"High",IF(K585&gt;5000,"Medium","Low"))</f>
        <v>Low</v>
      </c>
      <c r="N585" s="4" t="s">
        <v>240</v>
      </c>
      <c r="O585" s="3">
        <v>2</v>
      </c>
      <c r="P585" s="3">
        <v>2024</v>
      </c>
      <c r="T585" s="4"/>
      <c r="X585"/>
      <c r="Y585" s="3"/>
      <c r="AA585"/>
    </row>
    <row r="586" spans="1:27" x14ac:dyDescent="0.3">
      <c r="A586" s="3">
        <v>1135</v>
      </c>
      <c r="B586" s="4" t="s">
        <v>16</v>
      </c>
      <c r="C586" s="4" t="str">
        <f>IF(D586="","Unknown",IF(D586&lt;20,"Teen",IF(D586&lt;40,"Adult","Senior")))</f>
        <v>Adult</v>
      </c>
      <c r="D586" s="3">
        <v>30</v>
      </c>
      <c r="E586" s="3" t="s">
        <v>250</v>
      </c>
      <c r="F586" s="4" t="s">
        <v>17</v>
      </c>
      <c r="G586" s="4" t="s">
        <v>55</v>
      </c>
      <c r="H586" t="s">
        <v>36</v>
      </c>
      <c r="I586" s="3">
        <v>2</v>
      </c>
      <c r="J586" s="5">
        <v>1000</v>
      </c>
      <c r="K586" s="7">
        <v>2000</v>
      </c>
      <c r="L586" s="6">
        <v>45344</v>
      </c>
      <c r="M586" s="8" t="str">
        <f>IF(K586&gt;10000,"High",IF(K586&gt;5000,"Medium","Low"))</f>
        <v>Low</v>
      </c>
      <c r="N586" s="4" t="s">
        <v>242</v>
      </c>
      <c r="O586" s="3">
        <v>2</v>
      </c>
      <c r="P586" s="3">
        <v>2024</v>
      </c>
      <c r="T586" s="4"/>
      <c r="X586"/>
      <c r="Y586" s="3"/>
      <c r="AA586"/>
    </row>
    <row r="587" spans="1:27" x14ac:dyDescent="0.3">
      <c r="A587" s="3">
        <v>1136</v>
      </c>
      <c r="B587" s="4" t="s">
        <v>68</v>
      </c>
      <c r="C587" s="4" t="str">
        <f>IF(D587="","Unknown",IF(D587&lt;20,"Teen",IF(D587&lt;40,"Adult","Senior")))</f>
        <v>Adult</v>
      </c>
      <c r="D587" s="3">
        <v>30</v>
      </c>
      <c r="E587" s="3" t="s">
        <v>250</v>
      </c>
      <c r="F587" s="4" t="s">
        <v>40</v>
      </c>
      <c r="G587" s="4" t="s">
        <v>27</v>
      </c>
      <c r="H587" t="s">
        <v>13</v>
      </c>
      <c r="I587" s="3">
        <v>3</v>
      </c>
      <c r="J587" s="5">
        <v>1000</v>
      </c>
      <c r="K587" s="7">
        <v>3000</v>
      </c>
      <c r="L587" s="6">
        <v>45324</v>
      </c>
      <c r="M587" s="8" t="str">
        <f>IF(K587&gt;10000,"High",IF(K587&gt;5000,"Medium","Low"))</f>
        <v>Low</v>
      </c>
      <c r="N587" s="4" t="s">
        <v>240</v>
      </c>
      <c r="O587" s="3">
        <v>2</v>
      </c>
      <c r="P587" s="3">
        <v>2024</v>
      </c>
      <c r="T587" s="4"/>
      <c r="X587"/>
      <c r="Y587" s="3"/>
      <c r="AA587"/>
    </row>
    <row r="588" spans="1:27" x14ac:dyDescent="0.3">
      <c r="A588" s="3">
        <v>1137</v>
      </c>
      <c r="B588" s="4" t="s">
        <v>48</v>
      </c>
      <c r="C588" s="4" t="str">
        <f>IF(D588="","Unknown",IF(D588&lt;20,"Teen",IF(D588&lt;40,"Adult","Senior")))</f>
        <v>Senior</v>
      </c>
      <c r="D588" s="3">
        <v>42</v>
      </c>
      <c r="E588" s="3" t="s">
        <v>249</v>
      </c>
      <c r="F588" s="4" t="s">
        <v>17</v>
      </c>
      <c r="G588" s="4" t="s">
        <v>41</v>
      </c>
      <c r="H588" t="s">
        <v>36</v>
      </c>
      <c r="I588" s="3">
        <v>3</v>
      </c>
      <c r="J588" s="5">
        <v>1000</v>
      </c>
      <c r="K588" s="7">
        <v>3000</v>
      </c>
      <c r="L588" s="6">
        <v>45343</v>
      </c>
      <c r="M588" s="8" t="str">
        <f>IF(K588&gt;10000,"High",IF(K588&gt;5000,"Medium","Low"))</f>
        <v>Low</v>
      </c>
      <c r="N588" s="4" t="s">
        <v>240</v>
      </c>
      <c r="O588" s="3">
        <v>2</v>
      </c>
      <c r="P588" s="3">
        <v>2024</v>
      </c>
      <c r="T588" s="4"/>
      <c r="X588"/>
      <c r="Y588" s="3"/>
      <c r="AA588"/>
    </row>
    <row r="589" spans="1:27" x14ac:dyDescent="0.3">
      <c r="A589" s="3">
        <v>1139</v>
      </c>
      <c r="B589" s="4" t="s">
        <v>59</v>
      </c>
      <c r="C589" s="4" t="str">
        <f>IF(D589="","Unknown",IF(D589&lt;20,"Teen",IF(D589&lt;40,"Adult","Senior")))</f>
        <v>Adult</v>
      </c>
      <c r="D589" s="3">
        <v>22</v>
      </c>
      <c r="E589" s="3" t="s">
        <v>250</v>
      </c>
      <c r="F589" s="4" t="s">
        <v>40</v>
      </c>
      <c r="G589" s="4" t="s">
        <v>18</v>
      </c>
      <c r="H589" t="s">
        <v>30</v>
      </c>
      <c r="I589" s="3">
        <v>2</v>
      </c>
      <c r="J589" s="5">
        <v>4840</v>
      </c>
      <c r="K589" s="7">
        <v>9680</v>
      </c>
      <c r="L589" s="6">
        <v>45332</v>
      </c>
      <c r="M589" s="8" t="str">
        <f>IF(K589&gt;10000,"High",IF(K589&gt;5000,"Medium","Low"))</f>
        <v>Medium</v>
      </c>
      <c r="N589" s="4" t="s">
        <v>244</v>
      </c>
      <c r="O589" s="3">
        <v>2</v>
      </c>
      <c r="P589" s="3">
        <v>2024</v>
      </c>
      <c r="T589" s="4"/>
      <c r="X589"/>
      <c r="Y589" s="3"/>
      <c r="AA589"/>
    </row>
    <row r="590" spans="1:27" x14ac:dyDescent="0.3">
      <c r="A590" s="3">
        <v>1141</v>
      </c>
      <c r="B590" s="4" t="s">
        <v>64</v>
      </c>
      <c r="C590" s="4" t="str">
        <f>IF(D590="","Unknown",IF(D590&lt;20,"Teen",IF(D590&lt;40,"Adult","Senior")))</f>
        <v>Senior</v>
      </c>
      <c r="D590" s="3">
        <v>42</v>
      </c>
      <c r="E590" s="3" t="s">
        <v>249</v>
      </c>
      <c r="F590" s="4" t="s">
        <v>40</v>
      </c>
      <c r="G590" s="4" t="s">
        <v>51</v>
      </c>
      <c r="H590" t="s">
        <v>13</v>
      </c>
      <c r="I590" s="3">
        <v>2</v>
      </c>
      <c r="J590" s="5">
        <v>46872</v>
      </c>
      <c r="K590" s="7">
        <v>93744</v>
      </c>
      <c r="L590" s="6">
        <v>45341</v>
      </c>
      <c r="M590" s="8" t="str">
        <f>IF(K590&gt;10000,"High",IF(K590&gt;5000,"Medium","Low"))</f>
        <v>High</v>
      </c>
      <c r="N590" s="4" t="s">
        <v>240</v>
      </c>
      <c r="O590" s="3">
        <v>2</v>
      </c>
      <c r="P590" s="3">
        <v>2024</v>
      </c>
      <c r="T590" s="4"/>
      <c r="X590"/>
      <c r="Y590" s="3"/>
      <c r="AA590"/>
    </row>
    <row r="591" spans="1:27" x14ac:dyDescent="0.3">
      <c r="A591" s="3">
        <v>1144</v>
      </c>
      <c r="B591" s="4" t="s">
        <v>46</v>
      </c>
      <c r="C591" s="4" t="str">
        <f>IF(D591="","Unknown",IF(D591&lt;20,"Teen",IF(D591&lt;40,"Adult","Senior")))</f>
        <v>Adult</v>
      </c>
      <c r="D591" s="3">
        <v>24</v>
      </c>
      <c r="E591" s="3" t="s">
        <v>250</v>
      </c>
      <c r="F591" s="4" t="s">
        <v>17</v>
      </c>
      <c r="G591" s="4" t="s">
        <v>23</v>
      </c>
      <c r="H591" t="s">
        <v>30</v>
      </c>
      <c r="I591" s="3">
        <v>4</v>
      </c>
      <c r="J591" s="5">
        <v>11679</v>
      </c>
      <c r="K591" s="7">
        <v>46716</v>
      </c>
      <c r="L591" s="6">
        <v>45342</v>
      </c>
      <c r="M591" s="8" t="str">
        <f>IF(K591&gt;10000,"High",IF(K591&gt;5000,"Medium","Low"))</f>
        <v>High</v>
      </c>
      <c r="N591" s="4" t="s">
        <v>244</v>
      </c>
      <c r="O591" s="3">
        <v>2</v>
      </c>
      <c r="P591" s="3">
        <v>2024</v>
      </c>
      <c r="T591" s="4"/>
      <c r="X591"/>
      <c r="Y591" s="3"/>
      <c r="AA591"/>
    </row>
    <row r="592" spans="1:27" x14ac:dyDescent="0.3">
      <c r="A592" s="3">
        <v>1149</v>
      </c>
      <c r="B592" s="4" t="s">
        <v>73</v>
      </c>
      <c r="C592" s="4" t="str">
        <f>IF(D592="","Unknown",IF(D592&lt;20,"Teen",IF(D592&lt;40,"Adult","Senior")))</f>
        <v>Adult</v>
      </c>
      <c r="D592" s="3">
        <v>30</v>
      </c>
      <c r="E592" s="3" t="s">
        <v>250</v>
      </c>
      <c r="F592" s="4" t="s">
        <v>40</v>
      </c>
      <c r="G592" s="4" t="s">
        <v>41</v>
      </c>
      <c r="H592" t="s">
        <v>36</v>
      </c>
      <c r="I592" s="3">
        <v>4</v>
      </c>
      <c r="J592" s="5">
        <v>1000</v>
      </c>
      <c r="K592" s="7">
        <v>4000</v>
      </c>
      <c r="L592" s="6">
        <v>45333</v>
      </c>
      <c r="M592" s="8" t="str">
        <f>IF(K592&gt;10000,"High",IF(K592&gt;5000,"Medium","Low"))</f>
        <v>Low</v>
      </c>
      <c r="N592" s="4" t="s">
        <v>242</v>
      </c>
      <c r="O592" s="3">
        <v>2</v>
      </c>
      <c r="P592" s="3">
        <v>2024</v>
      </c>
      <c r="T592" s="4"/>
      <c r="X592"/>
      <c r="Y592" s="3"/>
      <c r="AA592"/>
    </row>
    <row r="593" spans="1:27" x14ac:dyDescent="0.3">
      <c r="A593" s="3">
        <v>1151</v>
      </c>
      <c r="B593" s="4" t="s">
        <v>68</v>
      </c>
      <c r="C593" s="4" t="str">
        <f>IF(D593="","Unknown",IF(D593&lt;20,"Teen",IF(D593&lt;40,"Adult","Senior")))</f>
        <v>Senior</v>
      </c>
      <c r="D593" s="3">
        <v>44</v>
      </c>
      <c r="E593" s="3" t="s">
        <v>249</v>
      </c>
      <c r="F593" s="4" t="s">
        <v>40</v>
      </c>
      <c r="G593" s="4" t="s">
        <v>55</v>
      </c>
      <c r="H593" t="s">
        <v>36</v>
      </c>
      <c r="I593" s="3">
        <v>2</v>
      </c>
      <c r="J593" s="5">
        <v>1000</v>
      </c>
      <c r="K593" s="7">
        <v>2000</v>
      </c>
      <c r="L593" s="6">
        <v>45333</v>
      </c>
      <c r="M593" s="8" t="str">
        <f>IF(K593&gt;10000,"High",IF(K593&gt;5000,"Medium","Low"))</f>
        <v>Low</v>
      </c>
      <c r="N593" s="4" t="s">
        <v>243</v>
      </c>
      <c r="O593" s="3">
        <v>2</v>
      </c>
      <c r="P593" s="3">
        <v>2024</v>
      </c>
      <c r="T593" s="4"/>
      <c r="X593"/>
      <c r="Y593" s="3"/>
      <c r="AA593"/>
    </row>
    <row r="594" spans="1:27" x14ac:dyDescent="0.3">
      <c r="A594" s="3">
        <v>1154</v>
      </c>
      <c r="B594" s="4" t="s">
        <v>35</v>
      </c>
      <c r="C594" s="4" t="str">
        <f>IF(D594="","Unknown",IF(D594&lt;20,"Teen",IF(D594&lt;40,"Adult","Senior")))</f>
        <v>Adult</v>
      </c>
      <c r="D594" s="3">
        <v>35</v>
      </c>
      <c r="E594" s="3" t="s">
        <v>249</v>
      </c>
      <c r="F594" s="4" t="s">
        <v>40</v>
      </c>
      <c r="G594" s="4" t="s">
        <v>41</v>
      </c>
      <c r="H594" t="s">
        <v>36</v>
      </c>
      <c r="I594" s="3">
        <v>1</v>
      </c>
      <c r="J594" s="5">
        <v>1000</v>
      </c>
      <c r="K594" s="7">
        <v>1000</v>
      </c>
      <c r="L594" s="6">
        <v>45331</v>
      </c>
      <c r="M594" s="8" t="str">
        <f>IF(K594&gt;10000,"High",IF(K594&gt;5000,"Medium","Low"))</f>
        <v>Low</v>
      </c>
      <c r="N594" s="4" t="s">
        <v>240</v>
      </c>
      <c r="O594" s="3">
        <v>2</v>
      </c>
      <c r="P594" s="3">
        <v>2024</v>
      </c>
      <c r="T594" s="4"/>
      <c r="X594"/>
      <c r="Y594" s="3"/>
      <c r="AA594"/>
    </row>
    <row r="595" spans="1:27" x14ac:dyDescent="0.3">
      <c r="A595" s="3">
        <v>1157</v>
      </c>
      <c r="B595" s="4" t="s">
        <v>57</v>
      </c>
      <c r="C595" s="4" t="str">
        <f>IF(D595="","Unknown",IF(D595&lt;20,"Teen",IF(D595&lt;40,"Adult","Senior")))</f>
        <v>Senior</v>
      </c>
      <c r="D595" s="3">
        <v>46</v>
      </c>
      <c r="E595" s="3" t="s">
        <v>249</v>
      </c>
      <c r="F595" s="4" t="s">
        <v>17</v>
      </c>
      <c r="G595" s="4" t="s">
        <v>44</v>
      </c>
      <c r="H595" t="s">
        <v>36</v>
      </c>
      <c r="I595" s="3">
        <v>5</v>
      </c>
      <c r="J595" s="5">
        <v>1000</v>
      </c>
      <c r="K595" s="7">
        <v>5000</v>
      </c>
      <c r="L595" s="6">
        <v>45327</v>
      </c>
      <c r="M595" s="8" t="str">
        <f>IF(K595&gt;10000,"High",IF(K595&gt;5000,"Medium","Low"))</f>
        <v>Low</v>
      </c>
      <c r="N595" s="4" t="s">
        <v>243</v>
      </c>
      <c r="O595" s="3">
        <v>2</v>
      </c>
      <c r="P595" s="3">
        <v>2024</v>
      </c>
      <c r="T595" s="4"/>
      <c r="X595"/>
      <c r="Y595" s="3"/>
      <c r="AA595"/>
    </row>
    <row r="596" spans="1:27" x14ac:dyDescent="0.3">
      <c r="A596" s="3">
        <v>1162</v>
      </c>
      <c r="B596" s="4" t="s">
        <v>48</v>
      </c>
      <c r="C596" s="4" t="str">
        <f>IF(D596="","Unknown",IF(D596&lt;20,"Teen",IF(D596&lt;40,"Adult","Senior")))</f>
        <v>Adult</v>
      </c>
      <c r="D596" s="3">
        <v>30</v>
      </c>
      <c r="E596" s="3" t="s">
        <v>250</v>
      </c>
      <c r="F596" s="4" t="s">
        <v>17</v>
      </c>
      <c r="G596" s="4" t="s">
        <v>55</v>
      </c>
      <c r="H596" t="s">
        <v>36</v>
      </c>
      <c r="I596" s="3">
        <v>2</v>
      </c>
      <c r="J596" s="5">
        <v>1000</v>
      </c>
      <c r="K596" s="7">
        <v>2000</v>
      </c>
      <c r="L596" s="6">
        <v>45343</v>
      </c>
      <c r="M596" s="8" t="str">
        <f>IF(K596&gt;10000,"High",IF(K596&gt;5000,"Medium","Low"))</f>
        <v>Low</v>
      </c>
      <c r="N596" s="4" t="s">
        <v>242</v>
      </c>
      <c r="O596" s="3">
        <v>2</v>
      </c>
      <c r="P596" s="3">
        <v>2024</v>
      </c>
      <c r="T596" s="4"/>
      <c r="X596"/>
      <c r="Y596" s="3"/>
      <c r="AA596"/>
    </row>
    <row r="597" spans="1:27" x14ac:dyDescent="0.3">
      <c r="A597" s="3">
        <v>1163</v>
      </c>
      <c r="B597" s="4" t="s">
        <v>73</v>
      </c>
      <c r="C597" s="4" t="str">
        <f>IF(D597="","Unknown",IF(D597&lt;20,"Teen",IF(D597&lt;40,"Adult","Senior")))</f>
        <v>Senior</v>
      </c>
      <c r="D597" s="3">
        <v>46</v>
      </c>
      <c r="E597" s="3" t="s">
        <v>249</v>
      </c>
      <c r="F597" s="4" t="s">
        <v>40</v>
      </c>
      <c r="G597" s="4" t="s">
        <v>23</v>
      </c>
      <c r="H597" t="s">
        <v>30</v>
      </c>
      <c r="I597" s="3">
        <v>2</v>
      </c>
      <c r="J597" s="5">
        <v>46647</v>
      </c>
      <c r="K597" s="7">
        <v>93294</v>
      </c>
      <c r="L597" s="6">
        <v>45323</v>
      </c>
      <c r="M597" s="8" t="str">
        <f>IF(K597&gt;10000,"High",IF(K597&gt;5000,"Medium","Low"))</f>
        <v>High</v>
      </c>
      <c r="N597" s="4" t="s">
        <v>244</v>
      </c>
      <c r="O597" s="3">
        <v>2</v>
      </c>
      <c r="P597" s="3">
        <v>2024</v>
      </c>
      <c r="T597" s="4"/>
      <c r="X597"/>
      <c r="Y597" s="3"/>
      <c r="AA597"/>
    </row>
    <row r="598" spans="1:27" x14ac:dyDescent="0.3">
      <c r="A598" s="3">
        <v>1165</v>
      </c>
      <c r="B598" s="4" t="s">
        <v>46</v>
      </c>
      <c r="C598" s="4" t="str">
        <f>IF(D598="","Unknown",IF(D598&lt;20,"Teen",IF(D598&lt;40,"Adult","Senior")))</f>
        <v>Adult</v>
      </c>
      <c r="D598" s="3">
        <v>30</v>
      </c>
      <c r="E598" s="3" t="s">
        <v>250</v>
      </c>
      <c r="F598" s="4" t="s">
        <v>17</v>
      </c>
      <c r="G598" s="4" t="s">
        <v>18</v>
      </c>
      <c r="H598" t="s">
        <v>30</v>
      </c>
      <c r="I598" s="3">
        <v>2</v>
      </c>
      <c r="J598" s="5">
        <v>1000</v>
      </c>
      <c r="K598" s="7">
        <v>2000</v>
      </c>
      <c r="L598" s="6">
        <v>45336</v>
      </c>
      <c r="M598" s="8" t="str">
        <f>IF(K598&gt;10000,"High",IF(K598&gt;5000,"Medium","Low"))</f>
        <v>Low</v>
      </c>
      <c r="N598" s="4" t="s">
        <v>243</v>
      </c>
      <c r="O598" s="3">
        <v>2</v>
      </c>
      <c r="P598" s="3">
        <v>2024</v>
      </c>
      <c r="T598" s="4"/>
      <c r="X598"/>
      <c r="Y598" s="3"/>
      <c r="AA598"/>
    </row>
    <row r="599" spans="1:27" x14ac:dyDescent="0.3">
      <c r="A599" s="3">
        <v>1167</v>
      </c>
      <c r="B599" s="4" t="s">
        <v>73</v>
      </c>
      <c r="C599" s="4" t="str">
        <f>IF(D599="","Unknown",IF(D599&lt;20,"Teen",IF(D599&lt;40,"Adult","Senior")))</f>
        <v>Adult</v>
      </c>
      <c r="D599" s="3">
        <v>30</v>
      </c>
      <c r="E599" s="3" t="s">
        <v>250</v>
      </c>
      <c r="F599" s="4" t="s">
        <v>17</v>
      </c>
      <c r="G599" s="4" t="s">
        <v>44</v>
      </c>
      <c r="H599" t="s">
        <v>36</v>
      </c>
      <c r="I599" s="3">
        <v>2</v>
      </c>
      <c r="J599" s="5">
        <v>1000</v>
      </c>
      <c r="K599" s="7">
        <v>2000</v>
      </c>
      <c r="L599" s="6">
        <v>45336</v>
      </c>
      <c r="M599" s="8" t="str">
        <f>IF(K599&gt;10000,"High",IF(K599&gt;5000,"Medium","Low"))</f>
        <v>Low</v>
      </c>
      <c r="N599" s="4" t="s">
        <v>241</v>
      </c>
      <c r="O599" s="3">
        <v>2</v>
      </c>
      <c r="P599" s="3">
        <v>2024</v>
      </c>
      <c r="T599" s="4"/>
      <c r="X599"/>
      <c r="Y599" s="3"/>
      <c r="AA599"/>
    </row>
    <row r="600" spans="1:27" x14ac:dyDescent="0.3">
      <c r="A600" s="3">
        <v>1169</v>
      </c>
      <c r="B600" s="4" t="s">
        <v>25</v>
      </c>
      <c r="C600" s="4" t="str">
        <f>IF(D600="","Unknown",IF(D600&lt;20,"Teen",IF(D600&lt;40,"Adult","Senior")))</f>
        <v>Adult</v>
      </c>
      <c r="D600" s="3">
        <v>34</v>
      </c>
      <c r="E600" s="3" t="s">
        <v>249</v>
      </c>
      <c r="F600" s="4" t="s">
        <v>40</v>
      </c>
      <c r="G600" s="4" t="s">
        <v>12</v>
      </c>
      <c r="H600" t="s">
        <v>13</v>
      </c>
      <c r="I600" s="3">
        <v>2</v>
      </c>
      <c r="J600" s="5">
        <v>1000</v>
      </c>
      <c r="K600" s="7">
        <v>2000</v>
      </c>
      <c r="L600" s="6">
        <v>45328</v>
      </c>
      <c r="M600" s="8" t="str">
        <f>IF(K600&gt;10000,"High",IF(K600&gt;5000,"Medium","Low"))</f>
        <v>Low</v>
      </c>
      <c r="N600" s="4" t="s">
        <v>242</v>
      </c>
      <c r="O600" s="3">
        <v>2</v>
      </c>
      <c r="P600" s="3">
        <v>2024</v>
      </c>
      <c r="T600" s="4"/>
      <c r="X600"/>
      <c r="Y600" s="3"/>
      <c r="AA600"/>
    </row>
    <row r="601" spans="1:27" x14ac:dyDescent="0.3">
      <c r="A601" s="3">
        <v>1171</v>
      </c>
      <c r="B601" s="4" t="s">
        <v>68</v>
      </c>
      <c r="C601" s="4" t="str">
        <f>IF(D601="","Unknown",IF(D601&lt;20,"Teen",IF(D601&lt;40,"Adult","Senior")))</f>
        <v>Adult</v>
      </c>
      <c r="D601" s="3">
        <v>35</v>
      </c>
      <c r="E601" s="3" t="s">
        <v>249</v>
      </c>
      <c r="F601" s="4" t="s">
        <v>40</v>
      </c>
      <c r="G601" s="4" t="s">
        <v>27</v>
      </c>
      <c r="H601" t="s">
        <v>13</v>
      </c>
      <c r="I601" s="3">
        <v>2</v>
      </c>
      <c r="J601" s="5">
        <v>1000</v>
      </c>
      <c r="K601" s="7">
        <v>2000</v>
      </c>
      <c r="L601" s="6">
        <v>45340</v>
      </c>
      <c r="M601" s="8" t="str">
        <f>IF(K601&gt;10000,"High",IF(K601&gt;5000,"Medium","Low"))</f>
        <v>Low</v>
      </c>
      <c r="N601" s="4" t="s">
        <v>242</v>
      </c>
      <c r="O601" s="3">
        <v>2</v>
      </c>
      <c r="P601" s="3">
        <v>2024</v>
      </c>
      <c r="T601" s="4"/>
      <c r="X601"/>
      <c r="Y601" s="3"/>
      <c r="AA601"/>
    </row>
    <row r="602" spans="1:27" x14ac:dyDescent="0.3">
      <c r="A602" s="3">
        <v>1172</v>
      </c>
      <c r="B602" s="4" t="s">
        <v>69</v>
      </c>
      <c r="C602" s="4" t="str">
        <f>IF(D602="","Unknown",IF(D602&lt;20,"Teen",IF(D602&lt;40,"Adult","Senior")))</f>
        <v>Adult</v>
      </c>
      <c r="D602" s="3">
        <v>30</v>
      </c>
      <c r="E602" s="3" t="s">
        <v>250</v>
      </c>
      <c r="F602" s="4" t="s">
        <v>40</v>
      </c>
      <c r="G602" s="4" t="s">
        <v>41</v>
      </c>
      <c r="H602" t="s">
        <v>36</v>
      </c>
      <c r="I602" s="3">
        <v>5</v>
      </c>
      <c r="J602" s="5">
        <v>45201</v>
      </c>
      <c r="K602" s="7">
        <v>226005</v>
      </c>
      <c r="L602" s="6">
        <v>45333</v>
      </c>
      <c r="M602" s="8" t="str">
        <f>IF(K602&gt;10000,"High",IF(K602&gt;5000,"Medium","Low"))</f>
        <v>High</v>
      </c>
      <c r="N602" s="4" t="s">
        <v>242</v>
      </c>
      <c r="O602" s="3">
        <v>2</v>
      </c>
      <c r="P602" s="3">
        <v>2024</v>
      </c>
      <c r="T602" s="4"/>
      <c r="X602"/>
      <c r="Y602" s="3"/>
      <c r="AA602"/>
    </row>
    <row r="603" spans="1:27" x14ac:dyDescent="0.3">
      <c r="A603" s="3">
        <v>1174</v>
      </c>
      <c r="B603" s="4" t="s">
        <v>68</v>
      </c>
      <c r="C603" s="4" t="str">
        <f>IF(D603="","Unknown",IF(D603&lt;20,"Teen",IF(D603&lt;40,"Adult","Senior")))</f>
        <v>Adult</v>
      </c>
      <c r="D603" s="3">
        <v>22</v>
      </c>
      <c r="E603" s="3" t="s">
        <v>250</v>
      </c>
      <c r="F603" s="4" t="s">
        <v>40</v>
      </c>
      <c r="G603" s="4" t="s">
        <v>27</v>
      </c>
      <c r="H603" t="s">
        <v>13</v>
      </c>
      <c r="I603" s="3">
        <v>2</v>
      </c>
      <c r="J603" s="5">
        <v>26026</v>
      </c>
      <c r="K603" s="7">
        <v>52052</v>
      </c>
      <c r="L603" s="6">
        <v>45339</v>
      </c>
      <c r="M603" s="8" t="str">
        <f>IF(K603&gt;10000,"High",IF(K603&gt;5000,"Medium","Low"))</f>
        <v>High</v>
      </c>
      <c r="N603" s="4" t="s">
        <v>240</v>
      </c>
      <c r="O603" s="3">
        <v>2</v>
      </c>
      <c r="P603" s="3">
        <v>2024</v>
      </c>
      <c r="T603" s="4"/>
      <c r="X603"/>
      <c r="Y603" s="3"/>
      <c r="AA603"/>
    </row>
    <row r="604" spans="1:27" x14ac:dyDescent="0.3">
      <c r="A604" s="3">
        <v>1176</v>
      </c>
      <c r="B604" s="4" t="s">
        <v>25</v>
      </c>
      <c r="C604" s="4" t="str">
        <f>IF(D604="","Unknown",IF(D604&lt;20,"Teen",IF(D604&lt;40,"Adult","Senior")))</f>
        <v>Adult</v>
      </c>
      <c r="D604" s="3">
        <v>30</v>
      </c>
      <c r="E604" s="3" t="s">
        <v>250</v>
      </c>
      <c r="F604" s="4" t="s">
        <v>40</v>
      </c>
      <c r="G604" s="4" t="s">
        <v>23</v>
      </c>
      <c r="H604" t="s">
        <v>30</v>
      </c>
      <c r="I604" s="3">
        <v>2</v>
      </c>
      <c r="J604" s="5">
        <v>40637</v>
      </c>
      <c r="K604" s="7">
        <v>81274</v>
      </c>
      <c r="L604" s="6">
        <v>45329</v>
      </c>
      <c r="M604" s="8" t="str">
        <f>IF(K604&gt;10000,"High",IF(K604&gt;5000,"Medium","Low"))</f>
        <v>High</v>
      </c>
      <c r="N604" s="4" t="s">
        <v>244</v>
      </c>
      <c r="O604" s="3">
        <v>2</v>
      </c>
      <c r="P604" s="3">
        <v>2024</v>
      </c>
      <c r="T604" s="4"/>
      <c r="X604"/>
      <c r="Y604" s="3"/>
      <c r="AA604"/>
    </row>
    <row r="605" spans="1:27" x14ac:dyDescent="0.3">
      <c r="A605" s="3">
        <v>1178</v>
      </c>
      <c r="B605" s="4" t="s">
        <v>64</v>
      </c>
      <c r="C605" s="4" t="str">
        <f>IF(D605="","Unknown",IF(D605&lt;20,"Teen",IF(D605&lt;40,"Adult","Senior")))</f>
        <v>Senior</v>
      </c>
      <c r="D605" s="3">
        <v>42</v>
      </c>
      <c r="E605" s="3" t="s">
        <v>249</v>
      </c>
      <c r="F605" s="4" t="s">
        <v>40</v>
      </c>
      <c r="G605" s="4" t="s">
        <v>44</v>
      </c>
      <c r="H605" t="s">
        <v>36</v>
      </c>
      <c r="I605" s="3">
        <v>5</v>
      </c>
      <c r="J605" s="5">
        <v>1000</v>
      </c>
      <c r="K605" s="7">
        <v>5000</v>
      </c>
      <c r="L605" s="6">
        <v>45345</v>
      </c>
      <c r="M605" s="8" t="str">
        <f>IF(K605&gt;10000,"High",IF(K605&gt;5000,"Medium","Low"))</f>
        <v>Low</v>
      </c>
      <c r="N605" s="4" t="s">
        <v>241</v>
      </c>
      <c r="O605" s="3">
        <v>2</v>
      </c>
      <c r="P605" s="3">
        <v>2024</v>
      </c>
      <c r="T605" s="4"/>
      <c r="X605"/>
      <c r="Y605" s="3"/>
      <c r="AA605"/>
    </row>
    <row r="606" spans="1:27" x14ac:dyDescent="0.3">
      <c r="A606" s="3">
        <v>1180</v>
      </c>
      <c r="B606" s="4" t="s">
        <v>54</v>
      </c>
      <c r="C606" s="4" t="str">
        <f>IF(D606="","Unknown",IF(D606&lt;20,"Teen",IF(D606&lt;40,"Adult","Senior")))</f>
        <v>Senior</v>
      </c>
      <c r="D606" s="3">
        <v>45</v>
      </c>
      <c r="E606" s="3" t="s">
        <v>249</v>
      </c>
      <c r="F606" s="4" t="s">
        <v>17</v>
      </c>
      <c r="G606" s="4" t="s">
        <v>23</v>
      </c>
      <c r="H606" t="s">
        <v>30</v>
      </c>
      <c r="I606" s="3">
        <v>5</v>
      </c>
      <c r="J606" s="5">
        <v>1000</v>
      </c>
      <c r="K606" s="7">
        <v>5000</v>
      </c>
      <c r="L606" s="6">
        <v>45337</v>
      </c>
      <c r="M606" s="8" t="str">
        <f>IF(K606&gt;10000,"High",IF(K606&gt;5000,"Medium","Low"))</f>
        <v>Low</v>
      </c>
      <c r="N606" s="4" t="s">
        <v>242</v>
      </c>
      <c r="O606" s="3">
        <v>2</v>
      </c>
      <c r="P606" s="3">
        <v>2024</v>
      </c>
      <c r="T606" s="4"/>
      <c r="X606"/>
      <c r="Y606" s="3"/>
      <c r="AA606"/>
    </row>
    <row r="607" spans="1:27" x14ac:dyDescent="0.3">
      <c r="A607" s="3">
        <v>1181</v>
      </c>
      <c r="B607" s="4" t="s">
        <v>69</v>
      </c>
      <c r="C607" s="4" t="str">
        <f>IF(D607="","Unknown",IF(D607&lt;20,"Teen",IF(D607&lt;40,"Adult","Senior")))</f>
        <v>Adult</v>
      </c>
      <c r="D607" s="3">
        <v>32</v>
      </c>
      <c r="E607" s="3" t="s">
        <v>249</v>
      </c>
      <c r="F607" s="4" t="s">
        <v>40</v>
      </c>
      <c r="G607" s="4" t="s">
        <v>55</v>
      </c>
      <c r="H607" t="s">
        <v>36</v>
      </c>
      <c r="I607" s="3">
        <v>5</v>
      </c>
      <c r="J607" s="5">
        <v>22484</v>
      </c>
      <c r="K607" s="7">
        <v>112420</v>
      </c>
      <c r="L607" s="6">
        <v>45350</v>
      </c>
      <c r="M607" s="8" t="str">
        <f>IF(K607&gt;10000,"High",IF(K607&gt;5000,"Medium","Low"))</f>
        <v>High</v>
      </c>
      <c r="N607" s="4" t="s">
        <v>240</v>
      </c>
      <c r="O607" s="3">
        <v>2</v>
      </c>
      <c r="P607" s="3">
        <v>2024</v>
      </c>
      <c r="T607" s="4"/>
      <c r="X607"/>
      <c r="Y607" s="3"/>
      <c r="AA607"/>
    </row>
    <row r="608" spans="1:27" x14ac:dyDescent="0.3">
      <c r="A608" s="3">
        <v>1182</v>
      </c>
      <c r="B608" s="4" t="s">
        <v>68</v>
      </c>
      <c r="C608" s="4" t="str">
        <f>IF(D608="","Unknown",IF(D608&lt;20,"Teen",IF(D608&lt;40,"Adult","Senior")))</f>
        <v>Adult</v>
      </c>
      <c r="D608" s="3">
        <v>32</v>
      </c>
      <c r="E608" s="3" t="s">
        <v>249</v>
      </c>
      <c r="F608" s="4" t="s">
        <v>40</v>
      </c>
      <c r="G608" s="4" t="s">
        <v>51</v>
      </c>
      <c r="H608" t="s">
        <v>13</v>
      </c>
      <c r="I608" s="3">
        <v>2</v>
      </c>
      <c r="J608" s="5">
        <v>48960</v>
      </c>
      <c r="K608" s="7">
        <v>97920</v>
      </c>
      <c r="L608" s="6">
        <v>45328</v>
      </c>
      <c r="M608" s="8" t="str">
        <f>IF(K608&gt;10000,"High",IF(K608&gt;5000,"Medium","Low"))</f>
        <v>High</v>
      </c>
      <c r="N608" s="4" t="s">
        <v>241</v>
      </c>
      <c r="O608" s="3">
        <v>2</v>
      </c>
      <c r="P608" s="3">
        <v>2024</v>
      </c>
      <c r="T608" s="4"/>
      <c r="X608"/>
      <c r="Y608" s="3"/>
      <c r="AA608"/>
    </row>
    <row r="609" spans="1:27" x14ac:dyDescent="0.3">
      <c r="A609" s="3">
        <v>1183</v>
      </c>
      <c r="B609" s="4" t="s">
        <v>32</v>
      </c>
      <c r="C609" s="4" t="str">
        <f>IF(D609="","Unknown",IF(D609&lt;20,"Teen",IF(D609&lt;40,"Adult","Senior")))</f>
        <v>Adult</v>
      </c>
      <c r="D609" s="3">
        <v>30</v>
      </c>
      <c r="E609" s="3" t="s">
        <v>250</v>
      </c>
      <c r="F609" s="4" t="s">
        <v>40</v>
      </c>
      <c r="G609" s="4" t="s">
        <v>55</v>
      </c>
      <c r="H609" t="s">
        <v>36</v>
      </c>
      <c r="I609" s="3">
        <v>2</v>
      </c>
      <c r="J609" s="5">
        <v>1000</v>
      </c>
      <c r="K609" s="7">
        <v>2000</v>
      </c>
      <c r="L609" s="6">
        <v>45334</v>
      </c>
      <c r="M609" s="8" t="str">
        <f>IF(K609&gt;10000,"High",IF(K609&gt;5000,"Medium","Low"))</f>
        <v>Low</v>
      </c>
      <c r="N609" s="4" t="s">
        <v>243</v>
      </c>
      <c r="O609" s="3">
        <v>2</v>
      </c>
      <c r="P609" s="3">
        <v>2024</v>
      </c>
      <c r="T609" s="4"/>
      <c r="X609"/>
      <c r="Y609" s="3"/>
      <c r="AA609"/>
    </row>
    <row r="610" spans="1:27" x14ac:dyDescent="0.3">
      <c r="A610" s="3">
        <v>1185</v>
      </c>
      <c r="B610" s="4" t="s">
        <v>16</v>
      </c>
      <c r="C610" s="4" t="str">
        <f>IF(D610="","Unknown",IF(D610&lt;20,"Teen",IF(D610&lt;40,"Adult","Senior")))</f>
        <v>Adult</v>
      </c>
      <c r="D610" s="3">
        <v>30</v>
      </c>
      <c r="E610" s="3" t="s">
        <v>250</v>
      </c>
      <c r="F610" s="4" t="s">
        <v>40</v>
      </c>
      <c r="G610" s="4" t="s">
        <v>18</v>
      </c>
      <c r="H610" t="s">
        <v>30</v>
      </c>
      <c r="I610" s="3">
        <v>1</v>
      </c>
      <c r="J610" s="5">
        <v>1000</v>
      </c>
      <c r="K610" s="7">
        <v>1000</v>
      </c>
      <c r="L610" s="6">
        <v>45346</v>
      </c>
      <c r="M610" s="8" t="str">
        <f>IF(K610&gt;10000,"High",IF(K610&gt;5000,"Medium","Low"))</f>
        <v>Low</v>
      </c>
      <c r="N610" s="4" t="s">
        <v>242</v>
      </c>
      <c r="O610" s="3">
        <v>2</v>
      </c>
      <c r="P610" s="3">
        <v>2024</v>
      </c>
      <c r="T610" s="4"/>
      <c r="X610"/>
      <c r="Y610" s="3"/>
      <c r="AA610"/>
    </row>
    <row r="611" spans="1:27" x14ac:dyDescent="0.3">
      <c r="A611" s="3">
        <v>1187</v>
      </c>
      <c r="B611" s="4" t="s">
        <v>54</v>
      </c>
      <c r="C611" s="4" t="str">
        <f>IF(D611="","Unknown",IF(D611&lt;20,"Teen",IF(D611&lt;40,"Adult","Senior")))</f>
        <v>Adult</v>
      </c>
      <c r="D611" s="3">
        <v>30</v>
      </c>
      <c r="E611" s="3" t="s">
        <v>250</v>
      </c>
      <c r="F611" s="4" t="s">
        <v>40</v>
      </c>
      <c r="G611" s="4" t="s">
        <v>23</v>
      </c>
      <c r="H611" t="s">
        <v>30</v>
      </c>
      <c r="I611" s="3">
        <v>1</v>
      </c>
      <c r="J611" s="5">
        <v>1000</v>
      </c>
      <c r="K611" s="7">
        <v>1000</v>
      </c>
      <c r="L611" s="6">
        <v>45326</v>
      </c>
      <c r="M611" s="8" t="str">
        <f>IF(K611&gt;10000,"High",IF(K611&gt;5000,"Medium","Low"))</f>
        <v>Low</v>
      </c>
      <c r="N611" s="4" t="s">
        <v>242</v>
      </c>
      <c r="O611" s="3">
        <v>2</v>
      </c>
      <c r="P611" s="3">
        <v>2024</v>
      </c>
      <c r="T611" s="4"/>
      <c r="X611"/>
      <c r="Y611" s="3"/>
      <c r="AA611"/>
    </row>
    <row r="612" spans="1:27" x14ac:dyDescent="0.3">
      <c r="A612" s="3">
        <v>1190</v>
      </c>
      <c r="B612" s="4" t="s">
        <v>25</v>
      </c>
      <c r="C612" s="4" t="str">
        <f>IF(D612="","Unknown",IF(D612&lt;20,"Teen",IF(D612&lt;40,"Adult","Senior")))</f>
        <v>Adult</v>
      </c>
      <c r="D612" s="3">
        <v>30</v>
      </c>
      <c r="E612" s="3" t="s">
        <v>250</v>
      </c>
      <c r="F612" s="4" t="s">
        <v>40</v>
      </c>
      <c r="G612" s="4" t="s">
        <v>44</v>
      </c>
      <c r="H612" t="s">
        <v>36</v>
      </c>
      <c r="I612" s="3">
        <v>2</v>
      </c>
      <c r="J612" s="5">
        <v>9138</v>
      </c>
      <c r="K612" s="7">
        <v>18276</v>
      </c>
      <c r="L612" s="6">
        <v>45337</v>
      </c>
      <c r="M612" s="8" t="str">
        <f>IF(K612&gt;10000,"High",IF(K612&gt;5000,"Medium","Low"))</f>
        <v>High</v>
      </c>
      <c r="N612" s="4" t="s">
        <v>243</v>
      </c>
      <c r="O612" s="3">
        <v>2</v>
      </c>
      <c r="P612" s="3">
        <v>2024</v>
      </c>
      <c r="T612" s="4"/>
      <c r="X612"/>
      <c r="Y612" s="3"/>
      <c r="AA612"/>
    </row>
    <row r="613" spans="1:27" x14ac:dyDescent="0.3">
      <c r="A613" s="3">
        <v>1192</v>
      </c>
      <c r="B613" s="4" t="s">
        <v>59</v>
      </c>
      <c r="C613" s="4" t="str">
        <f>IF(D613="","Unknown",IF(D613&lt;20,"Teen",IF(D613&lt;40,"Adult","Senior")))</f>
        <v>Senior</v>
      </c>
      <c r="D613" s="3">
        <v>42</v>
      </c>
      <c r="E613" s="3" t="s">
        <v>249</v>
      </c>
      <c r="F613" s="4" t="s">
        <v>17</v>
      </c>
      <c r="G613" s="4" t="s">
        <v>27</v>
      </c>
      <c r="H613" t="s">
        <v>13</v>
      </c>
      <c r="I613" s="3">
        <v>5</v>
      </c>
      <c r="J613" s="5">
        <v>1000</v>
      </c>
      <c r="K613" s="7">
        <v>5000</v>
      </c>
      <c r="L613" s="6">
        <v>45349</v>
      </c>
      <c r="M613" s="8" t="str">
        <f>IF(K613&gt;10000,"High",IF(K613&gt;5000,"Medium","Low"))</f>
        <v>Low</v>
      </c>
      <c r="N613" s="4" t="s">
        <v>241</v>
      </c>
      <c r="O613" s="3">
        <v>2</v>
      </c>
      <c r="P613" s="3">
        <v>2024</v>
      </c>
      <c r="T613" s="4"/>
      <c r="X613"/>
      <c r="Y613" s="3"/>
      <c r="AA613"/>
    </row>
    <row r="614" spans="1:27" x14ac:dyDescent="0.3">
      <c r="A614" s="3">
        <v>1196</v>
      </c>
      <c r="B614" s="4" t="s">
        <v>46</v>
      </c>
      <c r="C614" s="4" t="str">
        <f>IF(D614="","Unknown",IF(D614&lt;20,"Teen",IF(D614&lt;40,"Adult","Senior")))</f>
        <v>Adult</v>
      </c>
      <c r="D614" s="3">
        <v>30</v>
      </c>
      <c r="E614" s="3" t="s">
        <v>250</v>
      </c>
      <c r="F614" s="4" t="s">
        <v>40</v>
      </c>
      <c r="G614" s="4" t="s">
        <v>51</v>
      </c>
      <c r="H614" t="s">
        <v>13</v>
      </c>
      <c r="I614" s="3">
        <v>2</v>
      </c>
      <c r="J614" s="5">
        <v>1000</v>
      </c>
      <c r="K614" s="7">
        <v>2000</v>
      </c>
      <c r="L614" s="6">
        <v>45347</v>
      </c>
      <c r="M614" s="8" t="str">
        <f>IF(K614&gt;10000,"High",IF(K614&gt;5000,"Medium","Low"))</f>
        <v>Low</v>
      </c>
      <c r="N614" s="4" t="s">
        <v>243</v>
      </c>
      <c r="O614" s="3">
        <v>2</v>
      </c>
      <c r="P614" s="3">
        <v>2024</v>
      </c>
      <c r="T614" s="4"/>
      <c r="X614"/>
      <c r="Y614" s="3"/>
      <c r="AA614"/>
    </row>
    <row r="615" spans="1:27" x14ac:dyDescent="0.3">
      <c r="A615" s="3">
        <v>1197</v>
      </c>
      <c r="B615" s="4" t="s">
        <v>46</v>
      </c>
      <c r="C615" s="4" t="str">
        <f>IF(D615="","Unknown",IF(D615&lt;20,"Teen",IF(D615&lt;40,"Adult","Senior")))</f>
        <v>Adult</v>
      </c>
      <c r="D615" s="3">
        <v>30</v>
      </c>
      <c r="E615" s="3" t="s">
        <v>250</v>
      </c>
      <c r="F615" s="4" t="s">
        <v>40</v>
      </c>
      <c r="G615" s="4" t="s">
        <v>55</v>
      </c>
      <c r="H615" t="s">
        <v>36</v>
      </c>
      <c r="I615" s="3">
        <v>2</v>
      </c>
      <c r="J615" s="5">
        <v>1000</v>
      </c>
      <c r="K615" s="7">
        <v>2000</v>
      </c>
      <c r="L615" s="6">
        <v>45350</v>
      </c>
      <c r="M615" s="8" t="str">
        <f>IF(K615&gt;10000,"High",IF(K615&gt;5000,"Medium","Low"))</f>
        <v>Low</v>
      </c>
      <c r="N615" s="4" t="s">
        <v>243</v>
      </c>
      <c r="O615" s="3">
        <v>2</v>
      </c>
      <c r="P615" s="3">
        <v>2024</v>
      </c>
      <c r="T615" s="4"/>
      <c r="X615"/>
      <c r="Y615" s="3"/>
      <c r="AA615"/>
    </row>
    <row r="616" spans="1:27" x14ac:dyDescent="0.3">
      <c r="A616" s="3">
        <v>1198</v>
      </c>
      <c r="B616" s="4" t="s">
        <v>35</v>
      </c>
      <c r="C616" s="4" t="str">
        <f>IF(D616="","Unknown",IF(D616&lt;20,"Teen",IF(D616&lt;40,"Adult","Senior")))</f>
        <v>Teen</v>
      </c>
      <c r="D616" s="3">
        <v>19</v>
      </c>
      <c r="E616" s="3" t="s">
        <v>251</v>
      </c>
      <c r="F616" s="4" t="s">
        <v>40</v>
      </c>
      <c r="G616" s="4" t="s">
        <v>23</v>
      </c>
      <c r="H616" t="s">
        <v>30</v>
      </c>
      <c r="I616" s="3">
        <v>2</v>
      </c>
      <c r="J616" s="5">
        <v>1000</v>
      </c>
      <c r="K616" s="7">
        <v>2000</v>
      </c>
      <c r="L616" s="6">
        <v>45332</v>
      </c>
      <c r="M616" s="8" t="str">
        <f>IF(K616&gt;10000,"High",IF(K616&gt;5000,"Medium","Low"))</f>
        <v>Low</v>
      </c>
      <c r="N616" s="4" t="s">
        <v>244</v>
      </c>
      <c r="O616" s="3">
        <v>2</v>
      </c>
      <c r="P616" s="3">
        <v>2024</v>
      </c>
      <c r="T616" s="4"/>
      <c r="X616"/>
      <c r="Y616" s="3"/>
      <c r="AA616"/>
    </row>
    <row r="617" spans="1:27" x14ac:dyDescent="0.3">
      <c r="A617" s="3">
        <v>1200</v>
      </c>
      <c r="B617" s="4" t="s">
        <v>35</v>
      </c>
      <c r="C617" s="4" t="str">
        <f>IF(D617="","Unknown",IF(D617&lt;20,"Teen",IF(D617&lt;40,"Adult","Senior")))</f>
        <v>Adult</v>
      </c>
      <c r="D617" s="3">
        <v>30</v>
      </c>
      <c r="E617" s="3" t="s">
        <v>250</v>
      </c>
      <c r="F617" s="4" t="s">
        <v>40</v>
      </c>
      <c r="G617" s="4" t="s">
        <v>18</v>
      </c>
      <c r="H617" t="s">
        <v>30</v>
      </c>
      <c r="I617" s="3">
        <v>2</v>
      </c>
      <c r="J617" s="5">
        <v>35345</v>
      </c>
      <c r="K617" s="7">
        <v>70690</v>
      </c>
      <c r="L617" s="6">
        <v>45326</v>
      </c>
      <c r="M617" s="8" t="str">
        <f>IF(K617&gt;10000,"High",IF(K617&gt;5000,"Medium","Low"))</f>
        <v>High</v>
      </c>
      <c r="N617" s="4" t="s">
        <v>240</v>
      </c>
      <c r="O617" s="3">
        <v>2</v>
      </c>
      <c r="P617" s="3">
        <v>2024</v>
      </c>
      <c r="T617" s="4"/>
      <c r="X617"/>
      <c r="Y617" s="3"/>
      <c r="AA617"/>
    </row>
    <row r="618" spans="1:27" x14ac:dyDescent="0.3">
      <c r="A618" s="3">
        <v>1201</v>
      </c>
      <c r="B618" s="4" t="s">
        <v>48</v>
      </c>
      <c r="C618" s="4" t="str">
        <f>IF(D618="","Unknown",IF(D618&lt;20,"Teen",IF(D618&lt;40,"Adult","Senior")))</f>
        <v>Senior</v>
      </c>
      <c r="D618" s="3">
        <v>50</v>
      </c>
      <c r="E618" s="3" t="s">
        <v>249</v>
      </c>
      <c r="F618" s="4" t="s">
        <v>40</v>
      </c>
      <c r="G618" s="4" t="s">
        <v>12</v>
      </c>
      <c r="H618" t="s">
        <v>13</v>
      </c>
      <c r="I618" s="3">
        <v>3</v>
      </c>
      <c r="J618" s="5">
        <v>1000</v>
      </c>
      <c r="K618" s="7">
        <v>3000</v>
      </c>
      <c r="L618" s="6">
        <v>45340</v>
      </c>
      <c r="M618" s="8" t="str">
        <f>IF(K618&gt;10000,"High",IF(K618&gt;5000,"Medium","Low"))</f>
        <v>Low</v>
      </c>
      <c r="N618" s="4" t="s">
        <v>241</v>
      </c>
      <c r="O618" s="3">
        <v>2</v>
      </c>
      <c r="P618" s="3">
        <v>2024</v>
      </c>
      <c r="T618" s="4"/>
      <c r="X618"/>
      <c r="Y618" s="3"/>
      <c r="AA618"/>
    </row>
    <row r="619" spans="1:27" x14ac:dyDescent="0.3">
      <c r="A619" s="3">
        <v>1204</v>
      </c>
      <c r="B619" s="4" t="s">
        <v>64</v>
      </c>
      <c r="C619" s="4" t="str">
        <f>IF(D619="","Unknown",IF(D619&lt;20,"Teen",IF(D619&lt;40,"Adult","Senior")))</f>
        <v>Adult</v>
      </c>
      <c r="D619" s="3">
        <v>36</v>
      </c>
      <c r="E619" s="3" t="s">
        <v>249</v>
      </c>
      <c r="F619" s="4" t="s">
        <v>40</v>
      </c>
      <c r="G619" s="4" t="s">
        <v>44</v>
      </c>
      <c r="H619" t="s">
        <v>36</v>
      </c>
      <c r="I619" s="3">
        <v>2</v>
      </c>
      <c r="J619" s="5">
        <v>1000</v>
      </c>
      <c r="K619" s="7">
        <v>2000</v>
      </c>
      <c r="L619" s="6">
        <v>45331</v>
      </c>
      <c r="M619" s="8" t="str">
        <f>IF(K619&gt;10000,"High",IF(K619&gt;5000,"Medium","Low"))</f>
        <v>Low</v>
      </c>
      <c r="N619" s="4" t="s">
        <v>242</v>
      </c>
      <c r="O619" s="3">
        <v>2</v>
      </c>
      <c r="P619" s="3">
        <v>2024</v>
      </c>
      <c r="T619" s="4"/>
      <c r="X619"/>
      <c r="Y619" s="3"/>
      <c r="AA619"/>
    </row>
    <row r="620" spans="1:27" x14ac:dyDescent="0.3">
      <c r="A620" s="3">
        <v>1206</v>
      </c>
      <c r="B620" s="4" t="s">
        <v>21</v>
      </c>
      <c r="C620" s="4" t="str">
        <f>IF(D620="","Unknown",IF(D620&lt;20,"Teen",IF(D620&lt;40,"Adult","Senior")))</f>
        <v>Adult</v>
      </c>
      <c r="D620" s="3">
        <v>21</v>
      </c>
      <c r="E620" s="3" t="s">
        <v>250</v>
      </c>
      <c r="F620" s="4" t="s">
        <v>40</v>
      </c>
      <c r="G620" s="4" t="s">
        <v>18</v>
      </c>
      <c r="H620" t="s">
        <v>30</v>
      </c>
      <c r="I620" s="3">
        <v>2</v>
      </c>
      <c r="J620" s="5">
        <v>11760</v>
      </c>
      <c r="K620" s="7">
        <v>23520</v>
      </c>
      <c r="L620" s="6">
        <v>45327</v>
      </c>
      <c r="M620" s="8" t="str">
        <f>IF(K620&gt;10000,"High",IF(K620&gt;5000,"Medium","Low"))</f>
        <v>High</v>
      </c>
      <c r="N620" s="4" t="s">
        <v>242</v>
      </c>
      <c r="O620" s="3">
        <v>2</v>
      </c>
      <c r="P620" s="3">
        <v>2024</v>
      </c>
      <c r="T620" s="4"/>
      <c r="X620"/>
      <c r="Y620" s="3"/>
      <c r="AA620"/>
    </row>
    <row r="621" spans="1:27" x14ac:dyDescent="0.3">
      <c r="A621" s="3">
        <v>1207</v>
      </c>
      <c r="B621" s="4" t="s">
        <v>78</v>
      </c>
      <c r="C621" s="4" t="str">
        <f>IF(D621="","Unknown",IF(D621&lt;20,"Teen",IF(D621&lt;40,"Adult","Senior")))</f>
        <v>Adult</v>
      </c>
      <c r="D621" s="3">
        <v>29</v>
      </c>
      <c r="E621" s="3" t="s">
        <v>250</v>
      </c>
      <c r="F621" s="4" t="s">
        <v>40</v>
      </c>
      <c r="G621" s="4" t="s">
        <v>23</v>
      </c>
      <c r="H621" t="s">
        <v>30</v>
      </c>
      <c r="I621" s="3">
        <v>1</v>
      </c>
      <c r="J621" s="5">
        <v>1000</v>
      </c>
      <c r="K621" s="7">
        <v>1000</v>
      </c>
      <c r="L621" s="6">
        <v>45328</v>
      </c>
      <c r="M621" s="8" t="str">
        <f>IF(K621&gt;10000,"High",IF(K621&gt;5000,"Medium","Low"))</f>
        <v>Low</v>
      </c>
      <c r="N621" s="4" t="s">
        <v>244</v>
      </c>
      <c r="O621" s="3">
        <v>2</v>
      </c>
      <c r="P621" s="3">
        <v>2024</v>
      </c>
      <c r="T621" s="4"/>
      <c r="X621"/>
      <c r="Y621" s="3"/>
      <c r="AA621"/>
    </row>
    <row r="622" spans="1:27" x14ac:dyDescent="0.3">
      <c r="A622" s="3">
        <v>1209</v>
      </c>
      <c r="B622" s="4" t="s">
        <v>21</v>
      </c>
      <c r="C622" s="4" t="str">
        <f>IF(D622="","Unknown",IF(D622&lt;20,"Teen",IF(D622&lt;40,"Adult","Senior")))</f>
        <v>Senior</v>
      </c>
      <c r="D622" s="3">
        <v>48</v>
      </c>
      <c r="E622" s="3" t="s">
        <v>249</v>
      </c>
      <c r="F622" s="4" t="s">
        <v>17</v>
      </c>
      <c r="G622" s="4" t="s">
        <v>12</v>
      </c>
      <c r="H622" t="s">
        <v>13</v>
      </c>
      <c r="I622" s="3">
        <v>5</v>
      </c>
      <c r="J622" s="5">
        <v>1000</v>
      </c>
      <c r="K622" s="7">
        <v>5000</v>
      </c>
      <c r="L622" s="6">
        <v>45330</v>
      </c>
      <c r="M622" s="8" t="str">
        <f>IF(K622&gt;10000,"High",IF(K622&gt;5000,"Medium","Low"))</f>
        <v>Low</v>
      </c>
      <c r="N622" s="4" t="s">
        <v>244</v>
      </c>
      <c r="O622" s="3">
        <v>2</v>
      </c>
      <c r="P622" s="3">
        <v>2024</v>
      </c>
      <c r="T622" s="4"/>
      <c r="X622"/>
      <c r="Y622" s="3"/>
      <c r="AA622"/>
    </row>
    <row r="623" spans="1:27" x14ac:dyDescent="0.3">
      <c r="A623" s="3">
        <v>1210</v>
      </c>
      <c r="B623" s="4" t="s">
        <v>57</v>
      </c>
      <c r="C623" s="4" t="str">
        <f>IF(D623="","Unknown",IF(D623&lt;20,"Teen",IF(D623&lt;40,"Adult","Senior")))</f>
        <v>Senior</v>
      </c>
      <c r="D623" s="3">
        <v>47</v>
      </c>
      <c r="E623" s="3" t="s">
        <v>249</v>
      </c>
      <c r="F623" s="4" t="s">
        <v>40</v>
      </c>
      <c r="G623" s="4" t="s">
        <v>51</v>
      </c>
      <c r="H623" t="s">
        <v>13</v>
      </c>
      <c r="I623" s="3">
        <v>2</v>
      </c>
      <c r="J623" s="5">
        <v>1000</v>
      </c>
      <c r="K623" s="7">
        <v>2000</v>
      </c>
      <c r="L623" s="6">
        <v>45350</v>
      </c>
      <c r="M623" s="8" t="str">
        <f>IF(K623&gt;10000,"High",IF(K623&gt;5000,"Medium","Low"))</f>
        <v>Low</v>
      </c>
      <c r="N623" s="4" t="s">
        <v>242</v>
      </c>
      <c r="O623" s="3">
        <v>2</v>
      </c>
      <c r="P623" s="3">
        <v>2024</v>
      </c>
      <c r="T623" s="4"/>
      <c r="X623"/>
      <c r="Y623" s="3"/>
      <c r="AA623"/>
    </row>
    <row r="624" spans="1:27" x14ac:dyDescent="0.3">
      <c r="A624" s="3">
        <v>1211</v>
      </c>
      <c r="B624" s="4" t="s">
        <v>62</v>
      </c>
      <c r="C624" s="4" t="str">
        <f>IF(D624="","Unknown",IF(D624&lt;20,"Teen",IF(D624&lt;40,"Adult","Senior")))</f>
        <v>Adult</v>
      </c>
      <c r="D624" s="3">
        <v>30</v>
      </c>
      <c r="E624" s="3" t="s">
        <v>250</v>
      </c>
      <c r="F624" s="4" t="s">
        <v>17</v>
      </c>
      <c r="G624" s="4" t="s">
        <v>44</v>
      </c>
      <c r="H624" t="s">
        <v>36</v>
      </c>
      <c r="I624" s="3">
        <v>2</v>
      </c>
      <c r="J624" s="5">
        <v>1000</v>
      </c>
      <c r="K624" s="7">
        <v>2000</v>
      </c>
      <c r="L624" s="6">
        <v>45349</v>
      </c>
      <c r="M624" s="8" t="str">
        <f>IF(K624&gt;10000,"High",IF(K624&gt;5000,"Medium","Low"))</f>
        <v>Low</v>
      </c>
      <c r="N624" s="4" t="s">
        <v>244</v>
      </c>
      <c r="O624" s="3">
        <v>2</v>
      </c>
      <c r="P624" s="3">
        <v>2024</v>
      </c>
      <c r="T624" s="4"/>
      <c r="X624"/>
      <c r="Y624" s="3"/>
      <c r="AA624"/>
    </row>
    <row r="625" spans="1:27" x14ac:dyDescent="0.3">
      <c r="A625" s="3">
        <v>1212</v>
      </c>
      <c r="B625" s="4" t="s">
        <v>16</v>
      </c>
      <c r="C625" s="4" t="str">
        <f>IF(D625="","Unknown",IF(D625&lt;20,"Teen",IF(D625&lt;40,"Adult","Senior")))</f>
        <v>Adult</v>
      </c>
      <c r="D625" s="3">
        <v>30</v>
      </c>
      <c r="E625" s="3" t="s">
        <v>250</v>
      </c>
      <c r="F625" s="4" t="s">
        <v>40</v>
      </c>
      <c r="G625" s="4" t="s">
        <v>41</v>
      </c>
      <c r="H625" t="s">
        <v>36</v>
      </c>
      <c r="I625" s="3">
        <v>2</v>
      </c>
      <c r="J625" s="5">
        <v>6262</v>
      </c>
      <c r="K625" s="7">
        <v>12524</v>
      </c>
      <c r="L625" s="6">
        <v>45347</v>
      </c>
      <c r="M625" s="8" t="str">
        <f>IF(K625&gt;10000,"High",IF(K625&gt;5000,"Medium","Low"))</f>
        <v>High</v>
      </c>
      <c r="N625" s="4" t="s">
        <v>244</v>
      </c>
      <c r="O625" s="3">
        <v>2</v>
      </c>
      <c r="P625" s="3">
        <v>2024</v>
      </c>
      <c r="T625" s="4"/>
      <c r="X625"/>
      <c r="Y625" s="3"/>
      <c r="AA625"/>
    </row>
    <row r="626" spans="1:27" x14ac:dyDescent="0.3">
      <c r="A626" s="3">
        <v>1215</v>
      </c>
      <c r="B626" s="4" t="s">
        <v>64</v>
      </c>
      <c r="C626" s="4" t="str">
        <f>IF(D626="","Unknown",IF(D626&lt;20,"Teen",IF(D626&lt;40,"Adult","Senior")))</f>
        <v>Senior</v>
      </c>
      <c r="D626" s="3">
        <v>48</v>
      </c>
      <c r="E626" s="3" t="s">
        <v>249</v>
      </c>
      <c r="F626" s="4" t="s">
        <v>40</v>
      </c>
      <c r="G626" s="4" t="s">
        <v>44</v>
      </c>
      <c r="H626" t="s">
        <v>36</v>
      </c>
      <c r="I626" s="3">
        <v>5</v>
      </c>
      <c r="J626" s="5">
        <v>35558</v>
      </c>
      <c r="K626" s="7">
        <v>177790</v>
      </c>
      <c r="L626" s="6">
        <v>45331</v>
      </c>
      <c r="M626" s="8" t="str">
        <f>IF(K626&gt;10000,"High",IF(K626&gt;5000,"Medium","Low"))</f>
        <v>High</v>
      </c>
      <c r="N626" s="4" t="s">
        <v>243</v>
      </c>
      <c r="O626" s="3">
        <v>2</v>
      </c>
      <c r="P626" s="3">
        <v>2024</v>
      </c>
      <c r="T626" s="4"/>
      <c r="X626"/>
      <c r="Y626" s="3"/>
      <c r="AA626"/>
    </row>
    <row r="627" spans="1:27" x14ac:dyDescent="0.3">
      <c r="A627" s="3">
        <v>1217</v>
      </c>
      <c r="B627" s="4" t="s">
        <v>54</v>
      </c>
      <c r="C627" s="4" t="str">
        <f>IF(D627="","Unknown",IF(D627&lt;20,"Teen",IF(D627&lt;40,"Adult","Senior")))</f>
        <v>Senior</v>
      </c>
      <c r="D627" s="3">
        <v>50</v>
      </c>
      <c r="E627" s="3" t="s">
        <v>249</v>
      </c>
      <c r="F627" s="4" t="s">
        <v>40</v>
      </c>
      <c r="G627" s="4" t="s">
        <v>51</v>
      </c>
      <c r="H627" t="s">
        <v>13</v>
      </c>
      <c r="I627" s="3">
        <v>3</v>
      </c>
      <c r="J627" s="5">
        <v>1000</v>
      </c>
      <c r="K627" s="7">
        <v>3000</v>
      </c>
      <c r="L627" s="6">
        <v>45333</v>
      </c>
      <c r="M627" s="8" t="str">
        <f>IF(K627&gt;10000,"High",IF(K627&gt;5000,"Medium","Low"))</f>
        <v>Low</v>
      </c>
      <c r="N627" s="4" t="s">
        <v>242</v>
      </c>
      <c r="O627" s="3">
        <v>2</v>
      </c>
      <c r="P627" s="3">
        <v>2024</v>
      </c>
      <c r="T627" s="4"/>
      <c r="X627"/>
      <c r="Y627" s="3"/>
      <c r="AA627"/>
    </row>
    <row r="628" spans="1:27" x14ac:dyDescent="0.3">
      <c r="A628" s="3">
        <v>1218</v>
      </c>
      <c r="B628" s="4" t="s">
        <v>69</v>
      </c>
      <c r="C628" s="4" t="str">
        <f>IF(D628="","Unknown",IF(D628&lt;20,"Teen",IF(D628&lt;40,"Adult","Senior")))</f>
        <v>Adult</v>
      </c>
      <c r="D628" s="3">
        <v>30</v>
      </c>
      <c r="E628" s="3" t="s">
        <v>250</v>
      </c>
      <c r="F628" s="4" t="s">
        <v>40</v>
      </c>
      <c r="G628" s="4" t="s">
        <v>55</v>
      </c>
      <c r="H628" t="s">
        <v>36</v>
      </c>
      <c r="I628" s="3">
        <v>2</v>
      </c>
      <c r="J628" s="5">
        <v>1000</v>
      </c>
      <c r="K628" s="7">
        <v>2000</v>
      </c>
      <c r="L628" s="6">
        <v>45328</v>
      </c>
      <c r="M628" s="8" t="str">
        <f>IF(K628&gt;10000,"High",IF(K628&gt;5000,"Medium","Low"))</f>
        <v>Low</v>
      </c>
      <c r="N628" s="4" t="s">
        <v>242</v>
      </c>
      <c r="O628" s="3">
        <v>2</v>
      </c>
      <c r="P628" s="3">
        <v>2024</v>
      </c>
      <c r="T628" s="4"/>
      <c r="X628"/>
      <c r="Y628" s="3"/>
      <c r="AA628"/>
    </row>
    <row r="629" spans="1:27" x14ac:dyDescent="0.3">
      <c r="A629" s="3">
        <v>1219</v>
      </c>
      <c r="B629" s="4" t="s">
        <v>48</v>
      </c>
      <c r="C629" s="4" t="str">
        <f>IF(D629="","Unknown",IF(D629&lt;20,"Teen",IF(D629&lt;40,"Adult","Senior")))</f>
        <v>Adult</v>
      </c>
      <c r="D629" s="3">
        <v>30</v>
      </c>
      <c r="E629" s="3" t="s">
        <v>250</v>
      </c>
      <c r="F629" s="4" t="s">
        <v>40</v>
      </c>
      <c r="G629" s="4" t="s">
        <v>18</v>
      </c>
      <c r="H629" t="s">
        <v>30</v>
      </c>
      <c r="I629" s="3">
        <v>2</v>
      </c>
      <c r="J629" s="5">
        <v>1000</v>
      </c>
      <c r="K629" s="7">
        <v>2000</v>
      </c>
      <c r="L629" s="6">
        <v>45332</v>
      </c>
      <c r="M629" s="8" t="str">
        <f>IF(K629&gt;10000,"High",IF(K629&gt;5000,"Medium","Low"))</f>
        <v>Low</v>
      </c>
      <c r="N629" s="4" t="s">
        <v>241</v>
      </c>
      <c r="O629" s="3">
        <v>2</v>
      </c>
      <c r="P629" s="3">
        <v>2024</v>
      </c>
      <c r="T629" s="4"/>
      <c r="X629"/>
      <c r="Y629" s="3"/>
      <c r="AA629"/>
    </row>
    <row r="630" spans="1:27" x14ac:dyDescent="0.3">
      <c r="A630" s="3">
        <v>1224</v>
      </c>
      <c r="B630" s="4" t="s">
        <v>73</v>
      </c>
      <c r="C630" s="4" t="str">
        <f>IF(D630="","Unknown",IF(D630&lt;20,"Teen",IF(D630&lt;40,"Adult","Senior")))</f>
        <v>Adult</v>
      </c>
      <c r="D630" s="3">
        <v>30</v>
      </c>
      <c r="E630" s="3" t="s">
        <v>250</v>
      </c>
      <c r="F630" s="4" t="s">
        <v>40</v>
      </c>
      <c r="G630" s="4" t="s">
        <v>44</v>
      </c>
      <c r="H630" t="s">
        <v>36</v>
      </c>
      <c r="I630" s="3">
        <v>2</v>
      </c>
      <c r="J630" s="5">
        <v>27499</v>
      </c>
      <c r="K630" s="7">
        <v>54998</v>
      </c>
      <c r="L630" s="6">
        <v>45332</v>
      </c>
      <c r="M630" s="8" t="str">
        <f>IF(K630&gt;10000,"High",IF(K630&gt;5000,"Medium","Low"))</f>
        <v>High</v>
      </c>
      <c r="N630" s="4" t="s">
        <v>240</v>
      </c>
      <c r="O630" s="3">
        <v>2</v>
      </c>
      <c r="P630" s="3">
        <v>2024</v>
      </c>
      <c r="T630" s="4"/>
      <c r="X630"/>
      <c r="Y630" s="3"/>
      <c r="AA630"/>
    </row>
    <row r="631" spans="1:27" x14ac:dyDescent="0.3">
      <c r="A631" s="3">
        <v>1226</v>
      </c>
      <c r="B631" s="4" t="s">
        <v>32</v>
      </c>
      <c r="C631" s="4" t="str">
        <f>IF(D631="","Unknown",IF(D631&lt;20,"Teen",IF(D631&lt;40,"Adult","Senior")))</f>
        <v>Adult</v>
      </c>
      <c r="D631" s="3">
        <v>30</v>
      </c>
      <c r="E631" s="3" t="s">
        <v>250</v>
      </c>
      <c r="F631" s="4" t="s">
        <v>40</v>
      </c>
      <c r="G631" s="4" t="s">
        <v>12</v>
      </c>
      <c r="H631" t="s">
        <v>13</v>
      </c>
      <c r="I631" s="3">
        <v>5</v>
      </c>
      <c r="J631" s="5">
        <v>1000</v>
      </c>
      <c r="K631" s="7">
        <v>5000</v>
      </c>
      <c r="L631" s="6">
        <v>45329</v>
      </c>
      <c r="M631" s="8" t="str">
        <f>IF(K631&gt;10000,"High",IF(K631&gt;5000,"Medium","Low"))</f>
        <v>Low</v>
      </c>
      <c r="N631" s="4" t="s">
        <v>244</v>
      </c>
      <c r="O631" s="3">
        <v>2</v>
      </c>
      <c r="P631" s="3">
        <v>2024</v>
      </c>
      <c r="T631" s="4"/>
      <c r="X631"/>
      <c r="Y631" s="3"/>
      <c r="AA631"/>
    </row>
    <row r="632" spans="1:27" x14ac:dyDescent="0.3">
      <c r="A632" s="3">
        <v>1227</v>
      </c>
      <c r="B632" s="4" t="s">
        <v>46</v>
      </c>
      <c r="C632" s="4" t="str">
        <f>IF(D632="","Unknown",IF(D632&lt;20,"Teen",IF(D632&lt;40,"Adult","Senior")))</f>
        <v>Senior</v>
      </c>
      <c r="D632" s="3">
        <v>42</v>
      </c>
      <c r="E632" s="3" t="s">
        <v>249</v>
      </c>
      <c r="F632" s="4" t="s">
        <v>17</v>
      </c>
      <c r="G632" s="4" t="s">
        <v>23</v>
      </c>
      <c r="H632" t="s">
        <v>30</v>
      </c>
      <c r="I632" s="3">
        <v>5</v>
      </c>
      <c r="J632" s="5">
        <v>35550</v>
      </c>
      <c r="K632" s="7">
        <v>177750</v>
      </c>
      <c r="L632" s="6">
        <v>45343</v>
      </c>
      <c r="M632" s="8" t="str">
        <f>IF(K632&gt;10000,"High",IF(K632&gt;5000,"Medium","Low"))</f>
        <v>High</v>
      </c>
      <c r="N632" s="4" t="s">
        <v>240</v>
      </c>
      <c r="O632" s="3">
        <v>2</v>
      </c>
      <c r="P632" s="3">
        <v>2024</v>
      </c>
      <c r="T632" s="4"/>
      <c r="X632"/>
      <c r="Y632" s="3"/>
      <c r="AA632"/>
    </row>
    <row r="633" spans="1:27" x14ac:dyDescent="0.3">
      <c r="A633" s="3">
        <v>1228</v>
      </c>
      <c r="B633" s="4" t="s">
        <v>78</v>
      </c>
      <c r="C633" s="4" t="str">
        <f>IF(D633="","Unknown",IF(D633&lt;20,"Teen",IF(D633&lt;40,"Adult","Senior")))</f>
        <v>Adult</v>
      </c>
      <c r="D633" s="3">
        <v>30</v>
      </c>
      <c r="E633" s="3" t="s">
        <v>250</v>
      </c>
      <c r="F633" s="4" t="s">
        <v>40</v>
      </c>
      <c r="G633" s="4" t="s">
        <v>44</v>
      </c>
      <c r="H633" t="s">
        <v>36</v>
      </c>
      <c r="I633" s="3">
        <v>2</v>
      </c>
      <c r="J633" s="5">
        <v>47230</v>
      </c>
      <c r="K633" s="7">
        <v>94460</v>
      </c>
      <c r="L633" s="6">
        <v>45325</v>
      </c>
      <c r="M633" s="8" t="str">
        <f>IF(K633&gt;10000,"High",IF(K633&gt;5000,"Medium","Low"))</f>
        <v>High</v>
      </c>
      <c r="N633" s="4" t="s">
        <v>241</v>
      </c>
      <c r="O633" s="3">
        <v>2</v>
      </c>
      <c r="P633" s="3">
        <v>2024</v>
      </c>
      <c r="T633" s="4"/>
      <c r="X633"/>
      <c r="Y633" s="3"/>
      <c r="AA633"/>
    </row>
    <row r="634" spans="1:27" x14ac:dyDescent="0.3">
      <c r="A634" s="3">
        <v>1229</v>
      </c>
      <c r="B634" s="4" t="s">
        <v>54</v>
      </c>
      <c r="C634" s="4" t="str">
        <f>IF(D634="","Unknown",IF(D634&lt;20,"Teen",IF(D634&lt;40,"Adult","Senior")))</f>
        <v>Adult</v>
      </c>
      <c r="D634" s="3">
        <v>38</v>
      </c>
      <c r="E634" s="3" t="s">
        <v>249</v>
      </c>
      <c r="F634" s="4" t="s">
        <v>40</v>
      </c>
      <c r="G634" s="4" t="s">
        <v>12</v>
      </c>
      <c r="H634" t="s">
        <v>13</v>
      </c>
      <c r="I634" s="3">
        <v>2</v>
      </c>
      <c r="J634" s="5">
        <v>1000</v>
      </c>
      <c r="K634" s="7">
        <v>2000</v>
      </c>
      <c r="L634" s="6">
        <v>45330</v>
      </c>
      <c r="M634" s="8" t="str">
        <f>IF(K634&gt;10000,"High",IF(K634&gt;5000,"Medium","Low"))</f>
        <v>Low</v>
      </c>
      <c r="N634" s="4" t="s">
        <v>241</v>
      </c>
      <c r="O634" s="3">
        <v>2</v>
      </c>
      <c r="P634" s="3">
        <v>2024</v>
      </c>
      <c r="T634" s="4"/>
      <c r="X634"/>
      <c r="Y634" s="3"/>
      <c r="AA634"/>
    </row>
    <row r="635" spans="1:27" x14ac:dyDescent="0.3">
      <c r="A635" s="3">
        <v>1230</v>
      </c>
      <c r="B635" s="4" t="s">
        <v>78</v>
      </c>
      <c r="C635" s="4" t="str">
        <f>IF(D635="","Unknown",IF(D635&lt;20,"Teen",IF(D635&lt;40,"Adult","Senior")))</f>
        <v>Adult</v>
      </c>
      <c r="D635" s="3">
        <v>30</v>
      </c>
      <c r="E635" s="3" t="s">
        <v>250</v>
      </c>
      <c r="F635" s="4" t="s">
        <v>40</v>
      </c>
      <c r="G635" s="4" t="s">
        <v>23</v>
      </c>
      <c r="H635" t="s">
        <v>30</v>
      </c>
      <c r="I635" s="3">
        <v>2</v>
      </c>
      <c r="J635" s="5">
        <v>30631</v>
      </c>
      <c r="K635" s="7">
        <v>61262</v>
      </c>
      <c r="L635" s="6">
        <v>45323</v>
      </c>
      <c r="M635" s="8" t="str">
        <f>IF(K635&gt;10000,"High",IF(K635&gt;5000,"Medium","Low"))</f>
        <v>High</v>
      </c>
      <c r="N635" s="4" t="s">
        <v>241</v>
      </c>
      <c r="O635" s="3">
        <v>2</v>
      </c>
      <c r="P635" s="3">
        <v>2024</v>
      </c>
      <c r="T635" s="4"/>
      <c r="X635"/>
      <c r="Y635" s="3"/>
      <c r="AA635"/>
    </row>
    <row r="636" spans="1:27" x14ac:dyDescent="0.3">
      <c r="A636" s="3">
        <v>1231</v>
      </c>
      <c r="B636" s="4" t="s">
        <v>46</v>
      </c>
      <c r="C636" s="4" t="str">
        <f>IF(D636="","Unknown",IF(D636&lt;20,"Teen",IF(D636&lt;40,"Adult","Senior")))</f>
        <v>Adult</v>
      </c>
      <c r="D636" s="3">
        <v>30</v>
      </c>
      <c r="E636" s="3" t="s">
        <v>250</v>
      </c>
      <c r="F636" s="4" t="s">
        <v>40</v>
      </c>
      <c r="G636" s="4" t="s">
        <v>41</v>
      </c>
      <c r="H636" t="s">
        <v>36</v>
      </c>
      <c r="I636" s="3">
        <v>2</v>
      </c>
      <c r="J636" s="5">
        <v>32714</v>
      </c>
      <c r="K636" s="7">
        <v>65428</v>
      </c>
      <c r="L636" s="6">
        <v>45334</v>
      </c>
      <c r="M636" s="8" t="str">
        <f>IF(K636&gt;10000,"High",IF(K636&gt;5000,"Medium","Low"))</f>
        <v>High</v>
      </c>
      <c r="N636" s="4" t="s">
        <v>241</v>
      </c>
      <c r="O636" s="3">
        <v>2</v>
      </c>
      <c r="P636" s="3">
        <v>2024</v>
      </c>
      <c r="T636" s="4"/>
      <c r="X636"/>
      <c r="Y636" s="3"/>
      <c r="AA636"/>
    </row>
    <row r="637" spans="1:27" x14ac:dyDescent="0.3">
      <c r="A637" s="3">
        <v>1232</v>
      </c>
      <c r="B637" s="4" t="s">
        <v>25</v>
      </c>
      <c r="C637" s="4" t="str">
        <f>IF(D637="","Unknown",IF(D637&lt;20,"Teen",IF(D637&lt;40,"Adult","Senior")))</f>
        <v>Adult</v>
      </c>
      <c r="D637" s="3">
        <v>30</v>
      </c>
      <c r="E637" s="3" t="s">
        <v>250</v>
      </c>
      <c r="F637" s="4" t="s">
        <v>40</v>
      </c>
      <c r="G637" s="4" t="s">
        <v>51</v>
      </c>
      <c r="H637" t="s">
        <v>13</v>
      </c>
      <c r="I637" s="3">
        <v>4</v>
      </c>
      <c r="J637" s="5">
        <v>43142</v>
      </c>
      <c r="K637" s="7">
        <v>172568</v>
      </c>
      <c r="L637" s="6">
        <v>45323</v>
      </c>
      <c r="M637" s="8" t="str">
        <f>IF(K637&gt;10000,"High",IF(K637&gt;5000,"Medium","Low"))</f>
        <v>High</v>
      </c>
      <c r="N637" s="4" t="s">
        <v>243</v>
      </c>
      <c r="O637" s="3">
        <v>2</v>
      </c>
      <c r="P637" s="3">
        <v>2024</v>
      </c>
      <c r="T637" s="4"/>
      <c r="X637"/>
      <c r="Y637" s="3"/>
      <c r="AA637"/>
    </row>
    <row r="638" spans="1:27" x14ac:dyDescent="0.3">
      <c r="A638" s="3">
        <v>1233</v>
      </c>
      <c r="B638" s="4" t="s">
        <v>54</v>
      </c>
      <c r="C638" s="4" t="str">
        <f>IF(D638="","Unknown",IF(D638&lt;20,"Teen",IF(D638&lt;40,"Adult","Senior")))</f>
        <v>Adult</v>
      </c>
      <c r="D638" s="3">
        <v>30</v>
      </c>
      <c r="E638" s="3" t="s">
        <v>250</v>
      </c>
      <c r="F638" s="4" t="s">
        <v>40</v>
      </c>
      <c r="G638" s="4" t="s">
        <v>27</v>
      </c>
      <c r="H638" t="s">
        <v>13</v>
      </c>
      <c r="I638" s="3">
        <v>5</v>
      </c>
      <c r="J638" s="5">
        <v>14266</v>
      </c>
      <c r="K638" s="7">
        <v>71330</v>
      </c>
      <c r="L638" s="6">
        <v>45349</v>
      </c>
      <c r="M638" s="8" t="str">
        <f>IF(K638&gt;10000,"High",IF(K638&gt;5000,"Medium","Low"))</f>
        <v>High</v>
      </c>
      <c r="N638" s="4" t="s">
        <v>240</v>
      </c>
      <c r="O638" s="3">
        <v>2</v>
      </c>
      <c r="P638" s="3">
        <v>2024</v>
      </c>
      <c r="T638" s="4"/>
      <c r="X638"/>
      <c r="Y638" s="3"/>
      <c r="AA638"/>
    </row>
    <row r="639" spans="1:27" x14ac:dyDescent="0.3">
      <c r="A639" s="3">
        <v>1236</v>
      </c>
      <c r="B639" s="4" t="s">
        <v>73</v>
      </c>
      <c r="C639" s="4" t="str">
        <f>IF(D639="","Unknown",IF(D639&lt;20,"Teen",IF(D639&lt;40,"Adult","Senior")))</f>
        <v>Adult</v>
      </c>
      <c r="D639" s="3">
        <v>36</v>
      </c>
      <c r="E639" s="3" t="s">
        <v>249</v>
      </c>
      <c r="F639" s="4" t="s">
        <v>40</v>
      </c>
      <c r="G639" s="4" t="s">
        <v>18</v>
      </c>
      <c r="H639" t="s">
        <v>30</v>
      </c>
      <c r="I639" s="3">
        <v>3</v>
      </c>
      <c r="J639" s="5">
        <v>1000</v>
      </c>
      <c r="K639" s="7">
        <v>3000</v>
      </c>
      <c r="L639" s="6">
        <v>45332</v>
      </c>
      <c r="M639" s="8" t="str">
        <f>IF(K639&gt;10000,"High",IF(K639&gt;5000,"Medium","Low"))</f>
        <v>Low</v>
      </c>
      <c r="N639" s="4" t="s">
        <v>242</v>
      </c>
      <c r="O639" s="3">
        <v>2</v>
      </c>
      <c r="P639" s="3">
        <v>2024</v>
      </c>
      <c r="T639" s="4"/>
      <c r="X639"/>
      <c r="Y639" s="3"/>
      <c r="AA639"/>
    </row>
    <row r="640" spans="1:27" x14ac:dyDescent="0.3">
      <c r="A640" s="3">
        <v>1237</v>
      </c>
      <c r="B640" s="4" t="s">
        <v>25</v>
      </c>
      <c r="C640" s="4" t="str">
        <f>IF(D640="","Unknown",IF(D640&lt;20,"Teen",IF(D640&lt;40,"Adult","Senior")))</f>
        <v>Teen</v>
      </c>
      <c r="D640" s="3">
        <v>18</v>
      </c>
      <c r="E640" s="3" t="s">
        <v>251</v>
      </c>
      <c r="F640" s="4" t="s">
        <v>40</v>
      </c>
      <c r="G640" s="4" t="s">
        <v>41</v>
      </c>
      <c r="H640" t="s">
        <v>36</v>
      </c>
      <c r="I640" s="3">
        <v>2</v>
      </c>
      <c r="J640" s="5">
        <v>1000</v>
      </c>
      <c r="K640" s="7">
        <v>2000</v>
      </c>
      <c r="L640" s="6">
        <v>45351</v>
      </c>
      <c r="M640" s="8" t="str">
        <f>IF(K640&gt;10000,"High",IF(K640&gt;5000,"Medium","Low"))</f>
        <v>Low</v>
      </c>
      <c r="N640" s="4" t="s">
        <v>240</v>
      </c>
      <c r="O640" s="3">
        <v>2</v>
      </c>
      <c r="P640" s="3">
        <v>2024</v>
      </c>
      <c r="T640" s="4"/>
      <c r="X640"/>
      <c r="Y640" s="3"/>
      <c r="AA640"/>
    </row>
    <row r="641" spans="1:27" x14ac:dyDescent="0.3">
      <c r="A641" s="3">
        <v>1238</v>
      </c>
      <c r="B641" s="4" t="s">
        <v>68</v>
      </c>
      <c r="C641" s="4" t="str">
        <f>IF(D641="","Unknown",IF(D641&lt;20,"Teen",IF(D641&lt;40,"Adult","Senior")))</f>
        <v>Adult</v>
      </c>
      <c r="D641" s="3">
        <v>30</v>
      </c>
      <c r="E641" s="3" t="s">
        <v>250</v>
      </c>
      <c r="F641" s="4" t="s">
        <v>40</v>
      </c>
      <c r="G641" s="4" t="s">
        <v>55</v>
      </c>
      <c r="H641" t="s">
        <v>36</v>
      </c>
      <c r="I641" s="3">
        <v>5</v>
      </c>
      <c r="J641" s="5">
        <v>5105</v>
      </c>
      <c r="K641" s="7">
        <v>25525</v>
      </c>
      <c r="L641" s="6">
        <v>45347</v>
      </c>
      <c r="M641" s="8" t="str">
        <f>IF(K641&gt;10000,"High",IF(K641&gt;5000,"Medium","Low"))</f>
        <v>High</v>
      </c>
      <c r="N641" s="4" t="s">
        <v>241</v>
      </c>
      <c r="O641" s="3">
        <v>2</v>
      </c>
      <c r="P641" s="3">
        <v>2024</v>
      </c>
      <c r="T641" s="4"/>
      <c r="X641"/>
      <c r="Y641" s="3"/>
      <c r="AA641"/>
    </row>
    <row r="642" spans="1:27" x14ac:dyDescent="0.3">
      <c r="A642" s="3">
        <v>1240</v>
      </c>
      <c r="B642" s="4" t="s">
        <v>25</v>
      </c>
      <c r="C642" s="4" t="str">
        <f>IF(D642="","Unknown",IF(D642&lt;20,"Teen",IF(D642&lt;40,"Adult","Senior")))</f>
        <v>Adult</v>
      </c>
      <c r="D642" s="3">
        <v>30</v>
      </c>
      <c r="E642" s="3" t="s">
        <v>250</v>
      </c>
      <c r="F642" s="4" t="s">
        <v>40</v>
      </c>
      <c r="G642" s="4" t="s">
        <v>12</v>
      </c>
      <c r="H642" t="s">
        <v>13</v>
      </c>
      <c r="I642" s="3">
        <v>3</v>
      </c>
      <c r="J642" s="5">
        <v>23030</v>
      </c>
      <c r="K642" s="7">
        <v>69090</v>
      </c>
      <c r="L642" s="6">
        <v>45324</v>
      </c>
      <c r="M642" s="8" t="str">
        <f>IF(K642&gt;10000,"High",IF(K642&gt;5000,"Medium","Low"))</f>
        <v>High</v>
      </c>
      <c r="N642" s="4" t="s">
        <v>240</v>
      </c>
      <c r="O642" s="3">
        <v>2</v>
      </c>
      <c r="P642" s="3">
        <v>2024</v>
      </c>
      <c r="T642" s="4"/>
      <c r="X642"/>
      <c r="Y642" s="3"/>
      <c r="AA642"/>
    </row>
    <row r="643" spans="1:27" x14ac:dyDescent="0.3">
      <c r="A643" s="3">
        <v>1245</v>
      </c>
      <c r="B643" s="4" t="s">
        <v>21</v>
      </c>
      <c r="C643" s="4" t="str">
        <f>IF(D643="","Unknown",IF(D643&lt;20,"Teen",IF(D643&lt;40,"Adult","Senior")))</f>
        <v>Adult</v>
      </c>
      <c r="D643" s="3">
        <v>37</v>
      </c>
      <c r="E643" s="3" t="s">
        <v>249</v>
      </c>
      <c r="F643" s="4" t="s">
        <v>40</v>
      </c>
      <c r="G643" s="4" t="s">
        <v>51</v>
      </c>
      <c r="H643" t="s">
        <v>13</v>
      </c>
      <c r="I643" s="3">
        <v>2</v>
      </c>
      <c r="J643" s="5">
        <v>1000</v>
      </c>
      <c r="K643" s="7">
        <v>2000</v>
      </c>
      <c r="L643" s="6">
        <v>45337</v>
      </c>
      <c r="M643" s="8" t="str">
        <f>IF(K643&gt;10000,"High",IF(K643&gt;5000,"Medium","Low"))</f>
        <v>Low</v>
      </c>
      <c r="N643" s="4" t="s">
        <v>244</v>
      </c>
      <c r="O643" s="3">
        <v>2</v>
      </c>
      <c r="P643" s="3">
        <v>2024</v>
      </c>
      <c r="T643" s="4"/>
      <c r="X643"/>
      <c r="Y643" s="3"/>
      <c r="AA643"/>
    </row>
    <row r="644" spans="1:27" x14ac:dyDescent="0.3">
      <c r="A644" s="3">
        <v>1248</v>
      </c>
      <c r="B644" s="4" t="s">
        <v>69</v>
      </c>
      <c r="C644" s="4" t="str">
        <f>IF(D644="","Unknown",IF(D644&lt;20,"Teen",IF(D644&lt;40,"Adult","Senior")))</f>
        <v>Adult</v>
      </c>
      <c r="D644" s="3">
        <v>30</v>
      </c>
      <c r="E644" s="3" t="s">
        <v>250</v>
      </c>
      <c r="F644" s="4" t="s">
        <v>40</v>
      </c>
      <c r="G644" s="4" t="s">
        <v>18</v>
      </c>
      <c r="H644" t="s">
        <v>30</v>
      </c>
      <c r="I644" s="3">
        <v>2</v>
      </c>
      <c r="J644" s="5">
        <v>1000</v>
      </c>
      <c r="K644" s="7">
        <v>2000</v>
      </c>
      <c r="L644" s="6">
        <v>45337</v>
      </c>
      <c r="M644" s="8" t="str">
        <f>IF(K644&gt;10000,"High",IF(K644&gt;5000,"Medium","Low"))</f>
        <v>Low</v>
      </c>
      <c r="N644" s="4" t="s">
        <v>241</v>
      </c>
      <c r="O644" s="3">
        <v>2</v>
      </c>
      <c r="P644" s="3">
        <v>2024</v>
      </c>
      <c r="T644" s="4"/>
      <c r="X644"/>
      <c r="Y644" s="3"/>
      <c r="AA644"/>
    </row>
    <row r="645" spans="1:27" x14ac:dyDescent="0.3">
      <c r="A645" s="3">
        <v>1249</v>
      </c>
      <c r="B645" s="4" t="s">
        <v>25</v>
      </c>
      <c r="C645" s="4" t="str">
        <f>IF(D645="","Unknown",IF(D645&lt;20,"Teen",IF(D645&lt;40,"Adult","Senior")))</f>
        <v>Adult</v>
      </c>
      <c r="D645" s="3">
        <v>30</v>
      </c>
      <c r="E645" s="3" t="s">
        <v>250</v>
      </c>
      <c r="F645" s="4" t="s">
        <v>17</v>
      </c>
      <c r="G645" s="4" t="s">
        <v>12</v>
      </c>
      <c r="H645" t="s">
        <v>13</v>
      </c>
      <c r="I645" s="3">
        <v>2</v>
      </c>
      <c r="J645" s="5">
        <v>1000</v>
      </c>
      <c r="K645" s="7">
        <v>2000</v>
      </c>
      <c r="L645" s="6">
        <v>45340</v>
      </c>
      <c r="M645" s="8" t="str">
        <f>IF(K645&gt;10000,"High",IF(K645&gt;5000,"Medium","Low"))</f>
        <v>Low</v>
      </c>
      <c r="N645" s="4" t="s">
        <v>241</v>
      </c>
      <c r="O645" s="3">
        <v>2</v>
      </c>
      <c r="P645" s="3">
        <v>2024</v>
      </c>
      <c r="T645" s="4"/>
      <c r="X645"/>
      <c r="Y645" s="3"/>
      <c r="AA645"/>
    </row>
    <row r="646" spans="1:27" x14ac:dyDescent="0.3">
      <c r="A646" s="3">
        <v>1250</v>
      </c>
      <c r="B646" s="4" t="s">
        <v>38</v>
      </c>
      <c r="C646" s="4" t="str">
        <f>IF(D646="","Unknown",IF(D646&lt;20,"Teen",IF(D646&lt;40,"Adult","Senior")))</f>
        <v>Adult</v>
      </c>
      <c r="D646" s="3">
        <v>30</v>
      </c>
      <c r="E646" s="3" t="s">
        <v>250</v>
      </c>
      <c r="F646" s="4" t="s">
        <v>17</v>
      </c>
      <c r="G646" s="4" t="s">
        <v>12</v>
      </c>
      <c r="H646" t="s">
        <v>13</v>
      </c>
      <c r="I646" s="3">
        <v>2</v>
      </c>
      <c r="J646" s="5">
        <v>2753</v>
      </c>
      <c r="K646" s="7">
        <v>5506</v>
      </c>
      <c r="L646" s="6">
        <v>45342</v>
      </c>
      <c r="M646" s="8" t="str">
        <f>IF(K646&gt;10000,"High",IF(K646&gt;5000,"Medium","Low"))</f>
        <v>Medium</v>
      </c>
      <c r="N646" s="4" t="s">
        <v>244</v>
      </c>
      <c r="O646" s="3">
        <v>2</v>
      </c>
      <c r="P646" s="3">
        <v>2024</v>
      </c>
      <c r="T646" s="4"/>
      <c r="X646"/>
      <c r="Y646" s="3"/>
      <c r="AA646"/>
    </row>
    <row r="647" spans="1:27" x14ac:dyDescent="0.3">
      <c r="A647" s="3">
        <v>1251</v>
      </c>
      <c r="B647" s="4" t="s">
        <v>62</v>
      </c>
      <c r="C647" s="4" t="str">
        <f>IF(D647="","Unknown",IF(D647&lt;20,"Teen",IF(D647&lt;40,"Adult","Senior")))</f>
        <v>Adult</v>
      </c>
      <c r="D647" s="3">
        <v>30</v>
      </c>
      <c r="E647" s="3" t="s">
        <v>250</v>
      </c>
      <c r="F647" s="4" t="s">
        <v>40</v>
      </c>
      <c r="G647" s="4" t="s">
        <v>23</v>
      </c>
      <c r="H647" t="s">
        <v>30</v>
      </c>
      <c r="I647" s="3">
        <v>2</v>
      </c>
      <c r="J647" s="5">
        <v>1000</v>
      </c>
      <c r="K647" s="7">
        <v>2000</v>
      </c>
      <c r="L647" s="6">
        <v>45326</v>
      </c>
      <c r="M647" s="8" t="str">
        <f>IF(K647&gt;10000,"High",IF(K647&gt;5000,"Medium","Low"))</f>
        <v>Low</v>
      </c>
      <c r="N647" s="4" t="s">
        <v>243</v>
      </c>
      <c r="O647" s="3">
        <v>2</v>
      </c>
      <c r="P647" s="3">
        <v>2024</v>
      </c>
      <c r="T647" s="4"/>
      <c r="X647"/>
      <c r="Y647" s="3"/>
      <c r="AA647"/>
    </row>
    <row r="648" spans="1:27" x14ac:dyDescent="0.3">
      <c r="A648" s="3">
        <v>1252</v>
      </c>
      <c r="B648" s="4" t="s">
        <v>78</v>
      </c>
      <c r="C648" s="4" t="str">
        <f>IF(D648="","Unknown",IF(D648&lt;20,"Teen",IF(D648&lt;40,"Adult","Senior")))</f>
        <v>Adult</v>
      </c>
      <c r="D648" s="3">
        <v>30</v>
      </c>
      <c r="E648" s="3" t="s">
        <v>250</v>
      </c>
      <c r="F648" s="4" t="s">
        <v>40</v>
      </c>
      <c r="G648" s="4" t="s">
        <v>44</v>
      </c>
      <c r="H648" t="s">
        <v>36</v>
      </c>
      <c r="I648" s="3">
        <v>3</v>
      </c>
      <c r="J648" s="5">
        <v>37585</v>
      </c>
      <c r="K648" s="7">
        <v>112755</v>
      </c>
      <c r="L648" s="6">
        <v>45324</v>
      </c>
      <c r="M648" s="8" t="str">
        <f>IF(K648&gt;10000,"High",IF(K648&gt;5000,"Medium","Low"))</f>
        <v>High</v>
      </c>
      <c r="N648" s="4" t="s">
        <v>240</v>
      </c>
      <c r="O648" s="3">
        <v>2</v>
      </c>
      <c r="P648" s="3">
        <v>2024</v>
      </c>
      <c r="T648" s="4"/>
      <c r="X648"/>
      <c r="Y648" s="3"/>
      <c r="AA648"/>
    </row>
    <row r="649" spans="1:27" x14ac:dyDescent="0.3">
      <c r="A649" s="3">
        <v>1255</v>
      </c>
      <c r="B649" s="4" t="s">
        <v>57</v>
      </c>
      <c r="C649" s="4" t="str">
        <f>IF(D649="","Unknown",IF(D649&lt;20,"Teen",IF(D649&lt;40,"Adult","Senior")))</f>
        <v>Adult</v>
      </c>
      <c r="D649" s="3">
        <v>30</v>
      </c>
      <c r="E649" s="3" t="s">
        <v>250</v>
      </c>
      <c r="F649" s="4" t="s">
        <v>17</v>
      </c>
      <c r="G649" s="4" t="s">
        <v>23</v>
      </c>
      <c r="H649" t="s">
        <v>30</v>
      </c>
      <c r="I649" s="3">
        <v>2</v>
      </c>
      <c r="J649" s="5">
        <v>1668</v>
      </c>
      <c r="K649" s="7">
        <v>3336</v>
      </c>
      <c r="L649" s="6">
        <v>45349</v>
      </c>
      <c r="M649" s="8" t="str">
        <f>IF(K649&gt;10000,"High",IF(K649&gt;5000,"Medium","Low"))</f>
        <v>Low</v>
      </c>
      <c r="N649" s="4" t="s">
        <v>240</v>
      </c>
      <c r="O649" s="3">
        <v>2</v>
      </c>
      <c r="P649" s="3">
        <v>2024</v>
      </c>
      <c r="T649" s="4"/>
      <c r="X649"/>
      <c r="Y649" s="3"/>
      <c r="AA649"/>
    </row>
    <row r="650" spans="1:27" x14ac:dyDescent="0.3">
      <c r="A650" s="3">
        <v>1256</v>
      </c>
      <c r="B650" s="4" t="s">
        <v>57</v>
      </c>
      <c r="C650" s="4" t="str">
        <f>IF(D650="","Unknown",IF(D650&lt;20,"Teen",IF(D650&lt;40,"Adult","Senior")))</f>
        <v>Teen</v>
      </c>
      <c r="D650" s="3">
        <v>19</v>
      </c>
      <c r="E650" s="3" t="s">
        <v>251</v>
      </c>
      <c r="F650" s="4" t="s">
        <v>40</v>
      </c>
      <c r="G650" s="4" t="s">
        <v>23</v>
      </c>
      <c r="H650" t="s">
        <v>30</v>
      </c>
      <c r="I650" s="3">
        <v>2</v>
      </c>
      <c r="J650" s="5">
        <v>15617</v>
      </c>
      <c r="K650" s="7">
        <v>31234</v>
      </c>
      <c r="L650" s="6">
        <v>45325</v>
      </c>
      <c r="M650" s="8" t="str">
        <f>IF(K650&gt;10000,"High",IF(K650&gt;5000,"Medium","Low"))</f>
        <v>High</v>
      </c>
      <c r="N650" s="4" t="s">
        <v>244</v>
      </c>
      <c r="O650" s="3">
        <v>2</v>
      </c>
      <c r="P650" s="3">
        <v>2024</v>
      </c>
      <c r="T650" s="4"/>
      <c r="X650"/>
      <c r="Y650" s="3"/>
      <c r="AA650"/>
    </row>
    <row r="651" spans="1:27" x14ac:dyDescent="0.3">
      <c r="A651" s="3">
        <v>1259</v>
      </c>
      <c r="B651" s="4" t="s">
        <v>59</v>
      </c>
      <c r="C651" s="4" t="str">
        <f>IF(D651="","Unknown",IF(D651&lt;20,"Teen",IF(D651&lt;40,"Adult","Senior")))</f>
        <v>Adult</v>
      </c>
      <c r="D651" s="3">
        <v>30</v>
      </c>
      <c r="E651" s="3" t="s">
        <v>250</v>
      </c>
      <c r="F651" s="4" t="s">
        <v>40</v>
      </c>
      <c r="G651" s="4" t="s">
        <v>23</v>
      </c>
      <c r="H651" t="s">
        <v>30</v>
      </c>
      <c r="I651" s="3">
        <v>2</v>
      </c>
      <c r="J651" s="5">
        <v>1000</v>
      </c>
      <c r="K651" s="7">
        <v>2000</v>
      </c>
      <c r="L651" s="6">
        <v>45343</v>
      </c>
      <c r="M651" s="8" t="str">
        <f>IF(K651&gt;10000,"High",IF(K651&gt;5000,"Medium","Low"))</f>
        <v>Low</v>
      </c>
      <c r="N651" s="4" t="s">
        <v>242</v>
      </c>
      <c r="O651" s="3">
        <v>2</v>
      </c>
      <c r="P651" s="3">
        <v>2024</v>
      </c>
      <c r="T651" s="4"/>
      <c r="X651"/>
      <c r="Y651" s="3"/>
      <c r="AA651"/>
    </row>
    <row r="652" spans="1:27" x14ac:dyDescent="0.3">
      <c r="A652" s="3">
        <v>1261</v>
      </c>
      <c r="B652" s="4" t="s">
        <v>48</v>
      </c>
      <c r="C652" s="4" t="str">
        <f>IF(D652="","Unknown",IF(D652&lt;20,"Teen",IF(D652&lt;40,"Adult","Senior")))</f>
        <v>Adult</v>
      </c>
      <c r="D652" s="3">
        <v>30</v>
      </c>
      <c r="E652" s="3" t="s">
        <v>250</v>
      </c>
      <c r="F652" s="4" t="s">
        <v>40</v>
      </c>
      <c r="G652" s="4" t="s">
        <v>44</v>
      </c>
      <c r="H652" t="s">
        <v>36</v>
      </c>
      <c r="I652" s="3">
        <v>2</v>
      </c>
      <c r="J652" s="5">
        <v>1000</v>
      </c>
      <c r="K652" s="7">
        <v>2000</v>
      </c>
      <c r="L652" s="6">
        <v>45328</v>
      </c>
      <c r="M652" s="8" t="str">
        <f>IF(K652&gt;10000,"High",IF(K652&gt;5000,"Medium","Low"))</f>
        <v>Low</v>
      </c>
      <c r="N652" s="4" t="s">
        <v>240</v>
      </c>
      <c r="O652" s="3">
        <v>2</v>
      </c>
      <c r="P652" s="3">
        <v>2024</v>
      </c>
      <c r="T652" s="4"/>
      <c r="X652"/>
      <c r="Y652" s="3"/>
      <c r="AA652"/>
    </row>
    <row r="653" spans="1:27" x14ac:dyDescent="0.3">
      <c r="A653" s="3">
        <v>1263</v>
      </c>
      <c r="B653" s="4" t="s">
        <v>21</v>
      </c>
      <c r="C653" s="4" t="str">
        <f>IF(D653="","Unknown",IF(D653&lt;20,"Teen",IF(D653&lt;40,"Adult","Senior")))</f>
        <v>Adult</v>
      </c>
      <c r="D653" s="3">
        <v>30</v>
      </c>
      <c r="E653" s="3" t="s">
        <v>250</v>
      </c>
      <c r="F653" s="4" t="s">
        <v>40</v>
      </c>
      <c r="G653" s="4" t="s">
        <v>12</v>
      </c>
      <c r="H653" t="s">
        <v>13</v>
      </c>
      <c r="I653" s="3">
        <v>2</v>
      </c>
      <c r="J653" s="5">
        <v>1000</v>
      </c>
      <c r="K653" s="7">
        <v>2000</v>
      </c>
      <c r="L653" s="6">
        <v>45340</v>
      </c>
      <c r="M653" s="8" t="str">
        <f>IF(K653&gt;10000,"High",IF(K653&gt;5000,"Medium","Low"))</f>
        <v>Low</v>
      </c>
      <c r="N653" s="4" t="s">
        <v>241</v>
      </c>
      <c r="O653" s="3">
        <v>2</v>
      </c>
      <c r="P653" s="3">
        <v>2024</v>
      </c>
      <c r="T653" s="4"/>
      <c r="X653"/>
      <c r="Y653" s="3"/>
      <c r="AA653"/>
    </row>
    <row r="654" spans="1:27" x14ac:dyDescent="0.3">
      <c r="A654" s="3">
        <v>1265</v>
      </c>
      <c r="B654" s="4" t="s">
        <v>10</v>
      </c>
      <c r="C654" s="4" t="str">
        <f>IF(D654="","Unknown",IF(D654&lt;20,"Teen",IF(D654&lt;40,"Adult","Senior")))</f>
        <v>Adult</v>
      </c>
      <c r="D654" s="3">
        <v>30</v>
      </c>
      <c r="E654" s="3" t="s">
        <v>250</v>
      </c>
      <c r="F654" s="4" t="s">
        <v>17</v>
      </c>
      <c r="G654" s="4" t="s">
        <v>41</v>
      </c>
      <c r="H654" t="s">
        <v>36</v>
      </c>
      <c r="I654" s="3">
        <v>2</v>
      </c>
      <c r="J654" s="5">
        <v>39355</v>
      </c>
      <c r="K654" s="7">
        <v>78710</v>
      </c>
      <c r="L654" s="6">
        <v>45330</v>
      </c>
      <c r="M654" s="8" t="str">
        <f>IF(K654&gt;10000,"High",IF(K654&gt;5000,"Medium","Low"))</f>
        <v>High</v>
      </c>
      <c r="N654" s="4" t="s">
        <v>244</v>
      </c>
      <c r="O654" s="3">
        <v>2</v>
      </c>
      <c r="P654" s="3">
        <v>2024</v>
      </c>
      <c r="T654" s="4"/>
      <c r="X654"/>
      <c r="Y654" s="3"/>
      <c r="AA654"/>
    </row>
    <row r="655" spans="1:27" x14ac:dyDescent="0.3">
      <c r="A655" s="3">
        <v>1269</v>
      </c>
      <c r="B655" s="4" t="s">
        <v>21</v>
      </c>
      <c r="C655" s="4" t="str">
        <f>IF(D655="","Unknown",IF(D655&lt;20,"Teen",IF(D655&lt;40,"Adult","Senior")))</f>
        <v>Adult</v>
      </c>
      <c r="D655" s="3">
        <v>26</v>
      </c>
      <c r="E655" s="3" t="s">
        <v>250</v>
      </c>
      <c r="F655" s="4" t="s">
        <v>17</v>
      </c>
      <c r="G655" s="4" t="s">
        <v>23</v>
      </c>
      <c r="H655" t="s">
        <v>30</v>
      </c>
      <c r="I655" s="3">
        <v>1</v>
      </c>
      <c r="J655" s="5">
        <v>13179</v>
      </c>
      <c r="K655" s="7">
        <v>13179</v>
      </c>
      <c r="L655" s="6">
        <v>45344</v>
      </c>
      <c r="M655" s="8" t="str">
        <f>IF(K655&gt;10000,"High",IF(K655&gt;5000,"Medium","Low"))</f>
        <v>High</v>
      </c>
      <c r="N655" s="4" t="s">
        <v>243</v>
      </c>
      <c r="O655" s="3">
        <v>2</v>
      </c>
      <c r="P655" s="3">
        <v>2024</v>
      </c>
      <c r="T655" s="4"/>
      <c r="X655"/>
      <c r="Y655" s="3"/>
      <c r="AA655"/>
    </row>
    <row r="656" spans="1:27" x14ac:dyDescent="0.3">
      <c r="A656" s="3">
        <v>1270</v>
      </c>
      <c r="B656" s="4" t="s">
        <v>68</v>
      </c>
      <c r="C656" s="4" t="str">
        <f>IF(D656="","Unknown",IF(D656&lt;20,"Teen",IF(D656&lt;40,"Adult","Senior")))</f>
        <v>Senior</v>
      </c>
      <c r="D656" s="3">
        <v>49</v>
      </c>
      <c r="E656" s="3" t="s">
        <v>249</v>
      </c>
      <c r="F656" s="4" t="s">
        <v>17</v>
      </c>
      <c r="G656" s="4" t="s">
        <v>18</v>
      </c>
      <c r="H656" t="s">
        <v>30</v>
      </c>
      <c r="I656" s="3">
        <v>2</v>
      </c>
      <c r="J656" s="5">
        <v>1000</v>
      </c>
      <c r="K656" s="7">
        <v>2000</v>
      </c>
      <c r="L656" s="6">
        <v>45348</v>
      </c>
      <c r="M656" s="8" t="str">
        <f>IF(K656&gt;10000,"High",IF(K656&gt;5000,"Medium","Low"))</f>
        <v>Low</v>
      </c>
      <c r="N656" s="4" t="s">
        <v>242</v>
      </c>
      <c r="O656" s="3">
        <v>2</v>
      </c>
      <c r="P656" s="3">
        <v>2024</v>
      </c>
      <c r="T656" s="4"/>
      <c r="X656"/>
      <c r="Y656" s="3"/>
      <c r="AA656"/>
    </row>
    <row r="657" spans="1:27" x14ac:dyDescent="0.3">
      <c r="A657" s="3">
        <v>1271</v>
      </c>
      <c r="B657" s="4" t="s">
        <v>69</v>
      </c>
      <c r="C657" s="4" t="str">
        <f>IF(D657="","Unknown",IF(D657&lt;20,"Teen",IF(D657&lt;40,"Adult","Senior")))</f>
        <v>Adult</v>
      </c>
      <c r="D657" s="3">
        <v>24</v>
      </c>
      <c r="E657" s="3" t="s">
        <v>250</v>
      </c>
      <c r="F657" s="4" t="s">
        <v>17</v>
      </c>
      <c r="G657" s="4" t="s">
        <v>44</v>
      </c>
      <c r="H657" t="s">
        <v>36</v>
      </c>
      <c r="I657" s="3">
        <v>3</v>
      </c>
      <c r="J657" s="5">
        <v>30059</v>
      </c>
      <c r="K657" s="7">
        <v>90177</v>
      </c>
      <c r="L657" s="6">
        <v>45336</v>
      </c>
      <c r="M657" s="8" t="str">
        <f>IF(K657&gt;10000,"High",IF(K657&gt;5000,"Medium","Low"))</f>
        <v>High</v>
      </c>
      <c r="N657" s="4" t="s">
        <v>243</v>
      </c>
      <c r="O657" s="3">
        <v>2</v>
      </c>
      <c r="P657" s="3">
        <v>2024</v>
      </c>
      <c r="T657" s="4"/>
      <c r="X657"/>
      <c r="Y657" s="3"/>
      <c r="AA657"/>
    </row>
    <row r="658" spans="1:27" x14ac:dyDescent="0.3">
      <c r="A658" s="3">
        <v>1272</v>
      </c>
      <c r="B658" s="4" t="s">
        <v>25</v>
      </c>
      <c r="C658" s="4" t="str">
        <f>IF(D658="","Unknown",IF(D658&lt;20,"Teen",IF(D658&lt;40,"Adult","Senior")))</f>
        <v>Senior</v>
      </c>
      <c r="D658" s="3">
        <v>45</v>
      </c>
      <c r="E658" s="3" t="s">
        <v>249</v>
      </c>
      <c r="F658" s="4" t="s">
        <v>40</v>
      </c>
      <c r="G658" s="4" t="s">
        <v>41</v>
      </c>
      <c r="H658" t="s">
        <v>36</v>
      </c>
      <c r="I658" s="3">
        <v>4</v>
      </c>
      <c r="J658" s="5">
        <v>8706</v>
      </c>
      <c r="K658" s="7">
        <v>34824</v>
      </c>
      <c r="L658" s="6">
        <v>45340</v>
      </c>
      <c r="M658" s="8" t="str">
        <f>IF(K658&gt;10000,"High",IF(K658&gt;5000,"Medium","Low"))</f>
        <v>High</v>
      </c>
      <c r="N658" s="4" t="s">
        <v>243</v>
      </c>
      <c r="O658" s="3">
        <v>2</v>
      </c>
      <c r="P658" s="3">
        <v>2024</v>
      </c>
      <c r="T658" s="4"/>
      <c r="X658"/>
      <c r="Y658" s="3"/>
      <c r="AA658"/>
    </row>
    <row r="659" spans="1:27" x14ac:dyDescent="0.3">
      <c r="A659" s="3">
        <v>1273</v>
      </c>
      <c r="B659" s="4" t="s">
        <v>25</v>
      </c>
      <c r="C659" s="4" t="str">
        <f>IF(D659="","Unknown",IF(D659&lt;20,"Teen",IF(D659&lt;40,"Adult","Senior")))</f>
        <v>Adult</v>
      </c>
      <c r="D659" s="3">
        <v>30</v>
      </c>
      <c r="E659" s="3" t="s">
        <v>250</v>
      </c>
      <c r="F659" s="4" t="s">
        <v>40</v>
      </c>
      <c r="G659" s="4" t="s">
        <v>55</v>
      </c>
      <c r="H659" t="s">
        <v>36</v>
      </c>
      <c r="I659" s="3">
        <v>2</v>
      </c>
      <c r="J659" s="5">
        <v>1000</v>
      </c>
      <c r="K659" s="7">
        <v>2000</v>
      </c>
      <c r="L659" s="6">
        <v>45348</v>
      </c>
      <c r="M659" s="8" t="str">
        <f>IF(K659&gt;10000,"High",IF(K659&gt;5000,"Medium","Low"))</f>
        <v>Low</v>
      </c>
      <c r="N659" s="4" t="s">
        <v>241</v>
      </c>
      <c r="O659" s="3">
        <v>2</v>
      </c>
      <c r="P659" s="3">
        <v>2024</v>
      </c>
      <c r="T659" s="4"/>
      <c r="X659"/>
      <c r="Y659" s="3"/>
      <c r="AA659"/>
    </row>
    <row r="660" spans="1:27" x14ac:dyDescent="0.3">
      <c r="A660" s="3">
        <v>1274</v>
      </c>
      <c r="B660" s="4" t="s">
        <v>35</v>
      </c>
      <c r="C660" s="4" t="str">
        <f>IF(D660="","Unknown",IF(D660&lt;20,"Teen",IF(D660&lt;40,"Adult","Senior")))</f>
        <v>Senior</v>
      </c>
      <c r="D660" s="3">
        <v>40</v>
      </c>
      <c r="E660" s="3" t="s">
        <v>249</v>
      </c>
      <c r="F660" s="4" t="s">
        <v>17</v>
      </c>
      <c r="G660" s="4" t="s">
        <v>18</v>
      </c>
      <c r="H660" t="s">
        <v>30</v>
      </c>
      <c r="I660" s="3">
        <v>2</v>
      </c>
      <c r="J660" s="5">
        <v>1000</v>
      </c>
      <c r="K660" s="7">
        <v>2000</v>
      </c>
      <c r="L660" s="6">
        <v>45334</v>
      </c>
      <c r="M660" s="8" t="str">
        <f>IF(K660&gt;10000,"High",IF(K660&gt;5000,"Medium","Low"))</f>
        <v>Low</v>
      </c>
      <c r="N660" s="4" t="s">
        <v>243</v>
      </c>
      <c r="O660" s="3">
        <v>2</v>
      </c>
      <c r="P660" s="3">
        <v>2024</v>
      </c>
      <c r="T660" s="4"/>
      <c r="X660"/>
      <c r="Y660" s="3"/>
      <c r="AA660"/>
    </row>
    <row r="661" spans="1:27" x14ac:dyDescent="0.3">
      <c r="A661" s="3">
        <v>1277</v>
      </c>
      <c r="B661" s="4" t="s">
        <v>62</v>
      </c>
      <c r="C661" s="4" t="str">
        <f>IF(D661="","Unknown",IF(D661&lt;20,"Teen",IF(D661&lt;40,"Adult","Senior")))</f>
        <v>Senior</v>
      </c>
      <c r="D661" s="3">
        <v>40</v>
      </c>
      <c r="E661" s="3" t="s">
        <v>249</v>
      </c>
      <c r="F661" s="4" t="s">
        <v>40</v>
      </c>
      <c r="G661" s="4" t="s">
        <v>44</v>
      </c>
      <c r="H661" t="s">
        <v>36</v>
      </c>
      <c r="I661" s="3">
        <v>2</v>
      </c>
      <c r="J661" s="5">
        <v>1000</v>
      </c>
      <c r="K661" s="7">
        <v>2000</v>
      </c>
      <c r="L661" s="6">
        <v>45325</v>
      </c>
      <c r="M661" s="8" t="str">
        <f>IF(K661&gt;10000,"High",IF(K661&gt;5000,"Medium","Low"))</f>
        <v>Low</v>
      </c>
      <c r="N661" s="4" t="s">
        <v>244</v>
      </c>
      <c r="O661" s="3">
        <v>2</v>
      </c>
      <c r="P661" s="3">
        <v>2024</v>
      </c>
      <c r="T661" s="4"/>
      <c r="X661"/>
      <c r="Y661" s="3"/>
      <c r="AA661"/>
    </row>
    <row r="662" spans="1:27" x14ac:dyDescent="0.3">
      <c r="A662" s="3">
        <v>1278</v>
      </c>
      <c r="B662" s="4" t="s">
        <v>54</v>
      </c>
      <c r="C662" s="4" t="str">
        <f>IF(D662="","Unknown",IF(D662&lt;20,"Teen",IF(D662&lt;40,"Adult","Senior")))</f>
        <v>Adult</v>
      </c>
      <c r="D662" s="3">
        <v>30</v>
      </c>
      <c r="E662" s="3" t="s">
        <v>250</v>
      </c>
      <c r="F662" s="4" t="s">
        <v>40</v>
      </c>
      <c r="G662" s="4" t="s">
        <v>12</v>
      </c>
      <c r="H662" t="s">
        <v>13</v>
      </c>
      <c r="I662" s="3">
        <v>3</v>
      </c>
      <c r="J662" s="5">
        <v>1000</v>
      </c>
      <c r="K662" s="7">
        <v>3000</v>
      </c>
      <c r="L662" s="6">
        <v>45338</v>
      </c>
      <c r="M662" s="8" t="str">
        <f>IF(K662&gt;10000,"High",IF(K662&gt;5000,"Medium","Low"))</f>
        <v>Low</v>
      </c>
      <c r="N662" s="4" t="s">
        <v>244</v>
      </c>
      <c r="O662" s="3">
        <v>2</v>
      </c>
      <c r="P662" s="3">
        <v>2024</v>
      </c>
      <c r="T662" s="4"/>
      <c r="X662"/>
      <c r="Y662" s="3"/>
      <c r="AA662"/>
    </row>
    <row r="663" spans="1:27" x14ac:dyDescent="0.3">
      <c r="A663" s="3">
        <v>1285</v>
      </c>
      <c r="B663" s="4" t="s">
        <v>62</v>
      </c>
      <c r="C663" s="4" t="str">
        <f>IF(D663="","Unknown",IF(D663&lt;20,"Teen",IF(D663&lt;40,"Adult","Senior")))</f>
        <v>Adult</v>
      </c>
      <c r="D663" s="3">
        <v>30</v>
      </c>
      <c r="E663" s="3" t="s">
        <v>250</v>
      </c>
      <c r="F663" s="4" t="s">
        <v>40</v>
      </c>
      <c r="G663" s="4" t="s">
        <v>55</v>
      </c>
      <c r="H663" t="s">
        <v>36</v>
      </c>
      <c r="I663" s="3">
        <v>2</v>
      </c>
      <c r="J663" s="5">
        <v>1000</v>
      </c>
      <c r="K663" s="7">
        <v>2000</v>
      </c>
      <c r="L663" s="6">
        <v>45331</v>
      </c>
      <c r="M663" s="8" t="str">
        <f>IF(K663&gt;10000,"High",IF(K663&gt;5000,"Medium","Low"))</f>
        <v>Low</v>
      </c>
      <c r="N663" s="4" t="s">
        <v>244</v>
      </c>
      <c r="O663" s="3">
        <v>2</v>
      </c>
      <c r="P663" s="3">
        <v>2024</v>
      </c>
      <c r="T663" s="4"/>
      <c r="X663"/>
      <c r="Y663" s="3"/>
      <c r="AA663"/>
    </row>
    <row r="664" spans="1:27" x14ac:dyDescent="0.3">
      <c r="A664" s="3">
        <v>1288</v>
      </c>
      <c r="B664" s="4" t="s">
        <v>54</v>
      </c>
      <c r="C664" s="4" t="str">
        <f>IF(D664="","Unknown",IF(D664&lt;20,"Teen",IF(D664&lt;40,"Adult","Senior")))</f>
        <v>Adult</v>
      </c>
      <c r="D664" s="3">
        <v>30</v>
      </c>
      <c r="E664" s="3" t="s">
        <v>250</v>
      </c>
      <c r="F664" s="4" t="s">
        <v>17</v>
      </c>
      <c r="G664" s="4" t="s">
        <v>27</v>
      </c>
      <c r="H664" t="s">
        <v>13</v>
      </c>
      <c r="I664" s="3">
        <v>2</v>
      </c>
      <c r="J664" s="5">
        <v>1000</v>
      </c>
      <c r="K664" s="7">
        <v>2000</v>
      </c>
      <c r="L664" s="6">
        <v>45343</v>
      </c>
      <c r="M664" s="8" t="str">
        <f>IF(K664&gt;10000,"High",IF(K664&gt;5000,"Medium","Low"))</f>
        <v>Low</v>
      </c>
      <c r="N664" s="4" t="s">
        <v>241</v>
      </c>
      <c r="O664" s="3">
        <v>2</v>
      </c>
      <c r="P664" s="3">
        <v>2024</v>
      </c>
      <c r="T664" s="4"/>
      <c r="X664"/>
      <c r="Y664" s="3"/>
      <c r="AA664"/>
    </row>
    <row r="665" spans="1:27" x14ac:dyDescent="0.3">
      <c r="A665" s="3">
        <v>1289</v>
      </c>
      <c r="B665" s="4" t="s">
        <v>10</v>
      </c>
      <c r="C665" s="4" t="str">
        <f>IF(D665="","Unknown",IF(D665&lt;20,"Teen",IF(D665&lt;40,"Adult","Senior")))</f>
        <v>Senior</v>
      </c>
      <c r="D665" s="3">
        <v>41</v>
      </c>
      <c r="E665" s="3" t="s">
        <v>249</v>
      </c>
      <c r="F665" s="4" t="s">
        <v>40</v>
      </c>
      <c r="G665" s="4" t="s">
        <v>23</v>
      </c>
      <c r="H665" t="s">
        <v>30</v>
      </c>
      <c r="I665" s="3">
        <v>2</v>
      </c>
      <c r="J665" s="5">
        <v>1000</v>
      </c>
      <c r="K665" s="7">
        <v>2000</v>
      </c>
      <c r="L665" s="6">
        <v>45325</v>
      </c>
      <c r="M665" s="8" t="str">
        <f>IF(K665&gt;10000,"High",IF(K665&gt;5000,"Medium","Low"))</f>
        <v>Low</v>
      </c>
      <c r="N665" s="4" t="s">
        <v>241</v>
      </c>
      <c r="O665" s="3">
        <v>2</v>
      </c>
      <c r="P665" s="3">
        <v>2024</v>
      </c>
      <c r="T665" s="4"/>
      <c r="X665"/>
      <c r="Y665" s="3"/>
      <c r="AA665"/>
    </row>
    <row r="666" spans="1:27" x14ac:dyDescent="0.3">
      <c r="A666" s="3">
        <v>1293</v>
      </c>
      <c r="B666" s="4" t="s">
        <v>21</v>
      </c>
      <c r="C666" s="4" t="str">
        <f>IF(D666="","Unknown",IF(D666&lt;20,"Teen",IF(D666&lt;40,"Adult","Senior")))</f>
        <v>Adult</v>
      </c>
      <c r="D666" s="3">
        <v>37</v>
      </c>
      <c r="E666" s="3" t="s">
        <v>249</v>
      </c>
      <c r="F666" s="4" t="s">
        <v>17</v>
      </c>
      <c r="G666" s="4" t="s">
        <v>12</v>
      </c>
      <c r="H666" t="s">
        <v>13</v>
      </c>
      <c r="I666" s="3">
        <v>5</v>
      </c>
      <c r="J666" s="5">
        <v>1000</v>
      </c>
      <c r="K666" s="7">
        <v>5000</v>
      </c>
      <c r="L666" s="6">
        <v>45340</v>
      </c>
      <c r="M666" s="8" t="str">
        <f>IF(K666&gt;10000,"High",IF(K666&gt;5000,"Medium","Low"))</f>
        <v>Low</v>
      </c>
      <c r="N666" s="4" t="s">
        <v>244</v>
      </c>
      <c r="O666" s="3">
        <v>2</v>
      </c>
      <c r="P666" s="3">
        <v>2024</v>
      </c>
      <c r="T666" s="4"/>
      <c r="X666"/>
      <c r="Y666" s="3"/>
      <c r="AA666"/>
    </row>
    <row r="667" spans="1:27" x14ac:dyDescent="0.3">
      <c r="A667" s="3">
        <v>1296</v>
      </c>
      <c r="B667" s="4" t="s">
        <v>25</v>
      </c>
      <c r="C667" s="4" t="str">
        <f>IF(D667="","Unknown",IF(D667&lt;20,"Teen",IF(D667&lt;40,"Adult","Senior")))</f>
        <v>Adult</v>
      </c>
      <c r="D667" s="3">
        <v>30</v>
      </c>
      <c r="E667" s="3" t="s">
        <v>250</v>
      </c>
      <c r="F667" s="4" t="s">
        <v>40</v>
      </c>
      <c r="G667" s="4" t="s">
        <v>12</v>
      </c>
      <c r="H667" t="s">
        <v>13</v>
      </c>
      <c r="I667" s="3">
        <v>3</v>
      </c>
      <c r="J667" s="5">
        <v>12583</v>
      </c>
      <c r="K667" s="7">
        <v>37749</v>
      </c>
      <c r="L667" s="6">
        <v>45323</v>
      </c>
      <c r="M667" s="8" t="str">
        <f>IF(K667&gt;10000,"High",IF(K667&gt;5000,"Medium","Low"))</f>
        <v>High</v>
      </c>
      <c r="N667" s="4" t="s">
        <v>244</v>
      </c>
      <c r="O667" s="3">
        <v>2</v>
      </c>
      <c r="P667" s="3">
        <v>2024</v>
      </c>
      <c r="T667" s="4"/>
      <c r="X667"/>
      <c r="Y667" s="3"/>
      <c r="AA667"/>
    </row>
    <row r="668" spans="1:27" x14ac:dyDescent="0.3">
      <c r="A668" s="3">
        <v>1297</v>
      </c>
      <c r="B668" s="4" t="s">
        <v>68</v>
      </c>
      <c r="C668" s="4" t="str">
        <f>IF(D668="","Unknown",IF(D668&lt;20,"Teen",IF(D668&lt;40,"Adult","Senior")))</f>
        <v>Senior</v>
      </c>
      <c r="D668" s="3">
        <v>49</v>
      </c>
      <c r="E668" s="3" t="s">
        <v>249</v>
      </c>
      <c r="F668" s="4" t="s">
        <v>17</v>
      </c>
      <c r="G668" s="4" t="s">
        <v>12</v>
      </c>
      <c r="H668" t="s">
        <v>13</v>
      </c>
      <c r="I668" s="3">
        <v>2</v>
      </c>
      <c r="J668" s="5">
        <v>1000</v>
      </c>
      <c r="K668" s="7">
        <v>2000</v>
      </c>
      <c r="L668" s="6">
        <v>45329</v>
      </c>
      <c r="M668" s="8" t="str">
        <f>IF(K668&gt;10000,"High",IF(K668&gt;5000,"Medium","Low"))</f>
        <v>Low</v>
      </c>
      <c r="N668" s="4" t="s">
        <v>244</v>
      </c>
      <c r="O668" s="3">
        <v>2</v>
      </c>
      <c r="P668" s="3">
        <v>2024</v>
      </c>
      <c r="T668" s="4"/>
      <c r="X668"/>
      <c r="Y668" s="3"/>
      <c r="AA668"/>
    </row>
    <row r="669" spans="1:27" x14ac:dyDescent="0.3">
      <c r="A669" s="3">
        <v>1300</v>
      </c>
      <c r="B669" s="4" t="s">
        <v>46</v>
      </c>
      <c r="C669" s="4" t="str">
        <f>IF(D669="","Unknown",IF(D669&lt;20,"Teen",IF(D669&lt;40,"Adult","Senior")))</f>
        <v>Adult</v>
      </c>
      <c r="D669" s="3">
        <v>30</v>
      </c>
      <c r="E669" s="3" t="s">
        <v>250</v>
      </c>
      <c r="F669" s="4" t="s">
        <v>40</v>
      </c>
      <c r="G669" s="4" t="s">
        <v>51</v>
      </c>
      <c r="H669" t="s">
        <v>13</v>
      </c>
      <c r="I669" s="3">
        <v>1</v>
      </c>
      <c r="J669" s="5">
        <v>25097</v>
      </c>
      <c r="K669" s="7">
        <v>25097</v>
      </c>
      <c r="L669" s="6">
        <v>45326</v>
      </c>
      <c r="M669" s="8" t="str">
        <f>IF(K669&gt;10000,"High",IF(K669&gt;5000,"Medium","Low"))</f>
        <v>High</v>
      </c>
      <c r="N669" s="4" t="s">
        <v>240</v>
      </c>
      <c r="O669" s="3">
        <v>2</v>
      </c>
      <c r="P669" s="3">
        <v>2024</v>
      </c>
      <c r="T669" s="4"/>
      <c r="X669"/>
      <c r="Y669" s="3"/>
      <c r="AA669"/>
    </row>
    <row r="670" spans="1:27" x14ac:dyDescent="0.3">
      <c r="A670" s="3">
        <v>1302</v>
      </c>
      <c r="B670" s="4" t="s">
        <v>10</v>
      </c>
      <c r="C670" s="4" t="str">
        <f>IF(D670="","Unknown",IF(D670&lt;20,"Teen",IF(D670&lt;40,"Adult","Senior")))</f>
        <v>Adult</v>
      </c>
      <c r="D670" s="3">
        <v>30</v>
      </c>
      <c r="E670" s="3" t="s">
        <v>250</v>
      </c>
      <c r="F670" s="4" t="s">
        <v>40</v>
      </c>
      <c r="G670" s="4" t="s">
        <v>23</v>
      </c>
      <c r="H670" t="s">
        <v>30</v>
      </c>
      <c r="I670" s="3">
        <v>1</v>
      </c>
      <c r="J670" s="5">
        <v>40480</v>
      </c>
      <c r="K670" s="7">
        <v>40480</v>
      </c>
      <c r="L670" s="6">
        <v>45330</v>
      </c>
      <c r="M670" s="8" t="str">
        <f>IF(K670&gt;10000,"High",IF(K670&gt;5000,"Medium","Low"))</f>
        <v>High</v>
      </c>
      <c r="N670" s="4" t="s">
        <v>241</v>
      </c>
      <c r="O670" s="3">
        <v>2</v>
      </c>
      <c r="P670" s="3">
        <v>2024</v>
      </c>
      <c r="T670" s="4"/>
      <c r="X670"/>
      <c r="Y670" s="3"/>
      <c r="AA670"/>
    </row>
    <row r="671" spans="1:27" x14ac:dyDescent="0.3">
      <c r="A671" s="3">
        <v>1304</v>
      </c>
      <c r="B671" s="4" t="s">
        <v>57</v>
      </c>
      <c r="C671" s="4" t="str">
        <f>IF(D671="","Unknown",IF(D671&lt;20,"Teen",IF(D671&lt;40,"Adult","Senior")))</f>
        <v>Adult</v>
      </c>
      <c r="D671" s="3">
        <v>23</v>
      </c>
      <c r="E671" s="3" t="s">
        <v>250</v>
      </c>
      <c r="F671" s="4" t="s">
        <v>17</v>
      </c>
      <c r="G671" s="4" t="s">
        <v>51</v>
      </c>
      <c r="H671" t="s">
        <v>13</v>
      </c>
      <c r="I671" s="3">
        <v>3</v>
      </c>
      <c r="J671" s="5">
        <v>1000</v>
      </c>
      <c r="K671" s="7">
        <v>3000</v>
      </c>
      <c r="L671" s="6">
        <v>45346</v>
      </c>
      <c r="M671" s="8" t="str">
        <f>IF(K671&gt;10000,"High",IF(K671&gt;5000,"Medium","Low"))</f>
        <v>Low</v>
      </c>
      <c r="N671" s="4" t="s">
        <v>242</v>
      </c>
      <c r="O671" s="3">
        <v>2</v>
      </c>
      <c r="P671" s="3">
        <v>2024</v>
      </c>
      <c r="T671" s="4"/>
      <c r="X671"/>
      <c r="Y671" s="3"/>
      <c r="AA671"/>
    </row>
    <row r="672" spans="1:27" x14ac:dyDescent="0.3">
      <c r="A672" s="3">
        <v>1307</v>
      </c>
      <c r="B672" s="4" t="s">
        <v>69</v>
      </c>
      <c r="C672" s="4" t="str">
        <f>IF(D672="","Unknown",IF(D672&lt;20,"Teen",IF(D672&lt;40,"Adult","Senior")))</f>
        <v>Adult</v>
      </c>
      <c r="D672" s="3">
        <v>30</v>
      </c>
      <c r="E672" s="3" t="s">
        <v>250</v>
      </c>
      <c r="F672" s="4" t="s">
        <v>40</v>
      </c>
      <c r="G672" s="4" t="s">
        <v>55</v>
      </c>
      <c r="H672" t="s">
        <v>36</v>
      </c>
      <c r="I672" s="3">
        <v>2</v>
      </c>
      <c r="J672" s="5">
        <v>20051</v>
      </c>
      <c r="K672" s="7">
        <v>40102</v>
      </c>
      <c r="L672" s="6">
        <v>45332</v>
      </c>
      <c r="M672" s="8" t="str">
        <f>IF(K672&gt;10000,"High",IF(K672&gt;5000,"Medium","Low"))</f>
        <v>High</v>
      </c>
      <c r="N672" s="4" t="s">
        <v>241</v>
      </c>
      <c r="O672" s="3">
        <v>2</v>
      </c>
      <c r="P672" s="3">
        <v>2024</v>
      </c>
      <c r="T672" s="4"/>
      <c r="X672"/>
      <c r="Y672" s="3"/>
      <c r="AA672"/>
    </row>
    <row r="673" spans="1:27" x14ac:dyDescent="0.3">
      <c r="A673" s="3">
        <v>1308</v>
      </c>
      <c r="B673" s="4" t="s">
        <v>69</v>
      </c>
      <c r="C673" s="4" t="str">
        <f>IF(D673="","Unknown",IF(D673&lt;20,"Teen",IF(D673&lt;40,"Adult","Senior")))</f>
        <v>Adult</v>
      </c>
      <c r="D673" s="3">
        <v>30</v>
      </c>
      <c r="E673" s="3" t="s">
        <v>250</v>
      </c>
      <c r="F673" s="4" t="s">
        <v>17</v>
      </c>
      <c r="G673" s="4" t="s">
        <v>23</v>
      </c>
      <c r="H673" t="s">
        <v>30</v>
      </c>
      <c r="I673" s="3">
        <v>2</v>
      </c>
      <c r="J673" s="5">
        <v>22517</v>
      </c>
      <c r="K673" s="7">
        <v>45034</v>
      </c>
      <c r="L673" s="6">
        <v>45350</v>
      </c>
      <c r="M673" s="8" t="str">
        <f>IF(K673&gt;10000,"High",IF(K673&gt;5000,"Medium","Low"))</f>
        <v>High</v>
      </c>
      <c r="N673" s="4" t="s">
        <v>242</v>
      </c>
      <c r="O673" s="3">
        <v>2</v>
      </c>
      <c r="P673" s="3">
        <v>2024</v>
      </c>
      <c r="T673" s="4"/>
      <c r="X673"/>
      <c r="Y673" s="3"/>
      <c r="AA673"/>
    </row>
    <row r="674" spans="1:27" x14ac:dyDescent="0.3">
      <c r="A674" s="3">
        <v>1310</v>
      </c>
      <c r="B674" s="4" t="s">
        <v>64</v>
      </c>
      <c r="C674" s="4" t="str">
        <f>IF(D674="","Unknown",IF(D674&lt;20,"Teen",IF(D674&lt;40,"Adult","Senior")))</f>
        <v>Adult</v>
      </c>
      <c r="D674" s="3">
        <v>30</v>
      </c>
      <c r="E674" s="3" t="s">
        <v>250</v>
      </c>
      <c r="F674" s="4" t="s">
        <v>17</v>
      </c>
      <c r="G674" s="4" t="s">
        <v>27</v>
      </c>
      <c r="H674" t="s">
        <v>13</v>
      </c>
      <c r="I674" s="3">
        <v>2</v>
      </c>
      <c r="J674" s="5">
        <v>7277</v>
      </c>
      <c r="K674" s="7">
        <v>14554</v>
      </c>
      <c r="L674" s="6">
        <v>45327</v>
      </c>
      <c r="M674" s="8" t="str">
        <f>IF(K674&gt;10000,"High",IF(K674&gt;5000,"Medium","Low"))</f>
        <v>High</v>
      </c>
      <c r="N674" s="4" t="s">
        <v>240</v>
      </c>
      <c r="O674" s="3">
        <v>2</v>
      </c>
      <c r="P674" s="3">
        <v>2024</v>
      </c>
      <c r="T674" s="4"/>
      <c r="X674"/>
      <c r="Y674" s="3"/>
      <c r="AA674"/>
    </row>
    <row r="675" spans="1:27" x14ac:dyDescent="0.3">
      <c r="A675" s="3">
        <v>1312</v>
      </c>
      <c r="B675" s="4" t="s">
        <v>64</v>
      </c>
      <c r="C675" s="4" t="str">
        <f>IF(D675="","Unknown",IF(D675&lt;20,"Teen",IF(D675&lt;40,"Adult","Senior")))</f>
        <v>Adult</v>
      </c>
      <c r="D675" s="3">
        <v>30</v>
      </c>
      <c r="E675" s="3" t="s">
        <v>250</v>
      </c>
      <c r="F675" s="4" t="s">
        <v>17</v>
      </c>
      <c r="G675" s="4" t="s">
        <v>12</v>
      </c>
      <c r="H675" t="s">
        <v>13</v>
      </c>
      <c r="I675" s="3">
        <v>2</v>
      </c>
      <c r="J675" s="5">
        <v>1000</v>
      </c>
      <c r="K675" s="7">
        <v>2000</v>
      </c>
      <c r="L675" s="6">
        <v>45346</v>
      </c>
      <c r="M675" s="8" t="str">
        <f>IF(K675&gt;10000,"High",IF(K675&gt;5000,"Medium","Low"))</f>
        <v>Low</v>
      </c>
      <c r="N675" s="4" t="s">
        <v>241</v>
      </c>
      <c r="O675" s="3">
        <v>2</v>
      </c>
      <c r="P675" s="3">
        <v>2024</v>
      </c>
      <c r="T675" s="4"/>
      <c r="X675"/>
      <c r="Y675" s="3"/>
      <c r="AA675"/>
    </row>
    <row r="676" spans="1:27" x14ac:dyDescent="0.3">
      <c r="A676" s="3">
        <v>1313</v>
      </c>
      <c r="B676" s="4" t="s">
        <v>25</v>
      </c>
      <c r="C676" s="4" t="str">
        <f>IF(D676="","Unknown",IF(D676&lt;20,"Teen",IF(D676&lt;40,"Adult","Senior")))</f>
        <v>Senior</v>
      </c>
      <c r="D676" s="3">
        <v>48</v>
      </c>
      <c r="E676" s="3" t="s">
        <v>249</v>
      </c>
      <c r="F676" s="4" t="s">
        <v>17</v>
      </c>
      <c r="G676" s="4" t="s">
        <v>41</v>
      </c>
      <c r="H676" t="s">
        <v>36</v>
      </c>
      <c r="I676" s="3">
        <v>2</v>
      </c>
      <c r="J676" s="5">
        <v>1000</v>
      </c>
      <c r="K676" s="7">
        <v>2000</v>
      </c>
      <c r="L676" s="6">
        <v>45339</v>
      </c>
      <c r="M676" s="8" t="str">
        <f>IF(K676&gt;10000,"High",IF(K676&gt;5000,"Medium","Low"))</f>
        <v>Low</v>
      </c>
      <c r="N676" s="4" t="s">
        <v>243</v>
      </c>
      <c r="O676" s="3">
        <v>2</v>
      </c>
      <c r="P676" s="3">
        <v>2024</v>
      </c>
      <c r="T676" s="4"/>
      <c r="X676"/>
      <c r="Y676" s="3"/>
      <c r="AA676"/>
    </row>
    <row r="677" spans="1:27" x14ac:dyDescent="0.3">
      <c r="A677" s="3">
        <v>1316</v>
      </c>
      <c r="B677" s="4" t="s">
        <v>69</v>
      </c>
      <c r="C677" s="4" t="str">
        <f>IF(D677="","Unknown",IF(D677&lt;20,"Teen",IF(D677&lt;40,"Adult","Senior")))</f>
        <v>Adult</v>
      </c>
      <c r="D677" s="3">
        <v>32</v>
      </c>
      <c r="E677" s="3" t="s">
        <v>249</v>
      </c>
      <c r="F677" s="4" t="s">
        <v>40</v>
      </c>
      <c r="G677" s="4" t="s">
        <v>44</v>
      </c>
      <c r="H677" t="s">
        <v>36</v>
      </c>
      <c r="I677" s="3">
        <v>2</v>
      </c>
      <c r="J677" s="5">
        <v>1000</v>
      </c>
      <c r="K677" s="7">
        <v>2000</v>
      </c>
      <c r="L677" s="6">
        <v>45344</v>
      </c>
      <c r="M677" s="8" t="str">
        <f>IF(K677&gt;10000,"High",IF(K677&gt;5000,"Medium","Low"))</f>
        <v>Low</v>
      </c>
      <c r="N677" s="4" t="s">
        <v>244</v>
      </c>
      <c r="O677" s="3">
        <v>2</v>
      </c>
      <c r="P677" s="3">
        <v>2024</v>
      </c>
      <c r="T677" s="4"/>
      <c r="X677"/>
      <c r="Y677" s="3"/>
      <c r="AA677"/>
    </row>
    <row r="678" spans="1:27" x14ac:dyDescent="0.3">
      <c r="A678" s="3">
        <v>1319</v>
      </c>
      <c r="B678" s="4" t="s">
        <v>59</v>
      </c>
      <c r="C678" s="4" t="str">
        <f>IF(D678="","Unknown",IF(D678&lt;20,"Teen",IF(D678&lt;40,"Adult","Senior")))</f>
        <v>Adult</v>
      </c>
      <c r="D678" s="3">
        <v>24</v>
      </c>
      <c r="E678" s="3" t="s">
        <v>250</v>
      </c>
      <c r="F678" s="4" t="s">
        <v>17</v>
      </c>
      <c r="G678" s="4" t="s">
        <v>27</v>
      </c>
      <c r="H678" t="s">
        <v>13</v>
      </c>
      <c r="I678" s="3">
        <v>3</v>
      </c>
      <c r="J678" s="5">
        <v>1000</v>
      </c>
      <c r="K678" s="7">
        <v>3000</v>
      </c>
      <c r="L678" s="6">
        <v>45336</v>
      </c>
      <c r="M678" s="8" t="str">
        <f>IF(K678&gt;10000,"High",IF(K678&gt;5000,"Medium","Low"))</f>
        <v>Low</v>
      </c>
      <c r="N678" s="4" t="s">
        <v>242</v>
      </c>
      <c r="O678" s="3">
        <v>2</v>
      </c>
      <c r="P678" s="3">
        <v>2024</v>
      </c>
      <c r="T678" s="4"/>
      <c r="X678"/>
      <c r="Y678" s="3"/>
      <c r="AA678"/>
    </row>
    <row r="679" spans="1:27" x14ac:dyDescent="0.3">
      <c r="A679" s="3">
        <v>1321</v>
      </c>
      <c r="B679" s="4" t="s">
        <v>32</v>
      </c>
      <c r="C679" s="4" t="str">
        <f>IF(D679="","Unknown",IF(D679&lt;20,"Teen",IF(D679&lt;40,"Adult","Senior")))</f>
        <v>Adult</v>
      </c>
      <c r="D679" s="3">
        <v>30</v>
      </c>
      <c r="E679" s="3" t="s">
        <v>250</v>
      </c>
      <c r="F679" s="4" t="s">
        <v>40</v>
      </c>
      <c r="G679" s="4" t="s">
        <v>18</v>
      </c>
      <c r="H679" t="s">
        <v>30</v>
      </c>
      <c r="I679" s="3">
        <v>5</v>
      </c>
      <c r="J679" s="5">
        <v>1000</v>
      </c>
      <c r="K679" s="7">
        <v>5000</v>
      </c>
      <c r="L679" s="6">
        <v>45339</v>
      </c>
      <c r="M679" s="8" t="str">
        <f>IF(K679&gt;10000,"High",IF(K679&gt;5000,"Medium","Low"))</f>
        <v>Low</v>
      </c>
      <c r="N679" s="4" t="s">
        <v>241</v>
      </c>
      <c r="O679" s="3">
        <v>2</v>
      </c>
      <c r="P679" s="3">
        <v>2024</v>
      </c>
      <c r="T679" s="4"/>
      <c r="X679"/>
      <c r="Y679" s="3"/>
      <c r="AA679"/>
    </row>
    <row r="680" spans="1:27" x14ac:dyDescent="0.3">
      <c r="A680" s="3">
        <v>1324</v>
      </c>
      <c r="B680" s="4" t="s">
        <v>38</v>
      </c>
      <c r="C680" s="4" t="str">
        <f>IF(D680="","Unknown",IF(D680&lt;20,"Teen",IF(D680&lt;40,"Adult","Senior")))</f>
        <v>Adult</v>
      </c>
      <c r="D680" s="3">
        <v>31</v>
      </c>
      <c r="E680" s="3" t="s">
        <v>249</v>
      </c>
      <c r="F680" s="4" t="s">
        <v>17</v>
      </c>
      <c r="G680" s="4" t="s">
        <v>23</v>
      </c>
      <c r="H680" t="s">
        <v>30</v>
      </c>
      <c r="I680" s="3">
        <v>2</v>
      </c>
      <c r="J680" s="5">
        <v>3733</v>
      </c>
      <c r="K680" s="7">
        <v>7466</v>
      </c>
      <c r="L680" s="6">
        <v>45348</v>
      </c>
      <c r="M680" s="8" t="str">
        <f>IF(K680&gt;10000,"High",IF(K680&gt;5000,"Medium","Low"))</f>
        <v>Medium</v>
      </c>
      <c r="N680" s="4" t="s">
        <v>244</v>
      </c>
      <c r="O680" s="3">
        <v>2</v>
      </c>
      <c r="P680" s="3">
        <v>2024</v>
      </c>
      <c r="T680" s="4"/>
      <c r="X680"/>
      <c r="Y680" s="3"/>
      <c r="AA680"/>
    </row>
    <row r="681" spans="1:27" x14ac:dyDescent="0.3">
      <c r="A681" s="3">
        <v>1326</v>
      </c>
      <c r="B681" s="4" t="s">
        <v>54</v>
      </c>
      <c r="C681" s="4" t="str">
        <f>IF(D681="","Unknown",IF(D681&lt;20,"Teen",IF(D681&lt;40,"Adult","Senior")))</f>
        <v>Adult</v>
      </c>
      <c r="D681" s="3">
        <v>30</v>
      </c>
      <c r="E681" s="3" t="s">
        <v>250</v>
      </c>
      <c r="F681" s="4" t="s">
        <v>40</v>
      </c>
      <c r="G681" s="4" t="s">
        <v>18</v>
      </c>
      <c r="H681" t="s">
        <v>30</v>
      </c>
      <c r="I681" s="3">
        <v>2</v>
      </c>
      <c r="J681" s="5">
        <v>14847</v>
      </c>
      <c r="K681" s="7">
        <v>29694</v>
      </c>
      <c r="L681" s="6">
        <v>45349</v>
      </c>
      <c r="M681" s="8" t="str">
        <f>IF(K681&gt;10000,"High",IF(K681&gt;5000,"Medium","Low"))</f>
        <v>High</v>
      </c>
      <c r="N681" s="4" t="s">
        <v>244</v>
      </c>
      <c r="O681" s="3">
        <v>2</v>
      </c>
      <c r="P681" s="3">
        <v>2024</v>
      </c>
      <c r="T681" s="4"/>
      <c r="X681"/>
      <c r="Y681" s="3"/>
      <c r="AA681"/>
    </row>
    <row r="682" spans="1:27" x14ac:dyDescent="0.3">
      <c r="A682" s="3">
        <v>1327</v>
      </c>
      <c r="B682" s="4" t="s">
        <v>73</v>
      </c>
      <c r="C682" s="4" t="str">
        <f>IF(D682="","Unknown",IF(D682&lt;20,"Teen",IF(D682&lt;40,"Adult","Senior")))</f>
        <v>Adult</v>
      </c>
      <c r="D682" s="3">
        <v>30</v>
      </c>
      <c r="E682" s="3" t="s">
        <v>250</v>
      </c>
      <c r="F682" s="4" t="s">
        <v>40</v>
      </c>
      <c r="G682" s="4" t="s">
        <v>55</v>
      </c>
      <c r="H682" t="s">
        <v>36</v>
      </c>
      <c r="I682" s="3">
        <v>2</v>
      </c>
      <c r="J682" s="5">
        <v>1000</v>
      </c>
      <c r="K682" s="7">
        <v>2000</v>
      </c>
      <c r="L682" s="6">
        <v>45344</v>
      </c>
      <c r="M682" s="8" t="str">
        <f>IF(K682&gt;10000,"High",IF(K682&gt;5000,"Medium","Low"))</f>
        <v>Low</v>
      </c>
      <c r="N682" s="4" t="s">
        <v>243</v>
      </c>
      <c r="O682" s="3">
        <v>2</v>
      </c>
      <c r="P682" s="3">
        <v>2024</v>
      </c>
      <c r="T682" s="4"/>
      <c r="X682"/>
      <c r="Y682" s="3"/>
      <c r="AA682"/>
    </row>
    <row r="683" spans="1:27" x14ac:dyDescent="0.3">
      <c r="A683" s="3">
        <v>1329</v>
      </c>
      <c r="B683" s="4" t="s">
        <v>78</v>
      </c>
      <c r="C683" s="4" t="str">
        <f>IF(D683="","Unknown",IF(D683&lt;20,"Teen",IF(D683&lt;40,"Adult","Senior")))</f>
        <v>Adult</v>
      </c>
      <c r="D683" s="3">
        <v>26</v>
      </c>
      <c r="E683" s="3" t="s">
        <v>250</v>
      </c>
      <c r="F683" s="4" t="s">
        <v>40</v>
      </c>
      <c r="G683" s="4" t="s">
        <v>23</v>
      </c>
      <c r="H683" t="s">
        <v>30</v>
      </c>
      <c r="I683" s="3">
        <v>5</v>
      </c>
      <c r="J683" s="5">
        <v>1000</v>
      </c>
      <c r="K683" s="7">
        <v>5000</v>
      </c>
      <c r="L683" s="6">
        <v>45326</v>
      </c>
      <c r="M683" s="8" t="str">
        <f>IF(K683&gt;10000,"High",IF(K683&gt;5000,"Medium","Low"))</f>
        <v>Low</v>
      </c>
      <c r="N683" s="4" t="s">
        <v>242</v>
      </c>
      <c r="O683" s="3">
        <v>2</v>
      </c>
      <c r="P683" s="3">
        <v>2024</v>
      </c>
      <c r="T683" s="4"/>
      <c r="X683"/>
      <c r="Y683" s="3"/>
      <c r="AA683"/>
    </row>
    <row r="684" spans="1:27" x14ac:dyDescent="0.3">
      <c r="A684" s="3">
        <v>1330</v>
      </c>
      <c r="B684" s="4" t="s">
        <v>62</v>
      </c>
      <c r="C684" s="4" t="str">
        <f>IF(D684="","Unknown",IF(D684&lt;20,"Teen",IF(D684&lt;40,"Adult","Senior")))</f>
        <v>Adult</v>
      </c>
      <c r="D684" s="3">
        <v>30</v>
      </c>
      <c r="E684" s="3" t="s">
        <v>250</v>
      </c>
      <c r="F684" s="4" t="s">
        <v>17</v>
      </c>
      <c r="G684" s="4" t="s">
        <v>44</v>
      </c>
      <c r="H684" t="s">
        <v>36</v>
      </c>
      <c r="I684" s="3">
        <v>1</v>
      </c>
      <c r="J684" s="5">
        <v>1000</v>
      </c>
      <c r="K684" s="7">
        <v>1000</v>
      </c>
      <c r="L684" s="6">
        <v>45342</v>
      </c>
      <c r="M684" s="8" t="str">
        <f>IF(K684&gt;10000,"High",IF(K684&gt;5000,"Medium","Low"))</f>
        <v>Low</v>
      </c>
      <c r="N684" s="4" t="s">
        <v>242</v>
      </c>
      <c r="O684" s="3">
        <v>2</v>
      </c>
      <c r="P684" s="3">
        <v>2024</v>
      </c>
      <c r="T684" s="4"/>
      <c r="X684"/>
      <c r="Y684" s="3"/>
      <c r="AA684"/>
    </row>
    <row r="685" spans="1:27" x14ac:dyDescent="0.3">
      <c r="A685" s="3">
        <v>1333</v>
      </c>
      <c r="B685" s="4" t="s">
        <v>32</v>
      </c>
      <c r="C685" s="4" t="str">
        <f>IF(D685="","Unknown",IF(D685&lt;20,"Teen",IF(D685&lt;40,"Adult","Senior")))</f>
        <v>Senior</v>
      </c>
      <c r="D685" s="3">
        <v>48</v>
      </c>
      <c r="E685" s="3" t="s">
        <v>249</v>
      </c>
      <c r="F685" s="4" t="s">
        <v>17</v>
      </c>
      <c r="G685" s="4" t="s">
        <v>41</v>
      </c>
      <c r="H685" t="s">
        <v>36</v>
      </c>
      <c r="I685" s="3">
        <v>3</v>
      </c>
      <c r="J685" s="5">
        <v>1000</v>
      </c>
      <c r="K685" s="7">
        <v>3000</v>
      </c>
      <c r="L685" s="6">
        <v>45333</v>
      </c>
      <c r="M685" s="8" t="str">
        <f>IF(K685&gt;10000,"High",IF(K685&gt;5000,"Medium","Low"))</f>
        <v>Low</v>
      </c>
      <c r="N685" s="4" t="s">
        <v>242</v>
      </c>
      <c r="O685" s="3">
        <v>2</v>
      </c>
      <c r="P685" s="3">
        <v>2024</v>
      </c>
      <c r="T685" s="4"/>
      <c r="X685"/>
      <c r="Y685" s="3"/>
      <c r="AA685"/>
    </row>
    <row r="686" spans="1:27" x14ac:dyDescent="0.3">
      <c r="A686" s="3">
        <v>1336</v>
      </c>
      <c r="B686" s="4" t="s">
        <v>21</v>
      </c>
      <c r="C686" s="4" t="str">
        <f>IF(D686="","Unknown",IF(D686&lt;20,"Teen",IF(D686&lt;40,"Adult","Senior")))</f>
        <v>Adult</v>
      </c>
      <c r="D686" s="3">
        <v>30</v>
      </c>
      <c r="E686" s="3" t="s">
        <v>250</v>
      </c>
      <c r="F686" s="4" t="s">
        <v>17</v>
      </c>
      <c r="G686" s="4" t="s">
        <v>41</v>
      </c>
      <c r="H686" t="s">
        <v>36</v>
      </c>
      <c r="I686" s="3">
        <v>2</v>
      </c>
      <c r="J686" s="5">
        <v>1000</v>
      </c>
      <c r="K686" s="7">
        <v>2000</v>
      </c>
      <c r="L686" s="6">
        <v>45325</v>
      </c>
      <c r="M686" s="8" t="str">
        <f>IF(K686&gt;10000,"High",IF(K686&gt;5000,"Medium","Low"))</f>
        <v>Low</v>
      </c>
      <c r="N686" s="4" t="s">
        <v>240</v>
      </c>
      <c r="O686" s="3">
        <v>2</v>
      </c>
      <c r="P686" s="3">
        <v>2024</v>
      </c>
      <c r="T686" s="4"/>
      <c r="X686"/>
      <c r="Y686" s="3"/>
      <c r="AA686"/>
    </row>
    <row r="687" spans="1:27" x14ac:dyDescent="0.3">
      <c r="A687" s="3">
        <v>1339</v>
      </c>
      <c r="B687" s="4" t="s">
        <v>78</v>
      </c>
      <c r="C687" s="4" t="str">
        <f>IF(D687="","Unknown",IF(D687&lt;20,"Teen",IF(D687&lt;40,"Adult","Senior")))</f>
        <v>Adult</v>
      </c>
      <c r="D687" s="3">
        <v>30</v>
      </c>
      <c r="E687" s="3" t="s">
        <v>250</v>
      </c>
      <c r="F687" s="4" t="s">
        <v>17</v>
      </c>
      <c r="G687" s="4" t="s">
        <v>27</v>
      </c>
      <c r="H687" t="s">
        <v>13</v>
      </c>
      <c r="I687" s="3">
        <v>2</v>
      </c>
      <c r="J687" s="5">
        <v>4087</v>
      </c>
      <c r="K687" s="7">
        <v>8174</v>
      </c>
      <c r="L687" s="6">
        <v>45337</v>
      </c>
      <c r="M687" s="8" t="str">
        <f>IF(K687&gt;10000,"High",IF(K687&gt;5000,"Medium","Low"))</f>
        <v>Medium</v>
      </c>
      <c r="N687" s="4" t="s">
        <v>240</v>
      </c>
      <c r="O687" s="3">
        <v>2</v>
      </c>
      <c r="P687" s="3">
        <v>2024</v>
      </c>
      <c r="T687" s="4"/>
      <c r="X687"/>
      <c r="Y687" s="3"/>
      <c r="AA687"/>
    </row>
    <row r="688" spans="1:27" x14ac:dyDescent="0.3">
      <c r="A688" s="3">
        <v>1340</v>
      </c>
      <c r="B688" s="4" t="s">
        <v>38</v>
      </c>
      <c r="C688" s="4" t="str">
        <f>IF(D688="","Unknown",IF(D688&lt;20,"Teen",IF(D688&lt;40,"Adult","Senior")))</f>
        <v>Adult</v>
      </c>
      <c r="D688" s="3">
        <v>32</v>
      </c>
      <c r="E688" s="3" t="s">
        <v>249</v>
      </c>
      <c r="F688" s="4" t="s">
        <v>40</v>
      </c>
      <c r="G688" s="4" t="s">
        <v>27</v>
      </c>
      <c r="H688" t="s">
        <v>13</v>
      </c>
      <c r="I688" s="3">
        <v>2</v>
      </c>
      <c r="J688" s="5">
        <v>1000</v>
      </c>
      <c r="K688" s="7">
        <v>2000</v>
      </c>
      <c r="L688" s="6">
        <v>45333</v>
      </c>
      <c r="M688" s="8" t="str">
        <f>IF(K688&gt;10000,"High",IF(K688&gt;5000,"Medium","Low"))</f>
        <v>Low</v>
      </c>
      <c r="N688" s="4" t="s">
        <v>243</v>
      </c>
      <c r="O688" s="3">
        <v>2</v>
      </c>
      <c r="P688" s="3">
        <v>2024</v>
      </c>
      <c r="T688" s="4"/>
      <c r="X688"/>
      <c r="Y688" s="3"/>
      <c r="AA688"/>
    </row>
    <row r="689" spans="1:27" x14ac:dyDescent="0.3">
      <c r="A689" s="3">
        <v>1341</v>
      </c>
      <c r="B689" s="4" t="s">
        <v>21</v>
      </c>
      <c r="C689" s="4" t="str">
        <f>IF(D689="","Unknown",IF(D689&lt;20,"Teen",IF(D689&lt;40,"Adult","Senior")))</f>
        <v>Adult</v>
      </c>
      <c r="D689" s="3">
        <v>24</v>
      </c>
      <c r="E689" s="3" t="s">
        <v>250</v>
      </c>
      <c r="F689" s="4" t="s">
        <v>17</v>
      </c>
      <c r="G689" s="4" t="s">
        <v>23</v>
      </c>
      <c r="H689" t="s">
        <v>30</v>
      </c>
      <c r="I689" s="3">
        <v>1</v>
      </c>
      <c r="J689" s="5">
        <v>1000</v>
      </c>
      <c r="K689" s="7">
        <v>1000</v>
      </c>
      <c r="L689" s="6">
        <v>45337</v>
      </c>
      <c r="M689" s="8" t="str">
        <f>IF(K689&gt;10000,"High",IF(K689&gt;5000,"Medium","Low"))</f>
        <v>Low</v>
      </c>
      <c r="N689" s="4" t="s">
        <v>241</v>
      </c>
      <c r="O689" s="3">
        <v>2</v>
      </c>
      <c r="P689" s="3">
        <v>2024</v>
      </c>
      <c r="T689" s="4"/>
      <c r="X689"/>
      <c r="Y689" s="3"/>
      <c r="AA689"/>
    </row>
    <row r="690" spans="1:27" x14ac:dyDescent="0.3">
      <c r="A690" s="3">
        <v>1342</v>
      </c>
      <c r="B690" s="4" t="s">
        <v>57</v>
      </c>
      <c r="C690" s="4" t="str">
        <f>IF(D690="","Unknown",IF(D690&lt;20,"Teen",IF(D690&lt;40,"Adult","Senior")))</f>
        <v>Senior</v>
      </c>
      <c r="D690" s="3">
        <v>48</v>
      </c>
      <c r="E690" s="3" t="s">
        <v>249</v>
      </c>
      <c r="F690" s="4" t="s">
        <v>40</v>
      </c>
      <c r="G690" s="4" t="s">
        <v>23</v>
      </c>
      <c r="H690" t="s">
        <v>30</v>
      </c>
      <c r="I690" s="3">
        <v>2</v>
      </c>
      <c r="J690" s="5">
        <v>1000</v>
      </c>
      <c r="K690" s="7">
        <v>2000</v>
      </c>
      <c r="L690" s="6">
        <v>45335</v>
      </c>
      <c r="M690" s="8" t="str">
        <f>IF(K690&gt;10000,"High",IF(K690&gt;5000,"Medium","Low"))</f>
        <v>Low</v>
      </c>
      <c r="N690" s="4" t="s">
        <v>243</v>
      </c>
      <c r="O690" s="3">
        <v>2</v>
      </c>
      <c r="P690" s="3">
        <v>2024</v>
      </c>
      <c r="T690" s="4"/>
      <c r="X690"/>
      <c r="Y690" s="3"/>
      <c r="AA690"/>
    </row>
    <row r="691" spans="1:27" x14ac:dyDescent="0.3">
      <c r="A691" s="3">
        <v>1344</v>
      </c>
      <c r="B691" s="4" t="s">
        <v>35</v>
      </c>
      <c r="C691" s="4" t="str">
        <f>IF(D691="","Unknown",IF(D691&lt;20,"Teen",IF(D691&lt;40,"Adult","Senior")))</f>
        <v>Adult</v>
      </c>
      <c r="D691" s="3">
        <v>35</v>
      </c>
      <c r="E691" s="3" t="s">
        <v>249</v>
      </c>
      <c r="F691" s="4" t="s">
        <v>40</v>
      </c>
      <c r="G691" s="4" t="s">
        <v>44</v>
      </c>
      <c r="H691" t="s">
        <v>36</v>
      </c>
      <c r="I691" s="3">
        <v>2</v>
      </c>
      <c r="J691" s="5">
        <v>1000</v>
      </c>
      <c r="K691" s="7">
        <v>2000</v>
      </c>
      <c r="L691" s="6">
        <v>45338</v>
      </c>
      <c r="M691" s="8" t="str">
        <f>IF(K691&gt;10000,"High",IF(K691&gt;5000,"Medium","Low"))</f>
        <v>Low</v>
      </c>
      <c r="N691" s="4" t="s">
        <v>240</v>
      </c>
      <c r="O691" s="3">
        <v>2</v>
      </c>
      <c r="P691" s="3">
        <v>2024</v>
      </c>
      <c r="T691" s="4"/>
      <c r="X691"/>
      <c r="Y691" s="3"/>
      <c r="AA691"/>
    </row>
    <row r="692" spans="1:27" x14ac:dyDescent="0.3">
      <c r="A692" s="3">
        <v>1345</v>
      </c>
      <c r="B692" s="4" t="s">
        <v>38</v>
      </c>
      <c r="C692" s="4" t="str">
        <f>IF(D692="","Unknown",IF(D692&lt;20,"Teen",IF(D692&lt;40,"Adult","Senior")))</f>
        <v>Adult</v>
      </c>
      <c r="D692" s="3">
        <v>25</v>
      </c>
      <c r="E692" s="3" t="s">
        <v>250</v>
      </c>
      <c r="F692" s="4" t="s">
        <v>40</v>
      </c>
      <c r="G692" s="4" t="s">
        <v>18</v>
      </c>
      <c r="H692" t="s">
        <v>30</v>
      </c>
      <c r="I692" s="3">
        <v>2</v>
      </c>
      <c r="J692" s="5">
        <v>1000</v>
      </c>
      <c r="K692" s="7">
        <v>2000</v>
      </c>
      <c r="L692" s="6">
        <v>45345</v>
      </c>
      <c r="M692" s="8" t="str">
        <f>IF(K692&gt;10000,"High",IF(K692&gt;5000,"Medium","Low"))</f>
        <v>Low</v>
      </c>
      <c r="N692" s="4" t="s">
        <v>242</v>
      </c>
      <c r="O692" s="3">
        <v>2</v>
      </c>
      <c r="P692" s="3">
        <v>2024</v>
      </c>
      <c r="T692" s="4"/>
      <c r="X692"/>
      <c r="Y692" s="3"/>
      <c r="AA692"/>
    </row>
    <row r="693" spans="1:27" x14ac:dyDescent="0.3">
      <c r="A693" s="3">
        <v>1347</v>
      </c>
      <c r="B693" s="4" t="s">
        <v>16</v>
      </c>
      <c r="C693" s="4" t="str">
        <f>IF(D693="","Unknown",IF(D693&lt;20,"Teen",IF(D693&lt;40,"Adult","Senior")))</f>
        <v>Adult</v>
      </c>
      <c r="D693" s="3">
        <v>37</v>
      </c>
      <c r="E693" s="3" t="s">
        <v>249</v>
      </c>
      <c r="F693" s="4" t="s">
        <v>17</v>
      </c>
      <c r="G693" s="4" t="s">
        <v>51</v>
      </c>
      <c r="H693" t="s">
        <v>13</v>
      </c>
      <c r="I693" s="3">
        <v>2</v>
      </c>
      <c r="J693" s="5">
        <v>44756</v>
      </c>
      <c r="K693" s="7">
        <v>89512</v>
      </c>
      <c r="L693" s="6">
        <v>45329</v>
      </c>
      <c r="M693" s="8" t="str">
        <f>IF(K693&gt;10000,"High",IF(K693&gt;5000,"Medium","Low"))</f>
        <v>High</v>
      </c>
      <c r="N693" s="4" t="s">
        <v>240</v>
      </c>
      <c r="O693" s="3">
        <v>2</v>
      </c>
      <c r="P693" s="3">
        <v>2024</v>
      </c>
      <c r="T693" s="4"/>
      <c r="X693"/>
      <c r="Y693" s="3"/>
      <c r="AA693"/>
    </row>
    <row r="694" spans="1:27" x14ac:dyDescent="0.3">
      <c r="A694" s="3">
        <v>1348</v>
      </c>
      <c r="B694" s="4" t="s">
        <v>64</v>
      </c>
      <c r="C694" s="4" t="str">
        <f>IF(D694="","Unknown",IF(D694&lt;20,"Teen",IF(D694&lt;40,"Adult","Senior")))</f>
        <v>Adult</v>
      </c>
      <c r="D694" s="3">
        <v>30</v>
      </c>
      <c r="E694" s="3" t="s">
        <v>250</v>
      </c>
      <c r="F694" s="4" t="s">
        <v>40</v>
      </c>
      <c r="G694" s="4" t="s">
        <v>12</v>
      </c>
      <c r="H694" t="s">
        <v>13</v>
      </c>
      <c r="I694" s="3">
        <v>2</v>
      </c>
      <c r="J694" s="5">
        <v>1000</v>
      </c>
      <c r="K694" s="7">
        <v>2000</v>
      </c>
      <c r="L694" s="6">
        <v>45328</v>
      </c>
      <c r="M694" s="8" t="str">
        <f>IF(K694&gt;10000,"High",IF(K694&gt;5000,"Medium","Low"))</f>
        <v>Low</v>
      </c>
      <c r="N694" s="4" t="s">
        <v>241</v>
      </c>
      <c r="O694" s="3">
        <v>2</v>
      </c>
      <c r="P694" s="3">
        <v>2024</v>
      </c>
      <c r="T694" s="4"/>
      <c r="X694"/>
      <c r="Y694" s="3"/>
      <c r="AA694"/>
    </row>
    <row r="695" spans="1:27" x14ac:dyDescent="0.3">
      <c r="A695" s="3">
        <v>1352</v>
      </c>
      <c r="B695" s="4" t="s">
        <v>32</v>
      </c>
      <c r="C695" s="4" t="str">
        <f>IF(D695="","Unknown",IF(D695&lt;20,"Teen",IF(D695&lt;40,"Adult","Senior")))</f>
        <v>Adult</v>
      </c>
      <c r="D695" s="3">
        <v>30</v>
      </c>
      <c r="E695" s="3" t="s">
        <v>250</v>
      </c>
      <c r="F695" s="4" t="s">
        <v>40</v>
      </c>
      <c r="G695" s="4" t="s">
        <v>55</v>
      </c>
      <c r="H695" t="s">
        <v>36</v>
      </c>
      <c r="I695" s="3">
        <v>2</v>
      </c>
      <c r="J695" s="5">
        <v>40808</v>
      </c>
      <c r="K695" s="7">
        <v>81616</v>
      </c>
      <c r="L695" s="6">
        <v>45344</v>
      </c>
      <c r="M695" s="8" t="str">
        <f>IF(K695&gt;10000,"High",IF(K695&gt;5000,"Medium","Low"))</f>
        <v>High</v>
      </c>
      <c r="N695" s="4" t="s">
        <v>241</v>
      </c>
      <c r="O695" s="3">
        <v>2</v>
      </c>
      <c r="P695" s="3">
        <v>2024</v>
      </c>
      <c r="T695" s="4"/>
      <c r="X695"/>
      <c r="Y695" s="3"/>
      <c r="AA695"/>
    </row>
    <row r="696" spans="1:27" x14ac:dyDescent="0.3">
      <c r="A696" s="3">
        <v>1357</v>
      </c>
      <c r="B696" s="4" t="s">
        <v>35</v>
      </c>
      <c r="C696" s="4" t="str">
        <f>IF(D696="","Unknown",IF(D696&lt;20,"Teen",IF(D696&lt;40,"Adult","Senior")))</f>
        <v>Adult</v>
      </c>
      <c r="D696" s="3">
        <v>20</v>
      </c>
      <c r="E696" s="3" t="s">
        <v>251</v>
      </c>
      <c r="F696" s="4" t="s">
        <v>40</v>
      </c>
      <c r="G696" s="4" t="s">
        <v>44</v>
      </c>
      <c r="H696" t="s">
        <v>36</v>
      </c>
      <c r="I696" s="3">
        <v>2</v>
      </c>
      <c r="J696" s="5">
        <v>25211</v>
      </c>
      <c r="K696" s="7">
        <v>50422</v>
      </c>
      <c r="L696" s="6">
        <v>45336</v>
      </c>
      <c r="M696" s="8" t="str">
        <f>IF(K696&gt;10000,"High",IF(K696&gt;5000,"Medium","Low"))</f>
        <v>High</v>
      </c>
      <c r="N696" s="4" t="s">
        <v>243</v>
      </c>
      <c r="O696" s="3">
        <v>2</v>
      </c>
      <c r="P696" s="3">
        <v>2024</v>
      </c>
      <c r="T696" s="4"/>
      <c r="X696"/>
      <c r="Y696" s="3"/>
      <c r="AA696"/>
    </row>
    <row r="697" spans="1:27" x14ac:dyDescent="0.3">
      <c r="A697" s="3">
        <v>1361</v>
      </c>
      <c r="B697" s="4" t="s">
        <v>25</v>
      </c>
      <c r="C697" s="4" t="str">
        <f>IF(D697="","Unknown",IF(D697&lt;20,"Teen",IF(D697&lt;40,"Adult","Senior")))</f>
        <v>Senior</v>
      </c>
      <c r="D697" s="3">
        <v>43</v>
      </c>
      <c r="E697" s="3" t="s">
        <v>249</v>
      </c>
      <c r="F697" s="4" t="s">
        <v>17</v>
      </c>
      <c r="G697" s="4" t="s">
        <v>44</v>
      </c>
      <c r="H697" t="s">
        <v>36</v>
      </c>
      <c r="I697" s="3">
        <v>2</v>
      </c>
      <c r="J697" s="5">
        <v>1000</v>
      </c>
      <c r="K697" s="7">
        <v>2000</v>
      </c>
      <c r="L697" s="6">
        <v>45334</v>
      </c>
      <c r="M697" s="8" t="str">
        <f>IF(K697&gt;10000,"High",IF(K697&gt;5000,"Medium","Low"))</f>
        <v>Low</v>
      </c>
      <c r="N697" s="4" t="s">
        <v>241</v>
      </c>
      <c r="O697" s="3">
        <v>2</v>
      </c>
      <c r="P697" s="3">
        <v>2024</v>
      </c>
      <c r="T697" s="4"/>
      <c r="X697"/>
      <c r="Y697" s="3"/>
      <c r="AA697"/>
    </row>
    <row r="698" spans="1:27" x14ac:dyDescent="0.3">
      <c r="A698" s="3">
        <v>1363</v>
      </c>
      <c r="B698" s="4" t="s">
        <v>64</v>
      </c>
      <c r="C698" s="4" t="str">
        <f>IF(D698="","Unknown",IF(D698&lt;20,"Teen",IF(D698&lt;40,"Adult","Senior")))</f>
        <v>Adult</v>
      </c>
      <c r="D698" s="3">
        <v>28</v>
      </c>
      <c r="E698" s="3" t="s">
        <v>250</v>
      </c>
      <c r="F698" s="4" t="s">
        <v>17</v>
      </c>
      <c r="G698" s="4" t="s">
        <v>12</v>
      </c>
      <c r="H698" t="s">
        <v>13</v>
      </c>
      <c r="I698" s="3">
        <v>5</v>
      </c>
      <c r="J698" s="5">
        <v>24852</v>
      </c>
      <c r="K698" s="7">
        <v>124260</v>
      </c>
      <c r="L698" s="6">
        <v>45324</v>
      </c>
      <c r="M698" s="8" t="str">
        <f>IF(K698&gt;10000,"High",IF(K698&gt;5000,"Medium","Low"))</f>
        <v>High</v>
      </c>
      <c r="N698" s="4" t="s">
        <v>241</v>
      </c>
      <c r="O698" s="3">
        <v>2</v>
      </c>
      <c r="P698" s="3">
        <v>2024</v>
      </c>
      <c r="T698" s="4"/>
      <c r="X698"/>
      <c r="Y698" s="3"/>
      <c r="AA698"/>
    </row>
    <row r="699" spans="1:27" x14ac:dyDescent="0.3">
      <c r="A699" s="3">
        <v>1364</v>
      </c>
      <c r="B699" s="4" t="s">
        <v>16</v>
      </c>
      <c r="C699" s="4" t="str">
        <f>IF(D699="","Unknown",IF(D699&lt;20,"Teen",IF(D699&lt;40,"Adult","Senior")))</f>
        <v>Adult</v>
      </c>
      <c r="D699" s="3">
        <v>35</v>
      </c>
      <c r="E699" s="3" t="s">
        <v>249</v>
      </c>
      <c r="F699" s="4" t="s">
        <v>17</v>
      </c>
      <c r="G699" s="4" t="s">
        <v>18</v>
      </c>
      <c r="H699" t="s">
        <v>30</v>
      </c>
      <c r="I699" s="3">
        <v>2</v>
      </c>
      <c r="J699" s="5">
        <v>26909</v>
      </c>
      <c r="K699" s="7">
        <v>53818</v>
      </c>
      <c r="L699" s="6">
        <v>45341</v>
      </c>
      <c r="M699" s="8" t="str">
        <f>IF(K699&gt;10000,"High",IF(K699&gt;5000,"Medium","Low"))</f>
        <v>High</v>
      </c>
      <c r="N699" s="4" t="s">
        <v>240</v>
      </c>
      <c r="O699" s="3">
        <v>2</v>
      </c>
      <c r="P699" s="3">
        <v>2024</v>
      </c>
      <c r="T699" s="4"/>
      <c r="X699"/>
      <c r="Y699" s="3"/>
      <c r="AA699"/>
    </row>
    <row r="700" spans="1:27" x14ac:dyDescent="0.3">
      <c r="A700" s="3">
        <v>1370</v>
      </c>
      <c r="B700" s="4" t="s">
        <v>54</v>
      </c>
      <c r="C700" s="4" t="str">
        <f>IF(D700="","Unknown",IF(D700&lt;20,"Teen",IF(D700&lt;40,"Adult","Senior")))</f>
        <v>Adult</v>
      </c>
      <c r="D700" s="3">
        <v>30</v>
      </c>
      <c r="E700" s="3" t="s">
        <v>250</v>
      </c>
      <c r="F700" s="4" t="s">
        <v>17</v>
      </c>
      <c r="G700" s="4" t="s">
        <v>41</v>
      </c>
      <c r="H700" t="s">
        <v>36</v>
      </c>
      <c r="I700" s="3">
        <v>2</v>
      </c>
      <c r="J700" s="5">
        <v>5981</v>
      </c>
      <c r="K700" s="7">
        <v>11962</v>
      </c>
      <c r="L700" s="6">
        <v>45325</v>
      </c>
      <c r="M700" s="8" t="str">
        <f>IF(K700&gt;10000,"High",IF(K700&gt;5000,"Medium","Low"))</f>
        <v>High</v>
      </c>
      <c r="N700" s="4" t="s">
        <v>240</v>
      </c>
      <c r="O700" s="3">
        <v>2</v>
      </c>
      <c r="P700" s="3">
        <v>2024</v>
      </c>
      <c r="T700" s="4"/>
      <c r="X700"/>
      <c r="Y700" s="3"/>
      <c r="AA700"/>
    </row>
    <row r="701" spans="1:27" x14ac:dyDescent="0.3">
      <c r="A701" s="3">
        <v>1371</v>
      </c>
      <c r="B701" s="4" t="s">
        <v>21</v>
      </c>
      <c r="C701" s="4" t="str">
        <f>IF(D701="","Unknown",IF(D701&lt;20,"Teen",IF(D701&lt;40,"Adult","Senior")))</f>
        <v>Adult</v>
      </c>
      <c r="D701" s="3">
        <v>30</v>
      </c>
      <c r="E701" s="3" t="s">
        <v>250</v>
      </c>
      <c r="F701" s="4" t="s">
        <v>40</v>
      </c>
      <c r="G701" s="4" t="s">
        <v>41</v>
      </c>
      <c r="H701" t="s">
        <v>36</v>
      </c>
      <c r="I701" s="3">
        <v>3</v>
      </c>
      <c r="J701" s="5">
        <v>45824</v>
      </c>
      <c r="K701" s="7">
        <v>137472</v>
      </c>
      <c r="L701" s="6">
        <v>45348</v>
      </c>
      <c r="M701" s="8" t="str">
        <f>IF(K701&gt;10000,"High",IF(K701&gt;5000,"Medium","Low"))</f>
        <v>High</v>
      </c>
      <c r="N701" s="4" t="s">
        <v>244</v>
      </c>
      <c r="O701" s="3">
        <v>2</v>
      </c>
      <c r="P701" s="3">
        <v>2024</v>
      </c>
      <c r="T701" s="4"/>
      <c r="X701"/>
      <c r="Y701" s="3"/>
      <c r="AA701"/>
    </row>
    <row r="702" spans="1:27" x14ac:dyDescent="0.3">
      <c r="A702" s="3">
        <v>1374</v>
      </c>
      <c r="B702" s="4" t="s">
        <v>32</v>
      </c>
      <c r="C702" s="4" t="str">
        <f>IF(D702="","Unknown",IF(D702&lt;20,"Teen",IF(D702&lt;40,"Adult","Senior")))</f>
        <v>Senior</v>
      </c>
      <c r="D702" s="3">
        <v>43</v>
      </c>
      <c r="E702" s="3" t="s">
        <v>249</v>
      </c>
      <c r="F702" s="4" t="s">
        <v>40</v>
      </c>
      <c r="G702" s="4" t="s">
        <v>23</v>
      </c>
      <c r="H702" t="s">
        <v>30</v>
      </c>
      <c r="I702" s="3">
        <v>2</v>
      </c>
      <c r="J702" s="5">
        <v>14495</v>
      </c>
      <c r="K702" s="7">
        <v>28990</v>
      </c>
      <c r="L702" s="6">
        <v>45324</v>
      </c>
      <c r="M702" s="8" t="str">
        <f>IF(K702&gt;10000,"High",IF(K702&gt;5000,"Medium","Low"))</f>
        <v>High</v>
      </c>
      <c r="N702" s="4" t="s">
        <v>244</v>
      </c>
      <c r="O702" s="3">
        <v>2</v>
      </c>
      <c r="P702" s="3">
        <v>2024</v>
      </c>
      <c r="T702" s="4"/>
      <c r="X702"/>
      <c r="Y702" s="3"/>
      <c r="AA702"/>
    </row>
    <row r="703" spans="1:27" x14ac:dyDescent="0.3">
      <c r="A703" s="3">
        <v>1377</v>
      </c>
      <c r="B703" s="4" t="s">
        <v>57</v>
      </c>
      <c r="C703" s="4" t="str">
        <f>IF(D703="","Unknown",IF(D703&lt;20,"Teen",IF(D703&lt;40,"Adult","Senior")))</f>
        <v>Adult</v>
      </c>
      <c r="D703" s="3">
        <v>30</v>
      </c>
      <c r="E703" s="3" t="s">
        <v>250</v>
      </c>
      <c r="F703" s="4" t="s">
        <v>40</v>
      </c>
      <c r="G703" s="4" t="s">
        <v>44</v>
      </c>
      <c r="H703" t="s">
        <v>36</v>
      </c>
      <c r="I703" s="3">
        <v>1</v>
      </c>
      <c r="J703" s="5">
        <v>1000</v>
      </c>
      <c r="K703" s="7">
        <v>1000</v>
      </c>
      <c r="L703" s="6">
        <v>45335</v>
      </c>
      <c r="M703" s="8" t="str">
        <f>IF(K703&gt;10000,"High",IF(K703&gt;5000,"Medium","Low"))</f>
        <v>Low</v>
      </c>
      <c r="N703" s="4" t="s">
        <v>242</v>
      </c>
      <c r="O703" s="3">
        <v>2</v>
      </c>
      <c r="P703" s="3">
        <v>2024</v>
      </c>
      <c r="T703" s="4"/>
      <c r="X703"/>
      <c r="Y703" s="3"/>
      <c r="AA703"/>
    </row>
    <row r="704" spans="1:27" x14ac:dyDescent="0.3">
      <c r="A704" s="3">
        <v>1379</v>
      </c>
      <c r="B704" s="4" t="s">
        <v>64</v>
      </c>
      <c r="C704" s="4" t="str">
        <f>IF(D704="","Unknown",IF(D704&lt;20,"Teen",IF(D704&lt;40,"Adult","Senior")))</f>
        <v>Adult</v>
      </c>
      <c r="D704" s="3">
        <v>30</v>
      </c>
      <c r="E704" s="3" t="s">
        <v>250</v>
      </c>
      <c r="F704" s="4" t="s">
        <v>17</v>
      </c>
      <c r="G704" s="4" t="s">
        <v>12</v>
      </c>
      <c r="H704" t="s">
        <v>13</v>
      </c>
      <c r="I704" s="3">
        <v>1</v>
      </c>
      <c r="J704" s="5">
        <v>36265</v>
      </c>
      <c r="K704" s="7">
        <v>36265</v>
      </c>
      <c r="L704" s="6">
        <v>45338</v>
      </c>
      <c r="M704" s="8" t="str">
        <f>IF(K704&gt;10000,"High",IF(K704&gt;5000,"Medium","Low"))</f>
        <v>High</v>
      </c>
      <c r="N704" s="4" t="s">
        <v>242</v>
      </c>
      <c r="O704" s="3">
        <v>2</v>
      </c>
      <c r="P704" s="3">
        <v>2024</v>
      </c>
      <c r="T704" s="4"/>
      <c r="X704"/>
      <c r="Y704" s="3"/>
      <c r="AA704"/>
    </row>
    <row r="705" spans="1:27" x14ac:dyDescent="0.3">
      <c r="A705" s="3">
        <v>1381</v>
      </c>
      <c r="B705" s="4" t="s">
        <v>78</v>
      </c>
      <c r="C705" s="4" t="str">
        <f>IF(D705="","Unknown",IF(D705&lt;20,"Teen",IF(D705&lt;40,"Adult","Senior")))</f>
        <v>Adult</v>
      </c>
      <c r="D705" s="3">
        <v>30</v>
      </c>
      <c r="E705" s="3" t="s">
        <v>250</v>
      </c>
      <c r="F705" s="4" t="s">
        <v>40</v>
      </c>
      <c r="G705" s="4" t="s">
        <v>44</v>
      </c>
      <c r="H705" t="s">
        <v>36</v>
      </c>
      <c r="I705" s="3">
        <v>1</v>
      </c>
      <c r="J705" s="5">
        <v>1000</v>
      </c>
      <c r="K705" s="7">
        <v>1000</v>
      </c>
      <c r="L705" s="6">
        <v>45326</v>
      </c>
      <c r="M705" s="8" t="str">
        <f>IF(K705&gt;10000,"High",IF(K705&gt;5000,"Medium","Low"))</f>
        <v>Low</v>
      </c>
      <c r="N705" s="4" t="s">
        <v>242</v>
      </c>
      <c r="O705" s="3">
        <v>2</v>
      </c>
      <c r="P705" s="3">
        <v>2024</v>
      </c>
      <c r="T705" s="4"/>
      <c r="X705"/>
      <c r="Y705" s="3"/>
      <c r="AA705"/>
    </row>
    <row r="706" spans="1:27" x14ac:dyDescent="0.3">
      <c r="A706" s="3">
        <v>1384</v>
      </c>
      <c r="B706" s="4" t="s">
        <v>54</v>
      </c>
      <c r="C706" s="4" t="str">
        <f>IF(D706="","Unknown",IF(D706&lt;20,"Teen",IF(D706&lt;40,"Adult","Senior")))</f>
        <v>Adult</v>
      </c>
      <c r="D706" s="3">
        <v>30</v>
      </c>
      <c r="E706" s="3" t="s">
        <v>250</v>
      </c>
      <c r="F706" s="4" t="s">
        <v>40</v>
      </c>
      <c r="G706" s="4" t="s">
        <v>41</v>
      </c>
      <c r="H706" t="s">
        <v>36</v>
      </c>
      <c r="I706" s="3">
        <v>2</v>
      </c>
      <c r="J706" s="5">
        <v>1000</v>
      </c>
      <c r="K706" s="7">
        <v>2000</v>
      </c>
      <c r="L706" s="6">
        <v>45326</v>
      </c>
      <c r="M706" s="8" t="str">
        <f>IF(K706&gt;10000,"High",IF(K706&gt;5000,"Medium","Low"))</f>
        <v>Low</v>
      </c>
      <c r="N706" s="4" t="s">
        <v>242</v>
      </c>
      <c r="O706" s="3">
        <v>2</v>
      </c>
      <c r="P706" s="3">
        <v>2024</v>
      </c>
      <c r="T706" s="4"/>
      <c r="X706"/>
      <c r="Y706" s="3"/>
      <c r="AA706"/>
    </row>
    <row r="707" spans="1:27" x14ac:dyDescent="0.3">
      <c r="A707" s="3">
        <v>1385</v>
      </c>
      <c r="B707" s="4" t="s">
        <v>35</v>
      </c>
      <c r="C707" s="4" t="str">
        <f>IF(D707="","Unknown",IF(D707&lt;20,"Teen",IF(D707&lt;40,"Adult","Senior")))</f>
        <v>Adult</v>
      </c>
      <c r="D707" s="3">
        <v>30</v>
      </c>
      <c r="E707" s="3" t="s">
        <v>250</v>
      </c>
      <c r="F707" s="4" t="s">
        <v>40</v>
      </c>
      <c r="G707" s="4" t="s">
        <v>23</v>
      </c>
      <c r="H707" t="s">
        <v>30</v>
      </c>
      <c r="I707" s="3">
        <v>2</v>
      </c>
      <c r="J707" s="5">
        <v>1000</v>
      </c>
      <c r="K707" s="7">
        <v>2000</v>
      </c>
      <c r="L707" s="6">
        <v>45340</v>
      </c>
      <c r="M707" s="8" t="str">
        <f>IF(K707&gt;10000,"High",IF(K707&gt;5000,"Medium","Low"))</f>
        <v>Low</v>
      </c>
      <c r="N707" s="4" t="s">
        <v>242</v>
      </c>
      <c r="O707" s="3">
        <v>2</v>
      </c>
      <c r="P707" s="3">
        <v>2024</v>
      </c>
      <c r="T707" s="4"/>
      <c r="X707"/>
      <c r="Y707" s="3"/>
      <c r="AA707"/>
    </row>
    <row r="708" spans="1:27" x14ac:dyDescent="0.3">
      <c r="A708" s="3">
        <v>1391</v>
      </c>
      <c r="B708" s="4" t="s">
        <v>38</v>
      </c>
      <c r="C708" s="4" t="str">
        <f>IF(D708="","Unknown",IF(D708&lt;20,"Teen",IF(D708&lt;40,"Adult","Senior")))</f>
        <v>Senior</v>
      </c>
      <c r="D708" s="3">
        <v>40</v>
      </c>
      <c r="E708" s="3" t="s">
        <v>249</v>
      </c>
      <c r="F708" s="4" t="s">
        <v>40</v>
      </c>
      <c r="G708" s="4" t="s">
        <v>55</v>
      </c>
      <c r="H708" t="s">
        <v>36</v>
      </c>
      <c r="I708" s="3">
        <v>3</v>
      </c>
      <c r="J708" s="5">
        <v>1000</v>
      </c>
      <c r="K708" s="7">
        <v>3000</v>
      </c>
      <c r="L708" s="6">
        <v>45340</v>
      </c>
      <c r="M708" s="8" t="str">
        <f>IF(K708&gt;10000,"High",IF(K708&gt;5000,"Medium","Low"))</f>
        <v>Low</v>
      </c>
      <c r="N708" s="4" t="s">
        <v>242</v>
      </c>
      <c r="O708" s="3">
        <v>2</v>
      </c>
      <c r="P708" s="3">
        <v>2024</v>
      </c>
      <c r="T708" s="4"/>
      <c r="X708"/>
      <c r="Y708" s="3"/>
      <c r="AA708"/>
    </row>
    <row r="709" spans="1:27" x14ac:dyDescent="0.3">
      <c r="A709" s="3">
        <v>1394</v>
      </c>
      <c r="B709" s="4" t="s">
        <v>59</v>
      </c>
      <c r="C709" s="4" t="str">
        <f>IF(D709="","Unknown",IF(D709&lt;20,"Teen",IF(D709&lt;40,"Adult","Senior")))</f>
        <v>Adult</v>
      </c>
      <c r="D709" s="3">
        <v>30</v>
      </c>
      <c r="E709" s="3" t="s">
        <v>250</v>
      </c>
      <c r="F709" s="4" t="s">
        <v>40</v>
      </c>
      <c r="G709" s="4" t="s">
        <v>55</v>
      </c>
      <c r="H709" t="s">
        <v>36</v>
      </c>
      <c r="I709" s="3">
        <v>5</v>
      </c>
      <c r="J709" s="5">
        <v>19729</v>
      </c>
      <c r="K709" s="7">
        <v>98645</v>
      </c>
      <c r="L709" s="6">
        <v>45340</v>
      </c>
      <c r="M709" s="8" t="str">
        <f>IF(K709&gt;10000,"High",IF(K709&gt;5000,"Medium","Low"))</f>
        <v>High</v>
      </c>
      <c r="N709" s="4" t="s">
        <v>241</v>
      </c>
      <c r="O709" s="3">
        <v>2</v>
      </c>
      <c r="P709" s="3">
        <v>2024</v>
      </c>
      <c r="T709" s="4"/>
      <c r="X709"/>
      <c r="Y709" s="3"/>
      <c r="AA709"/>
    </row>
    <row r="710" spans="1:27" x14ac:dyDescent="0.3">
      <c r="A710" s="3">
        <v>1395</v>
      </c>
      <c r="B710" s="4" t="s">
        <v>16</v>
      </c>
      <c r="C710" s="4" t="str">
        <f>IF(D710="","Unknown",IF(D710&lt;20,"Teen",IF(D710&lt;40,"Adult","Senior")))</f>
        <v>Senior</v>
      </c>
      <c r="D710" s="3">
        <v>44</v>
      </c>
      <c r="E710" s="3" t="s">
        <v>249</v>
      </c>
      <c r="F710" s="4" t="s">
        <v>17</v>
      </c>
      <c r="G710" s="4" t="s">
        <v>41</v>
      </c>
      <c r="H710" t="s">
        <v>36</v>
      </c>
      <c r="I710" s="3">
        <v>3</v>
      </c>
      <c r="J710" s="5">
        <v>32669</v>
      </c>
      <c r="K710" s="7">
        <v>98007</v>
      </c>
      <c r="L710" s="6">
        <v>45341</v>
      </c>
      <c r="M710" s="8" t="str">
        <f>IF(K710&gt;10000,"High",IF(K710&gt;5000,"Medium","Low"))</f>
        <v>High</v>
      </c>
      <c r="N710" s="4" t="s">
        <v>244</v>
      </c>
      <c r="O710" s="3">
        <v>2</v>
      </c>
      <c r="P710" s="3">
        <v>2024</v>
      </c>
      <c r="T710" s="4"/>
      <c r="X710"/>
      <c r="Y710" s="3"/>
      <c r="AA710"/>
    </row>
    <row r="711" spans="1:27" x14ac:dyDescent="0.3">
      <c r="A711" s="3">
        <v>1398</v>
      </c>
      <c r="B711" s="4" t="s">
        <v>16</v>
      </c>
      <c r="C711" s="4" t="str">
        <f>IF(D711="","Unknown",IF(D711&lt;20,"Teen",IF(D711&lt;40,"Adult","Senior")))</f>
        <v>Senior</v>
      </c>
      <c r="D711" s="3">
        <v>44</v>
      </c>
      <c r="E711" s="3" t="s">
        <v>249</v>
      </c>
      <c r="F711" s="4" t="s">
        <v>40</v>
      </c>
      <c r="G711" s="4" t="s">
        <v>27</v>
      </c>
      <c r="H711" t="s">
        <v>13</v>
      </c>
      <c r="I711" s="3">
        <v>2</v>
      </c>
      <c r="J711" s="5">
        <v>1000</v>
      </c>
      <c r="K711" s="7">
        <v>2000</v>
      </c>
      <c r="L711" s="6">
        <v>45351</v>
      </c>
      <c r="M711" s="8" t="str">
        <f>IF(K711&gt;10000,"High",IF(K711&gt;5000,"Medium","Low"))</f>
        <v>Low</v>
      </c>
      <c r="N711" s="4" t="s">
        <v>244</v>
      </c>
      <c r="O711" s="3">
        <v>2</v>
      </c>
      <c r="P711" s="3">
        <v>2024</v>
      </c>
      <c r="T711" s="4"/>
      <c r="X711"/>
      <c r="Y711" s="3"/>
      <c r="AA711"/>
    </row>
    <row r="712" spans="1:27" x14ac:dyDescent="0.3">
      <c r="A712" s="3">
        <v>1399</v>
      </c>
      <c r="B712" s="4" t="s">
        <v>38</v>
      </c>
      <c r="C712" s="4" t="str">
        <f>IF(D712="","Unknown",IF(D712&lt;20,"Teen",IF(D712&lt;40,"Adult","Senior")))</f>
        <v>Adult</v>
      </c>
      <c r="D712" s="3">
        <v>30</v>
      </c>
      <c r="E712" s="3" t="s">
        <v>250</v>
      </c>
      <c r="F712" s="4" t="s">
        <v>40</v>
      </c>
      <c r="G712" s="4" t="s">
        <v>23</v>
      </c>
      <c r="H712" t="s">
        <v>30</v>
      </c>
      <c r="I712" s="3">
        <v>2</v>
      </c>
      <c r="J712" s="5">
        <v>37217</v>
      </c>
      <c r="K712" s="7">
        <v>74434</v>
      </c>
      <c r="L712" s="6">
        <v>45337</v>
      </c>
      <c r="M712" s="8" t="str">
        <f>IF(K712&gt;10000,"High",IF(K712&gt;5000,"Medium","Low"))</f>
        <v>High</v>
      </c>
      <c r="N712" s="4" t="s">
        <v>244</v>
      </c>
      <c r="O712" s="3">
        <v>2</v>
      </c>
      <c r="P712" s="3">
        <v>2024</v>
      </c>
      <c r="T712" s="4"/>
      <c r="X712"/>
      <c r="Y712" s="3"/>
      <c r="AA712"/>
    </row>
    <row r="713" spans="1:27" x14ac:dyDescent="0.3">
      <c r="A713" s="3">
        <v>1401</v>
      </c>
      <c r="B713" s="4" t="s">
        <v>10</v>
      </c>
      <c r="C713" s="4" t="str">
        <f>IF(D713="","Unknown",IF(D713&lt;20,"Teen",IF(D713&lt;40,"Adult","Senior")))</f>
        <v>Adult</v>
      </c>
      <c r="D713" s="3">
        <v>30</v>
      </c>
      <c r="E713" s="3" t="s">
        <v>250</v>
      </c>
      <c r="F713" s="4" t="s">
        <v>40</v>
      </c>
      <c r="G713" s="4" t="s">
        <v>23</v>
      </c>
      <c r="H713" t="s">
        <v>30</v>
      </c>
      <c r="I713" s="3">
        <v>4</v>
      </c>
      <c r="J713" s="5">
        <v>1000</v>
      </c>
      <c r="K713" s="7">
        <v>4000</v>
      </c>
      <c r="L713" s="6">
        <v>45348</v>
      </c>
      <c r="M713" s="8" t="str">
        <f>IF(K713&gt;10000,"High",IF(K713&gt;5000,"Medium","Low"))</f>
        <v>Low</v>
      </c>
      <c r="N713" s="4" t="s">
        <v>242</v>
      </c>
      <c r="O713" s="3">
        <v>2</v>
      </c>
      <c r="P713" s="3">
        <v>2024</v>
      </c>
      <c r="T713" s="4"/>
      <c r="X713"/>
      <c r="Y713" s="3"/>
      <c r="AA713"/>
    </row>
    <row r="714" spans="1:27" x14ac:dyDescent="0.3">
      <c r="A714" s="3">
        <v>1402</v>
      </c>
      <c r="B714" s="4" t="s">
        <v>68</v>
      </c>
      <c r="C714" s="4" t="str">
        <f>IF(D714="","Unknown",IF(D714&lt;20,"Teen",IF(D714&lt;40,"Adult","Senior")))</f>
        <v>Adult</v>
      </c>
      <c r="D714" s="3">
        <v>30</v>
      </c>
      <c r="E714" s="3" t="s">
        <v>250</v>
      </c>
      <c r="F714" s="4" t="s">
        <v>17</v>
      </c>
      <c r="G714" s="4" t="s">
        <v>44</v>
      </c>
      <c r="H714" t="s">
        <v>36</v>
      </c>
      <c r="I714" s="3">
        <v>2</v>
      </c>
      <c r="J714" s="5">
        <v>20701</v>
      </c>
      <c r="K714" s="7">
        <v>41402</v>
      </c>
      <c r="L714" s="6">
        <v>45336</v>
      </c>
      <c r="M714" s="8" t="str">
        <f>IF(K714&gt;10000,"High",IF(K714&gt;5000,"Medium","Low"))</f>
        <v>High</v>
      </c>
      <c r="N714" s="4" t="s">
        <v>241</v>
      </c>
      <c r="O714" s="3">
        <v>2</v>
      </c>
      <c r="P714" s="3">
        <v>2024</v>
      </c>
      <c r="T714" s="4"/>
      <c r="X714"/>
      <c r="Y714" s="3"/>
      <c r="AA714"/>
    </row>
    <row r="715" spans="1:27" x14ac:dyDescent="0.3">
      <c r="A715" s="3">
        <v>1406</v>
      </c>
      <c r="B715" s="4" t="s">
        <v>32</v>
      </c>
      <c r="C715" s="4" t="str">
        <f>IF(D715="","Unknown",IF(D715&lt;20,"Teen",IF(D715&lt;40,"Adult","Senior")))</f>
        <v>Adult</v>
      </c>
      <c r="D715" s="3">
        <v>30</v>
      </c>
      <c r="E715" s="3" t="s">
        <v>250</v>
      </c>
      <c r="F715" s="4" t="s">
        <v>40</v>
      </c>
      <c r="G715" s="4" t="s">
        <v>27</v>
      </c>
      <c r="H715" t="s">
        <v>13</v>
      </c>
      <c r="I715" s="3">
        <v>2</v>
      </c>
      <c r="J715" s="5">
        <v>42399</v>
      </c>
      <c r="K715" s="7">
        <v>84798</v>
      </c>
      <c r="L715" s="6">
        <v>45341</v>
      </c>
      <c r="M715" s="8" t="str">
        <f>IF(K715&gt;10000,"High",IF(K715&gt;5000,"Medium","Low"))</f>
        <v>High</v>
      </c>
      <c r="N715" s="4" t="s">
        <v>244</v>
      </c>
      <c r="O715" s="3">
        <v>2</v>
      </c>
      <c r="P715" s="3">
        <v>2024</v>
      </c>
      <c r="T715" s="4"/>
      <c r="X715"/>
      <c r="Y715" s="3"/>
      <c r="AA715"/>
    </row>
    <row r="716" spans="1:27" x14ac:dyDescent="0.3">
      <c r="A716" s="3">
        <v>1409</v>
      </c>
      <c r="B716" s="4" t="s">
        <v>38</v>
      </c>
      <c r="C716" s="4" t="str">
        <f>IF(D716="","Unknown",IF(D716&lt;20,"Teen",IF(D716&lt;40,"Adult","Senior")))</f>
        <v>Senior</v>
      </c>
      <c r="D716" s="3">
        <v>44</v>
      </c>
      <c r="E716" s="3" t="s">
        <v>249</v>
      </c>
      <c r="F716" s="4" t="s">
        <v>17</v>
      </c>
      <c r="G716" s="4" t="s">
        <v>44</v>
      </c>
      <c r="H716" t="s">
        <v>36</v>
      </c>
      <c r="I716" s="3">
        <v>2</v>
      </c>
      <c r="J716" s="5">
        <v>1000</v>
      </c>
      <c r="K716" s="7">
        <v>2000</v>
      </c>
      <c r="L716" s="6">
        <v>45332</v>
      </c>
      <c r="M716" s="8" t="str">
        <f>IF(K716&gt;10000,"High",IF(K716&gt;5000,"Medium","Low"))</f>
        <v>Low</v>
      </c>
      <c r="N716" s="4" t="s">
        <v>244</v>
      </c>
      <c r="O716" s="3">
        <v>2</v>
      </c>
      <c r="P716" s="3">
        <v>2024</v>
      </c>
      <c r="T716" s="4"/>
      <c r="X716"/>
      <c r="Y716" s="3"/>
      <c r="AA716"/>
    </row>
    <row r="717" spans="1:27" x14ac:dyDescent="0.3">
      <c r="A717" s="3">
        <v>1410</v>
      </c>
      <c r="B717" s="4" t="s">
        <v>68</v>
      </c>
      <c r="C717" s="4" t="str">
        <f>IF(D717="","Unknown",IF(D717&lt;20,"Teen",IF(D717&lt;40,"Adult","Senior")))</f>
        <v>Senior</v>
      </c>
      <c r="D717" s="3">
        <v>48</v>
      </c>
      <c r="E717" s="3" t="s">
        <v>249</v>
      </c>
      <c r="F717" s="4" t="s">
        <v>17</v>
      </c>
      <c r="G717" s="4" t="s">
        <v>23</v>
      </c>
      <c r="H717" t="s">
        <v>30</v>
      </c>
      <c r="I717" s="3">
        <v>4</v>
      </c>
      <c r="J717" s="5">
        <v>1000</v>
      </c>
      <c r="K717" s="7">
        <v>4000</v>
      </c>
      <c r="L717" s="6">
        <v>45344</v>
      </c>
      <c r="M717" s="8" t="str">
        <f>IF(K717&gt;10000,"High",IF(K717&gt;5000,"Medium","Low"))</f>
        <v>Low</v>
      </c>
      <c r="N717" s="4" t="s">
        <v>240</v>
      </c>
      <c r="O717" s="3">
        <v>2</v>
      </c>
      <c r="P717" s="3">
        <v>2024</v>
      </c>
      <c r="T717" s="4"/>
      <c r="X717"/>
      <c r="Y717" s="3"/>
      <c r="AA717"/>
    </row>
    <row r="718" spans="1:27" x14ac:dyDescent="0.3">
      <c r="A718" s="3">
        <v>1411</v>
      </c>
      <c r="B718" s="4" t="s">
        <v>62</v>
      </c>
      <c r="C718" s="4" t="str">
        <f>IF(D718="","Unknown",IF(D718&lt;20,"Teen",IF(D718&lt;40,"Adult","Senior")))</f>
        <v>Senior</v>
      </c>
      <c r="D718" s="3">
        <v>43</v>
      </c>
      <c r="E718" s="3" t="s">
        <v>249</v>
      </c>
      <c r="F718" s="4" t="s">
        <v>40</v>
      </c>
      <c r="G718" s="4" t="s">
        <v>51</v>
      </c>
      <c r="H718" t="s">
        <v>13</v>
      </c>
      <c r="I718" s="3">
        <v>2</v>
      </c>
      <c r="J718" s="5">
        <v>43389</v>
      </c>
      <c r="K718" s="7">
        <v>86778</v>
      </c>
      <c r="L718" s="6">
        <v>45332</v>
      </c>
      <c r="M718" s="8" t="str">
        <f>IF(K718&gt;10000,"High",IF(K718&gt;5000,"Medium","Low"))</f>
        <v>High</v>
      </c>
      <c r="N718" s="4" t="s">
        <v>242</v>
      </c>
      <c r="O718" s="3">
        <v>2</v>
      </c>
      <c r="P718" s="3">
        <v>2024</v>
      </c>
      <c r="T718" s="4"/>
      <c r="X718"/>
      <c r="Y718" s="3"/>
      <c r="AA718"/>
    </row>
    <row r="719" spans="1:27" x14ac:dyDescent="0.3">
      <c r="A719" s="3">
        <v>1416</v>
      </c>
      <c r="B719" s="4" t="s">
        <v>57</v>
      </c>
      <c r="C719" s="4" t="str">
        <f>IF(D719="","Unknown",IF(D719&lt;20,"Teen",IF(D719&lt;40,"Adult","Senior")))</f>
        <v>Adult</v>
      </c>
      <c r="D719" s="3">
        <v>30</v>
      </c>
      <c r="E719" s="3" t="s">
        <v>250</v>
      </c>
      <c r="F719" s="4" t="s">
        <v>17</v>
      </c>
      <c r="G719" s="4" t="s">
        <v>18</v>
      </c>
      <c r="H719" t="s">
        <v>30</v>
      </c>
      <c r="I719" s="3">
        <v>5</v>
      </c>
      <c r="J719" s="5">
        <v>1000</v>
      </c>
      <c r="K719" s="7">
        <v>5000</v>
      </c>
      <c r="L719" s="6">
        <v>45324</v>
      </c>
      <c r="M719" s="8" t="str">
        <f>IF(K719&gt;10000,"High",IF(K719&gt;5000,"Medium","Low"))</f>
        <v>Low</v>
      </c>
      <c r="N719" s="4" t="s">
        <v>241</v>
      </c>
      <c r="O719" s="3">
        <v>2</v>
      </c>
      <c r="P719" s="3">
        <v>2024</v>
      </c>
      <c r="T719" s="4"/>
      <c r="X719"/>
      <c r="Y719" s="3"/>
      <c r="AA719"/>
    </row>
    <row r="720" spans="1:27" x14ac:dyDescent="0.3">
      <c r="A720" s="3">
        <v>1419</v>
      </c>
      <c r="B720" s="4" t="s">
        <v>64</v>
      </c>
      <c r="C720" s="4" t="str">
        <f>IF(D720="","Unknown",IF(D720&lt;20,"Teen",IF(D720&lt;40,"Adult","Senior")))</f>
        <v>Adult</v>
      </c>
      <c r="D720" s="3">
        <v>30</v>
      </c>
      <c r="E720" s="3" t="s">
        <v>250</v>
      </c>
      <c r="F720" s="4" t="s">
        <v>40</v>
      </c>
      <c r="G720" s="4" t="s">
        <v>51</v>
      </c>
      <c r="H720" t="s">
        <v>13</v>
      </c>
      <c r="I720" s="3">
        <v>2</v>
      </c>
      <c r="J720" s="5">
        <v>1000</v>
      </c>
      <c r="K720" s="7">
        <v>2000</v>
      </c>
      <c r="L720" s="6">
        <v>45343</v>
      </c>
      <c r="M720" s="8" t="str">
        <f>IF(K720&gt;10000,"High",IF(K720&gt;5000,"Medium","Low"))</f>
        <v>Low</v>
      </c>
      <c r="N720" s="4" t="s">
        <v>244</v>
      </c>
      <c r="O720" s="3">
        <v>2</v>
      </c>
      <c r="P720" s="3">
        <v>2024</v>
      </c>
      <c r="T720" s="4"/>
      <c r="X720"/>
      <c r="Y720" s="3"/>
      <c r="AA720"/>
    </row>
    <row r="721" spans="1:27" x14ac:dyDescent="0.3">
      <c r="A721" s="3">
        <v>1422</v>
      </c>
      <c r="B721" s="4" t="s">
        <v>46</v>
      </c>
      <c r="C721" s="4" t="str">
        <f>IF(D721="","Unknown",IF(D721&lt;20,"Teen",IF(D721&lt;40,"Adult","Senior")))</f>
        <v>Adult</v>
      </c>
      <c r="D721" s="3">
        <v>24</v>
      </c>
      <c r="E721" s="3" t="s">
        <v>250</v>
      </c>
      <c r="F721" s="4" t="s">
        <v>17</v>
      </c>
      <c r="G721" s="4" t="s">
        <v>12</v>
      </c>
      <c r="H721" t="s">
        <v>13</v>
      </c>
      <c r="I721" s="3">
        <v>2</v>
      </c>
      <c r="J721" s="5">
        <v>49330</v>
      </c>
      <c r="K721" s="7">
        <v>98660</v>
      </c>
      <c r="L721" s="6">
        <v>45351</v>
      </c>
      <c r="M721" s="8" t="str">
        <f>IF(K721&gt;10000,"High",IF(K721&gt;5000,"Medium","Low"))</f>
        <v>High</v>
      </c>
      <c r="N721" s="4" t="s">
        <v>240</v>
      </c>
      <c r="O721" s="3">
        <v>2</v>
      </c>
      <c r="P721" s="3">
        <v>2024</v>
      </c>
      <c r="T721" s="4"/>
      <c r="X721"/>
      <c r="Y721" s="3"/>
      <c r="AA721"/>
    </row>
    <row r="722" spans="1:27" x14ac:dyDescent="0.3">
      <c r="A722" s="3">
        <v>1424</v>
      </c>
      <c r="B722" s="4" t="s">
        <v>54</v>
      </c>
      <c r="C722" s="4" t="str">
        <f>IF(D722="","Unknown",IF(D722&lt;20,"Teen",IF(D722&lt;40,"Adult","Senior")))</f>
        <v>Adult</v>
      </c>
      <c r="D722" s="3">
        <v>30</v>
      </c>
      <c r="E722" s="3" t="s">
        <v>250</v>
      </c>
      <c r="F722" s="4" t="s">
        <v>40</v>
      </c>
      <c r="G722" s="4" t="s">
        <v>12</v>
      </c>
      <c r="H722" t="s">
        <v>13</v>
      </c>
      <c r="I722" s="3">
        <v>5</v>
      </c>
      <c r="J722" s="5">
        <v>1000</v>
      </c>
      <c r="K722" s="7">
        <v>5000</v>
      </c>
      <c r="L722" s="6">
        <v>45349</v>
      </c>
      <c r="M722" s="8" t="str">
        <f>IF(K722&gt;10000,"High",IF(K722&gt;5000,"Medium","Low"))</f>
        <v>Low</v>
      </c>
      <c r="N722" s="4" t="s">
        <v>242</v>
      </c>
      <c r="O722" s="3">
        <v>2</v>
      </c>
      <c r="P722" s="3">
        <v>2024</v>
      </c>
      <c r="T722" s="4"/>
      <c r="X722"/>
      <c r="Y722" s="3"/>
      <c r="AA722"/>
    </row>
    <row r="723" spans="1:27" x14ac:dyDescent="0.3">
      <c r="A723" s="3">
        <v>1428</v>
      </c>
      <c r="B723" s="4" t="s">
        <v>35</v>
      </c>
      <c r="C723" s="4" t="str">
        <f>IF(D723="","Unknown",IF(D723&lt;20,"Teen",IF(D723&lt;40,"Adult","Senior")))</f>
        <v>Adult</v>
      </c>
      <c r="D723" s="3">
        <v>36</v>
      </c>
      <c r="E723" s="3" t="s">
        <v>249</v>
      </c>
      <c r="F723" s="4" t="s">
        <v>17</v>
      </c>
      <c r="G723" s="4" t="s">
        <v>18</v>
      </c>
      <c r="H723" t="s">
        <v>30</v>
      </c>
      <c r="I723" s="3">
        <v>2</v>
      </c>
      <c r="J723" s="5">
        <v>1000</v>
      </c>
      <c r="K723" s="7">
        <v>2000</v>
      </c>
      <c r="L723" s="6">
        <v>45333</v>
      </c>
      <c r="M723" s="8" t="str">
        <f>IF(K723&gt;10000,"High",IF(K723&gt;5000,"Medium","Low"))</f>
        <v>Low</v>
      </c>
      <c r="N723" s="4" t="s">
        <v>242</v>
      </c>
      <c r="O723" s="3">
        <v>2</v>
      </c>
      <c r="P723" s="3">
        <v>2024</v>
      </c>
      <c r="T723" s="4"/>
      <c r="X723"/>
      <c r="Y723" s="3"/>
      <c r="AA723"/>
    </row>
    <row r="724" spans="1:27" x14ac:dyDescent="0.3">
      <c r="A724" s="3">
        <v>1429</v>
      </c>
      <c r="B724" s="4" t="s">
        <v>25</v>
      </c>
      <c r="C724" s="4" t="str">
        <f>IF(D724="","Unknown",IF(D724&lt;20,"Teen",IF(D724&lt;40,"Adult","Senior")))</f>
        <v>Adult</v>
      </c>
      <c r="D724" s="3">
        <v>25</v>
      </c>
      <c r="E724" s="3" t="s">
        <v>250</v>
      </c>
      <c r="F724" s="4" t="s">
        <v>40</v>
      </c>
      <c r="G724" s="4" t="s">
        <v>55</v>
      </c>
      <c r="H724" t="s">
        <v>36</v>
      </c>
      <c r="I724" s="3">
        <v>2</v>
      </c>
      <c r="J724" s="5">
        <v>1000</v>
      </c>
      <c r="K724" s="7">
        <v>2000</v>
      </c>
      <c r="L724" s="6">
        <v>45329</v>
      </c>
      <c r="M724" s="8" t="str">
        <f>IF(K724&gt;10000,"High",IF(K724&gt;5000,"Medium","Low"))</f>
        <v>Low</v>
      </c>
      <c r="N724" s="4" t="s">
        <v>242</v>
      </c>
      <c r="O724" s="3">
        <v>2</v>
      </c>
      <c r="P724" s="3">
        <v>2024</v>
      </c>
      <c r="T724" s="4"/>
      <c r="X724"/>
      <c r="Y724" s="3"/>
      <c r="AA724"/>
    </row>
    <row r="725" spans="1:27" x14ac:dyDescent="0.3">
      <c r="A725" s="3">
        <v>1430</v>
      </c>
      <c r="B725" s="4" t="s">
        <v>35</v>
      </c>
      <c r="C725" s="4" t="str">
        <f>IF(D725="","Unknown",IF(D725&lt;20,"Teen",IF(D725&lt;40,"Adult","Senior")))</f>
        <v>Senior</v>
      </c>
      <c r="D725" s="3">
        <v>50</v>
      </c>
      <c r="E725" s="3" t="s">
        <v>249</v>
      </c>
      <c r="F725" s="4" t="s">
        <v>40</v>
      </c>
      <c r="G725" s="4" t="s">
        <v>55</v>
      </c>
      <c r="H725" t="s">
        <v>36</v>
      </c>
      <c r="I725" s="3">
        <v>2</v>
      </c>
      <c r="J725" s="5">
        <v>1000</v>
      </c>
      <c r="K725" s="7">
        <v>2000</v>
      </c>
      <c r="L725" s="6">
        <v>45349</v>
      </c>
      <c r="M725" s="8" t="str">
        <f>IF(K725&gt;10000,"High",IF(K725&gt;5000,"Medium","Low"))</f>
        <v>Low</v>
      </c>
      <c r="N725" s="4" t="s">
        <v>243</v>
      </c>
      <c r="O725" s="3">
        <v>2</v>
      </c>
      <c r="P725" s="3">
        <v>2024</v>
      </c>
      <c r="T725" s="4"/>
      <c r="X725"/>
      <c r="Y725" s="3"/>
      <c r="AA725"/>
    </row>
    <row r="726" spans="1:27" x14ac:dyDescent="0.3">
      <c r="A726" s="3">
        <v>1433</v>
      </c>
      <c r="B726" s="4" t="s">
        <v>16</v>
      </c>
      <c r="C726" s="4" t="str">
        <f>IF(D726="","Unknown",IF(D726&lt;20,"Teen",IF(D726&lt;40,"Adult","Senior")))</f>
        <v>Adult</v>
      </c>
      <c r="D726" s="3">
        <v>30</v>
      </c>
      <c r="E726" s="3" t="s">
        <v>250</v>
      </c>
      <c r="F726" s="4" t="s">
        <v>17</v>
      </c>
      <c r="G726" s="4" t="s">
        <v>55</v>
      </c>
      <c r="H726" t="s">
        <v>36</v>
      </c>
      <c r="I726" s="3">
        <v>5</v>
      </c>
      <c r="J726" s="5">
        <v>1000</v>
      </c>
      <c r="K726" s="7">
        <v>5000</v>
      </c>
      <c r="L726" s="6">
        <v>45324</v>
      </c>
      <c r="M726" s="8" t="str">
        <f>IF(K726&gt;10000,"High",IF(K726&gt;5000,"Medium","Low"))</f>
        <v>Low</v>
      </c>
      <c r="N726" s="4" t="s">
        <v>240</v>
      </c>
      <c r="O726" s="3">
        <v>2</v>
      </c>
      <c r="P726" s="3">
        <v>2024</v>
      </c>
      <c r="T726" s="4"/>
      <c r="X726"/>
      <c r="Y726" s="3"/>
      <c r="AA726"/>
    </row>
    <row r="727" spans="1:27" x14ac:dyDescent="0.3">
      <c r="A727" s="3">
        <v>1436</v>
      </c>
      <c r="B727" s="4" t="s">
        <v>69</v>
      </c>
      <c r="C727" s="4" t="str">
        <f>IF(D727="","Unknown",IF(D727&lt;20,"Teen",IF(D727&lt;40,"Adult","Senior")))</f>
        <v>Adult</v>
      </c>
      <c r="D727" s="3">
        <v>23</v>
      </c>
      <c r="E727" s="3" t="s">
        <v>250</v>
      </c>
      <c r="F727" s="4" t="s">
        <v>40</v>
      </c>
      <c r="G727" s="4" t="s">
        <v>12</v>
      </c>
      <c r="H727" t="s">
        <v>13</v>
      </c>
      <c r="I727" s="3">
        <v>5</v>
      </c>
      <c r="J727" s="5">
        <v>1250</v>
      </c>
      <c r="K727" s="7">
        <v>6250</v>
      </c>
      <c r="L727" s="6">
        <v>45337</v>
      </c>
      <c r="M727" s="8" t="str">
        <f>IF(K727&gt;10000,"High",IF(K727&gt;5000,"Medium","Low"))</f>
        <v>Medium</v>
      </c>
      <c r="N727" s="4" t="s">
        <v>242</v>
      </c>
      <c r="O727" s="3">
        <v>2</v>
      </c>
      <c r="P727" s="3">
        <v>2024</v>
      </c>
      <c r="T727" s="4"/>
      <c r="X727"/>
      <c r="Y727" s="3"/>
      <c r="AA727"/>
    </row>
    <row r="728" spans="1:27" x14ac:dyDescent="0.3">
      <c r="A728" s="3">
        <v>1439</v>
      </c>
      <c r="B728" s="4" t="s">
        <v>46</v>
      </c>
      <c r="C728" s="4" t="str">
        <f>IF(D728="","Unknown",IF(D728&lt;20,"Teen",IF(D728&lt;40,"Adult","Senior")))</f>
        <v>Adult</v>
      </c>
      <c r="D728" s="3">
        <v>29</v>
      </c>
      <c r="E728" s="3" t="s">
        <v>250</v>
      </c>
      <c r="F728" s="4" t="s">
        <v>17</v>
      </c>
      <c r="G728" s="4" t="s">
        <v>27</v>
      </c>
      <c r="H728" t="s">
        <v>13</v>
      </c>
      <c r="I728" s="3">
        <v>2</v>
      </c>
      <c r="J728" s="5">
        <v>1000</v>
      </c>
      <c r="K728" s="7">
        <v>2000</v>
      </c>
      <c r="L728" s="6">
        <v>45343</v>
      </c>
      <c r="M728" s="8" t="str">
        <f>IF(K728&gt;10000,"High",IF(K728&gt;5000,"Medium","Low"))</f>
        <v>Low</v>
      </c>
      <c r="N728" s="4" t="s">
        <v>243</v>
      </c>
      <c r="O728" s="3">
        <v>2</v>
      </c>
      <c r="P728" s="3">
        <v>2024</v>
      </c>
      <c r="T728" s="4"/>
      <c r="X728"/>
      <c r="Y728" s="3"/>
      <c r="AA728"/>
    </row>
    <row r="729" spans="1:27" x14ac:dyDescent="0.3">
      <c r="A729" s="3">
        <v>1440</v>
      </c>
      <c r="B729" s="4" t="s">
        <v>73</v>
      </c>
      <c r="C729" s="4" t="str">
        <f>IF(D729="","Unknown",IF(D729&lt;20,"Teen",IF(D729&lt;40,"Adult","Senior")))</f>
        <v>Adult</v>
      </c>
      <c r="D729" s="3">
        <v>36</v>
      </c>
      <c r="E729" s="3" t="s">
        <v>249</v>
      </c>
      <c r="F729" s="4" t="s">
        <v>17</v>
      </c>
      <c r="G729" s="4" t="s">
        <v>18</v>
      </c>
      <c r="H729" t="s">
        <v>30</v>
      </c>
      <c r="I729" s="3">
        <v>2</v>
      </c>
      <c r="J729" s="5">
        <v>9001</v>
      </c>
      <c r="K729" s="7">
        <v>18002</v>
      </c>
      <c r="L729" s="6">
        <v>45339</v>
      </c>
      <c r="M729" s="8" t="str">
        <f>IF(K729&gt;10000,"High",IF(K729&gt;5000,"Medium","Low"))</f>
        <v>High</v>
      </c>
      <c r="N729" s="4" t="s">
        <v>242</v>
      </c>
      <c r="O729" s="3">
        <v>2</v>
      </c>
      <c r="P729" s="3">
        <v>2024</v>
      </c>
      <c r="T729" s="4"/>
      <c r="X729"/>
      <c r="Y729" s="3"/>
      <c r="AA729"/>
    </row>
    <row r="730" spans="1:27" x14ac:dyDescent="0.3">
      <c r="A730" s="3">
        <v>1441</v>
      </c>
      <c r="B730" s="4" t="s">
        <v>69</v>
      </c>
      <c r="C730" s="4" t="str">
        <f>IF(D730="","Unknown",IF(D730&lt;20,"Teen",IF(D730&lt;40,"Adult","Senior")))</f>
        <v>Adult</v>
      </c>
      <c r="D730" s="3">
        <v>30</v>
      </c>
      <c r="E730" s="3" t="s">
        <v>250</v>
      </c>
      <c r="F730" s="4" t="s">
        <v>40</v>
      </c>
      <c r="G730" s="4" t="s">
        <v>12</v>
      </c>
      <c r="H730" t="s">
        <v>13</v>
      </c>
      <c r="I730" s="3">
        <v>2</v>
      </c>
      <c r="J730" s="5">
        <v>45069</v>
      </c>
      <c r="K730" s="7">
        <v>90138</v>
      </c>
      <c r="L730" s="6">
        <v>45350</v>
      </c>
      <c r="M730" s="8" t="str">
        <f>IF(K730&gt;10000,"High",IF(K730&gt;5000,"Medium","Low"))</f>
        <v>High</v>
      </c>
      <c r="N730" s="4" t="s">
        <v>244</v>
      </c>
      <c r="O730" s="3">
        <v>2</v>
      </c>
      <c r="P730" s="3">
        <v>2024</v>
      </c>
      <c r="T730" s="4"/>
      <c r="X730"/>
      <c r="Y730" s="3"/>
      <c r="AA730"/>
    </row>
    <row r="731" spans="1:27" x14ac:dyDescent="0.3">
      <c r="A731" s="3">
        <v>1445</v>
      </c>
      <c r="B731" s="4" t="s">
        <v>62</v>
      </c>
      <c r="C731" s="4" t="str">
        <f>IF(D731="","Unknown",IF(D731&lt;20,"Teen",IF(D731&lt;40,"Adult","Senior")))</f>
        <v>Adult</v>
      </c>
      <c r="D731" s="3">
        <v>30</v>
      </c>
      <c r="E731" s="3" t="s">
        <v>250</v>
      </c>
      <c r="F731" s="4" t="s">
        <v>40</v>
      </c>
      <c r="G731" s="4" t="s">
        <v>51</v>
      </c>
      <c r="H731" t="s">
        <v>13</v>
      </c>
      <c r="I731" s="3">
        <v>4</v>
      </c>
      <c r="J731" s="5">
        <v>1000</v>
      </c>
      <c r="K731" s="7">
        <v>4000</v>
      </c>
      <c r="L731" s="6">
        <v>45334</v>
      </c>
      <c r="M731" s="8" t="str">
        <f>IF(K731&gt;10000,"High",IF(K731&gt;5000,"Medium","Low"))</f>
        <v>Low</v>
      </c>
      <c r="N731" s="4" t="s">
        <v>242</v>
      </c>
      <c r="O731" s="3">
        <v>2</v>
      </c>
      <c r="P731" s="3">
        <v>2024</v>
      </c>
      <c r="T731" s="4"/>
      <c r="X731"/>
      <c r="Y731" s="3"/>
      <c r="AA731"/>
    </row>
    <row r="732" spans="1:27" x14ac:dyDescent="0.3">
      <c r="A732" s="3">
        <v>1446</v>
      </c>
      <c r="B732" s="4" t="s">
        <v>32</v>
      </c>
      <c r="C732" s="4" t="str">
        <f>IF(D732="","Unknown",IF(D732&lt;20,"Teen",IF(D732&lt;40,"Adult","Senior")))</f>
        <v>Senior</v>
      </c>
      <c r="D732" s="3">
        <v>46</v>
      </c>
      <c r="E732" s="3" t="s">
        <v>249</v>
      </c>
      <c r="F732" s="4" t="s">
        <v>40</v>
      </c>
      <c r="G732" s="4" t="s">
        <v>41</v>
      </c>
      <c r="H732" t="s">
        <v>36</v>
      </c>
      <c r="I732" s="3">
        <v>2</v>
      </c>
      <c r="J732" s="5">
        <v>1000</v>
      </c>
      <c r="K732" s="7">
        <v>2000</v>
      </c>
      <c r="L732" s="6">
        <v>45345</v>
      </c>
      <c r="M732" s="8" t="str">
        <f>IF(K732&gt;10000,"High",IF(K732&gt;5000,"Medium","Low"))</f>
        <v>Low</v>
      </c>
      <c r="N732" s="4" t="s">
        <v>240</v>
      </c>
      <c r="O732" s="3">
        <v>2</v>
      </c>
      <c r="P732" s="3">
        <v>2024</v>
      </c>
      <c r="T732" s="4"/>
      <c r="X732"/>
      <c r="Y732" s="3"/>
      <c r="AA732"/>
    </row>
    <row r="733" spans="1:27" x14ac:dyDescent="0.3">
      <c r="A733" s="3">
        <v>1449</v>
      </c>
      <c r="B733" s="4" t="s">
        <v>68</v>
      </c>
      <c r="C733" s="4" t="str">
        <f>IF(D733="","Unknown",IF(D733&lt;20,"Teen",IF(D733&lt;40,"Adult","Senior")))</f>
        <v>Adult</v>
      </c>
      <c r="D733" s="3">
        <v>30</v>
      </c>
      <c r="E733" s="3" t="s">
        <v>250</v>
      </c>
      <c r="F733" s="4" t="s">
        <v>17</v>
      </c>
      <c r="G733" s="4" t="s">
        <v>18</v>
      </c>
      <c r="H733" t="s">
        <v>30</v>
      </c>
      <c r="I733" s="3">
        <v>2</v>
      </c>
      <c r="J733" s="5">
        <v>1000</v>
      </c>
      <c r="K733" s="7">
        <v>2000</v>
      </c>
      <c r="L733" s="6">
        <v>45340</v>
      </c>
      <c r="M733" s="8" t="str">
        <f>IF(K733&gt;10000,"High",IF(K733&gt;5000,"Medium","Low"))</f>
        <v>Low</v>
      </c>
      <c r="N733" s="4" t="s">
        <v>241</v>
      </c>
      <c r="O733" s="3">
        <v>2</v>
      </c>
      <c r="P733" s="3">
        <v>2024</v>
      </c>
      <c r="T733" s="4"/>
      <c r="X733"/>
      <c r="Y733" s="3"/>
      <c r="AA733"/>
    </row>
    <row r="734" spans="1:27" x14ac:dyDescent="0.3">
      <c r="A734" s="3">
        <v>1453</v>
      </c>
      <c r="B734" s="4" t="s">
        <v>78</v>
      </c>
      <c r="C734" s="4" t="str">
        <f>IF(D734="","Unknown",IF(D734&lt;20,"Teen",IF(D734&lt;40,"Adult","Senior")))</f>
        <v>Adult</v>
      </c>
      <c r="D734" s="3">
        <v>30</v>
      </c>
      <c r="E734" s="3" t="s">
        <v>250</v>
      </c>
      <c r="F734" s="4" t="s">
        <v>40</v>
      </c>
      <c r="G734" s="4" t="s">
        <v>41</v>
      </c>
      <c r="H734" t="s">
        <v>36</v>
      </c>
      <c r="I734" s="3">
        <v>1</v>
      </c>
      <c r="J734" s="5">
        <v>1000</v>
      </c>
      <c r="K734" s="7">
        <v>1000</v>
      </c>
      <c r="L734" s="6">
        <v>45345</v>
      </c>
      <c r="M734" s="8" t="str">
        <f>IF(K734&gt;10000,"High",IF(K734&gt;5000,"Medium","Low"))</f>
        <v>Low</v>
      </c>
      <c r="N734" s="4" t="s">
        <v>243</v>
      </c>
      <c r="O734" s="3">
        <v>2</v>
      </c>
      <c r="P734" s="3">
        <v>2024</v>
      </c>
      <c r="T734" s="4"/>
      <c r="X734"/>
      <c r="Y734" s="3"/>
      <c r="AA734"/>
    </row>
    <row r="735" spans="1:27" x14ac:dyDescent="0.3">
      <c r="A735" s="3">
        <v>1454</v>
      </c>
      <c r="B735" s="4" t="s">
        <v>54</v>
      </c>
      <c r="C735" s="4" t="str">
        <f>IF(D735="","Unknown",IF(D735&lt;20,"Teen",IF(D735&lt;40,"Adult","Senior")))</f>
        <v>Adult</v>
      </c>
      <c r="D735" s="3">
        <v>21</v>
      </c>
      <c r="E735" s="3" t="s">
        <v>250</v>
      </c>
      <c r="F735" s="4" t="s">
        <v>40</v>
      </c>
      <c r="G735" s="4" t="s">
        <v>23</v>
      </c>
      <c r="H735" t="s">
        <v>30</v>
      </c>
      <c r="I735" s="3">
        <v>5</v>
      </c>
      <c r="J735" s="5">
        <v>43431</v>
      </c>
      <c r="K735" s="7">
        <v>217155</v>
      </c>
      <c r="L735" s="6">
        <v>45340</v>
      </c>
      <c r="M735" s="8" t="str">
        <f>IF(K735&gt;10000,"High",IF(K735&gt;5000,"Medium","Low"))</f>
        <v>High</v>
      </c>
      <c r="N735" s="4" t="s">
        <v>242</v>
      </c>
      <c r="O735" s="3">
        <v>2</v>
      </c>
      <c r="P735" s="3">
        <v>2024</v>
      </c>
      <c r="T735" s="4"/>
      <c r="X735"/>
      <c r="Y735" s="3"/>
      <c r="AA735"/>
    </row>
    <row r="736" spans="1:27" x14ac:dyDescent="0.3">
      <c r="A736" s="3">
        <v>1455</v>
      </c>
      <c r="B736" s="4" t="s">
        <v>57</v>
      </c>
      <c r="C736" s="4" t="str">
        <f>IF(D736="","Unknown",IF(D736&lt;20,"Teen",IF(D736&lt;40,"Adult","Senior")))</f>
        <v>Adult</v>
      </c>
      <c r="D736" s="3">
        <v>30</v>
      </c>
      <c r="E736" s="3" t="s">
        <v>250</v>
      </c>
      <c r="F736" s="4" t="s">
        <v>40</v>
      </c>
      <c r="G736" s="4" t="s">
        <v>41</v>
      </c>
      <c r="H736" t="s">
        <v>36</v>
      </c>
      <c r="I736" s="3">
        <v>3</v>
      </c>
      <c r="J736" s="5">
        <v>16090</v>
      </c>
      <c r="K736" s="7">
        <v>48270</v>
      </c>
      <c r="L736" s="6">
        <v>45324</v>
      </c>
      <c r="M736" s="8" t="str">
        <f>IF(K736&gt;10000,"High",IF(K736&gt;5000,"Medium","Low"))</f>
        <v>High</v>
      </c>
      <c r="N736" s="4" t="s">
        <v>242</v>
      </c>
      <c r="O736" s="3">
        <v>2</v>
      </c>
      <c r="P736" s="3">
        <v>2024</v>
      </c>
      <c r="T736" s="4"/>
      <c r="X736"/>
      <c r="Y736" s="3"/>
      <c r="AA736"/>
    </row>
    <row r="737" spans="1:27" x14ac:dyDescent="0.3">
      <c r="A737" s="3">
        <v>1458</v>
      </c>
      <c r="B737" s="4" t="s">
        <v>21</v>
      </c>
      <c r="C737" s="4" t="str">
        <f>IF(D737="","Unknown",IF(D737&lt;20,"Teen",IF(D737&lt;40,"Adult","Senior")))</f>
        <v>Adult</v>
      </c>
      <c r="D737" s="3">
        <v>30</v>
      </c>
      <c r="E737" s="3" t="s">
        <v>250</v>
      </c>
      <c r="F737" s="4" t="s">
        <v>40</v>
      </c>
      <c r="G737" s="4" t="s">
        <v>18</v>
      </c>
      <c r="H737" t="s">
        <v>30</v>
      </c>
      <c r="I737" s="3">
        <v>4</v>
      </c>
      <c r="J737" s="5">
        <v>16811</v>
      </c>
      <c r="K737" s="7">
        <v>67244</v>
      </c>
      <c r="L737" s="6">
        <v>45350</v>
      </c>
      <c r="M737" s="8" t="str">
        <f>IF(K737&gt;10000,"High",IF(K737&gt;5000,"Medium","Low"))</f>
        <v>High</v>
      </c>
      <c r="N737" s="4" t="s">
        <v>242</v>
      </c>
      <c r="O737" s="3">
        <v>2</v>
      </c>
      <c r="P737" s="3">
        <v>2024</v>
      </c>
      <c r="T737" s="4"/>
      <c r="X737"/>
      <c r="Y737" s="3"/>
      <c r="AA737"/>
    </row>
    <row r="738" spans="1:27" x14ac:dyDescent="0.3">
      <c r="A738" s="3">
        <v>1459</v>
      </c>
      <c r="B738" s="4" t="s">
        <v>69</v>
      </c>
      <c r="C738" s="4" t="str">
        <f>IF(D738="","Unknown",IF(D738&lt;20,"Teen",IF(D738&lt;40,"Adult","Senior")))</f>
        <v>Adult</v>
      </c>
      <c r="D738" s="3">
        <v>24</v>
      </c>
      <c r="E738" s="3" t="s">
        <v>250</v>
      </c>
      <c r="F738" s="4" t="s">
        <v>40</v>
      </c>
      <c r="G738" s="4" t="s">
        <v>18</v>
      </c>
      <c r="H738" t="s">
        <v>30</v>
      </c>
      <c r="I738" s="3">
        <v>2</v>
      </c>
      <c r="J738" s="5">
        <v>40431</v>
      </c>
      <c r="K738" s="7">
        <v>80862</v>
      </c>
      <c r="L738" s="6">
        <v>45351</v>
      </c>
      <c r="M738" s="8" t="str">
        <f>IF(K738&gt;10000,"High",IF(K738&gt;5000,"Medium","Low"))</f>
        <v>High</v>
      </c>
      <c r="N738" s="4" t="s">
        <v>241</v>
      </c>
      <c r="O738" s="3">
        <v>2</v>
      </c>
      <c r="P738" s="3">
        <v>2024</v>
      </c>
      <c r="T738" s="4"/>
      <c r="X738"/>
      <c r="Y738" s="3"/>
      <c r="AA738"/>
    </row>
    <row r="739" spans="1:27" x14ac:dyDescent="0.3">
      <c r="A739" s="3">
        <v>1463</v>
      </c>
      <c r="B739" s="4" t="s">
        <v>57</v>
      </c>
      <c r="C739" s="4" t="str">
        <f>IF(D739="","Unknown",IF(D739&lt;20,"Teen",IF(D739&lt;40,"Adult","Senior")))</f>
        <v>Adult</v>
      </c>
      <c r="D739" s="3">
        <v>30</v>
      </c>
      <c r="E739" s="3" t="s">
        <v>250</v>
      </c>
      <c r="F739" s="4" t="s">
        <v>40</v>
      </c>
      <c r="G739" s="4" t="s">
        <v>55</v>
      </c>
      <c r="H739" t="s">
        <v>36</v>
      </c>
      <c r="I739" s="3">
        <v>4</v>
      </c>
      <c r="J739" s="5">
        <v>1000</v>
      </c>
      <c r="K739" s="7">
        <v>4000</v>
      </c>
      <c r="L739" s="6">
        <v>45333</v>
      </c>
      <c r="M739" s="8" t="str">
        <f>IF(K739&gt;10000,"High",IF(K739&gt;5000,"Medium","Low"))</f>
        <v>Low</v>
      </c>
      <c r="N739" s="4" t="s">
        <v>241</v>
      </c>
      <c r="O739" s="3">
        <v>2</v>
      </c>
      <c r="P739" s="3">
        <v>2024</v>
      </c>
      <c r="T739" s="4"/>
      <c r="X739"/>
      <c r="Y739" s="3"/>
      <c r="AA739"/>
    </row>
    <row r="740" spans="1:27" x14ac:dyDescent="0.3">
      <c r="A740" s="3">
        <v>1464</v>
      </c>
      <c r="B740" s="4" t="s">
        <v>73</v>
      </c>
      <c r="C740" s="4" t="str">
        <f>IF(D740="","Unknown",IF(D740&lt;20,"Teen",IF(D740&lt;40,"Adult","Senior")))</f>
        <v>Adult</v>
      </c>
      <c r="D740" s="3">
        <v>30</v>
      </c>
      <c r="E740" s="3" t="s">
        <v>250</v>
      </c>
      <c r="F740" s="4" t="s">
        <v>17</v>
      </c>
      <c r="G740" s="4" t="s">
        <v>12</v>
      </c>
      <c r="H740" t="s">
        <v>13</v>
      </c>
      <c r="I740" s="3">
        <v>2</v>
      </c>
      <c r="J740" s="5">
        <v>13055</v>
      </c>
      <c r="K740" s="7">
        <v>26110</v>
      </c>
      <c r="L740" s="6">
        <v>45338</v>
      </c>
      <c r="M740" s="8" t="str">
        <f>IF(K740&gt;10000,"High",IF(K740&gt;5000,"Medium","Low"))</f>
        <v>High</v>
      </c>
      <c r="N740" s="4" t="s">
        <v>244</v>
      </c>
      <c r="O740" s="3">
        <v>2</v>
      </c>
      <c r="P740" s="3">
        <v>2024</v>
      </c>
      <c r="T740" s="4"/>
      <c r="X740"/>
      <c r="Y740" s="3"/>
      <c r="AA740"/>
    </row>
    <row r="741" spans="1:27" x14ac:dyDescent="0.3">
      <c r="A741" s="3">
        <v>1466</v>
      </c>
      <c r="B741" s="4" t="s">
        <v>38</v>
      </c>
      <c r="C741" s="4" t="str">
        <f>IF(D741="","Unknown",IF(D741&lt;20,"Teen",IF(D741&lt;40,"Adult","Senior")))</f>
        <v>Adult</v>
      </c>
      <c r="D741" s="3">
        <v>30</v>
      </c>
      <c r="E741" s="3" t="s">
        <v>250</v>
      </c>
      <c r="F741" s="4" t="s">
        <v>17</v>
      </c>
      <c r="G741" s="4" t="s">
        <v>27</v>
      </c>
      <c r="H741" t="s">
        <v>13</v>
      </c>
      <c r="I741" s="3">
        <v>2</v>
      </c>
      <c r="J741" s="5">
        <v>1000</v>
      </c>
      <c r="K741" s="7">
        <v>2000</v>
      </c>
      <c r="L741" s="6">
        <v>45333</v>
      </c>
      <c r="M741" s="8" t="str">
        <f>IF(K741&gt;10000,"High",IF(K741&gt;5000,"Medium","Low"))</f>
        <v>Low</v>
      </c>
      <c r="N741" s="4" t="s">
        <v>242</v>
      </c>
      <c r="O741" s="3">
        <v>2</v>
      </c>
      <c r="P741" s="3">
        <v>2024</v>
      </c>
      <c r="T741" s="4"/>
      <c r="X741"/>
      <c r="Y741" s="3"/>
      <c r="AA741"/>
    </row>
    <row r="742" spans="1:27" x14ac:dyDescent="0.3">
      <c r="A742" s="3">
        <v>1473</v>
      </c>
      <c r="B742" s="4" t="s">
        <v>10</v>
      </c>
      <c r="C742" s="4" t="str">
        <f>IF(D742="","Unknown",IF(D742&lt;20,"Teen",IF(D742&lt;40,"Adult","Senior")))</f>
        <v>Adult</v>
      </c>
      <c r="D742" s="3">
        <v>33</v>
      </c>
      <c r="E742" s="3" t="s">
        <v>249</v>
      </c>
      <c r="F742" s="4" t="s">
        <v>40</v>
      </c>
      <c r="G742" s="4" t="s">
        <v>18</v>
      </c>
      <c r="H742" t="s">
        <v>30</v>
      </c>
      <c r="I742" s="3">
        <v>4</v>
      </c>
      <c r="J742" s="5">
        <v>1000</v>
      </c>
      <c r="K742" s="7">
        <v>4000</v>
      </c>
      <c r="L742" s="6">
        <v>45338</v>
      </c>
      <c r="M742" s="8" t="str">
        <f>IF(K742&gt;10000,"High",IF(K742&gt;5000,"Medium","Low"))</f>
        <v>Low</v>
      </c>
      <c r="N742" s="4" t="s">
        <v>240</v>
      </c>
      <c r="O742" s="3">
        <v>2</v>
      </c>
      <c r="P742" s="3">
        <v>2024</v>
      </c>
      <c r="T742" s="4"/>
      <c r="X742"/>
      <c r="Y742" s="3"/>
      <c r="AA742"/>
    </row>
    <row r="743" spans="1:27" x14ac:dyDescent="0.3">
      <c r="A743" s="3">
        <v>1474</v>
      </c>
      <c r="B743" s="4" t="s">
        <v>32</v>
      </c>
      <c r="C743" s="4" t="str">
        <f>IF(D743="","Unknown",IF(D743&lt;20,"Teen",IF(D743&lt;40,"Adult","Senior")))</f>
        <v>Adult</v>
      </c>
      <c r="D743" s="3">
        <v>24</v>
      </c>
      <c r="E743" s="3" t="s">
        <v>250</v>
      </c>
      <c r="F743" s="4" t="s">
        <v>40</v>
      </c>
      <c r="G743" s="4" t="s">
        <v>18</v>
      </c>
      <c r="H743" t="s">
        <v>30</v>
      </c>
      <c r="I743" s="3">
        <v>2</v>
      </c>
      <c r="J743" s="5">
        <v>1000</v>
      </c>
      <c r="K743" s="7">
        <v>2000</v>
      </c>
      <c r="L743" s="6">
        <v>45328</v>
      </c>
      <c r="M743" s="8" t="str">
        <f>IF(K743&gt;10000,"High",IF(K743&gt;5000,"Medium","Low"))</f>
        <v>Low</v>
      </c>
      <c r="N743" s="4" t="s">
        <v>241</v>
      </c>
      <c r="O743" s="3">
        <v>2</v>
      </c>
      <c r="P743" s="3">
        <v>2024</v>
      </c>
      <c r="T743" s="4"/>
      <c r="X743"/>
      <c r="Y743" s="3"/>
      <c r="AA743"/>
    </row>
    <row r="744" spans="1:27" x14ac:dyDescent="0.3">
      <c r="A744" s="3">
        <v>1477</v>
      </c>
      <c r="B744" s="4" t="s">
        <v>25</v>
      </c>
      <c r="C744" s="4" t="str">
        <f>IF(D744="","Unknown",IF(D744&lt;20,"Teen",IF(D744&lt;40,"Adult","Senior")))</f>
        <v>Adult</v>
      </c>
      <c r="D744" s="3">
        <v>30</v>
      </c>
      <c r="E744" s="3" t="s">
        <v>250</v>
      </c>
      <c r="F744" s="4" t="s">
        <v>17</v>
      </c>
      <c r="G744" s="4" t="s">
        <v>23</v>
      </c>
      <c r="H744" t="s">
        <v>30</v>
      </c>
      <c r="I744" s="3">
        <v>5</v>
      </c>
      <c r="J744" s="5">
        <v>14195</v>
      </c>
      <c r="K744" s="7">
        <v>70975</v>
      </c>
      <c r="L744" s="6">
        <v>45329</v>
      </c>
      <c r="M744" s="8" t="str">
        <f>IF(K744&gt;10000,"High",IF(K744&gt;5000,"Medium","Low"))</f>
        <v>High</v>
      </c>
      <c r="N744" s="4" t="s">
        <v>243</v>
      </c>
      <c r="O744" s="3">
        <v>2</v>
      </c>
      <c r="P744" s="3">
        <v>2024</v>
      </c>
      <c r="T744" s="4"/>
      <c r="X744"/>
      <c r="Y744" s="3"/>
      <c r="AA744"/>
    </row>
    <row r="745" spans="1:27" x14ac:dyDescent="0.3">
      <c r="A745" s="3">
        <v>1479</v>
      </c>
      <c r="B745" s="4" t="s">
        <v>69</v>
      </c>
      <c r="C745" s="4" t="str">
        <f>IF(D745="","Unknown",IF(D745&lt;20,"Teen",IF(D745&lt;40,"Adult","Senior")))</f>
        <v>Adult</v>
      </c>
      <c r="D745" s="3">
        <v>30</v>
      </c>
      <c r="E745" s="3" t="s">
        <v>250</v>
      </c>
      <c r="F745" s="4" t="s">
        <v>40</v>
      </c>
      <c r="G745" s="4" t="s">
        <v>41</v>
      </c>
      <c r="H745" t="s">
        <v>36</v>
      </c>
      <c r="I745" s="3">
        <v>2</v>
      </c>
      <c r="J745" s="5">
        <v>1000</v>
      </c>
      <c r="K745" s="7">
        <v>2000</v>
      </c>
      <c r="L745" s="6">
        <v>45341</v>
      </c>
      <c r="M745" s="8" t="str">
        <f>IF(K745&gt;10000,"High",IF(K745&gt;5000,"Medium","Low"))</f>
        <v>Low</v>
      </c>
      <c r="N745" s="4" t="s">
        <v>242</v>
      </c>
      <c r="O745" s="3">
        <v>2</v>
      </c>
      <c r="P745" s="3">
        <v>2024</v>
      </c>
      <c r="T745" s="4"/>
      <c r="X745"/>
      <c r="Y745" s="3"/>
      <c r="AA745"/>
    </row>
    <row r="746" spans="1:27" x14ac:dyDescent="0.3">
      <c r="A746" s="3">
        <v>1480</v>
      </c>
      <c r="B746" s="4" t="s">
        <v>32</v>
      </c>
      <c r="C746" s="4" t="str">
        <f>IF(D746="","Unknown",IF(D746&lt;20,"Teen",IF(D746&lt;40,"Adult","Senior")))</f>
        <v>Teen</v>
      </c>
      <c r="D746" s="3">
        <v>18</v>
      </c>
      <c r="E746" s="3" t="s">
        <v>251</v>
      </c>
      <c r="F746" s="4" t="s">
        <v>40</v>
      </c>
      <c r="G746" s="4" t="s">
        <v>41</v>
      </c>
      <c r="H746" t="s">
        <v>36</v>
      </c>
      <c r="I746" s="3">
        <v>2</v>
      </c>
      <c r="J746" s="5">
        <v>15300</v>
      </c>
      <c r="K746" s="7">
        <v>30600</v>
      </c>
      <c r="L746" s="6">
        <v>45327</v>
      </c>
      <c r="M746" s="8" t="str">
        <f>IF(K746&gt;10000,"High",IF(K746&gt;5000,"Medium","Low"))</f>
        <v>High</v>
      </c>
      <c r="N746" s="4" t="s">
        <v>244</v>
      </c>
      <c r="O746" s="3">
        <v>2</v>
      </c>
      <c r="P746" s="3">
        <v>2024</v>
      </c>
      <c r="T746" s="4"/>
      <c r="X746"/>
      <c r="Y746" s="3"/>
      <c r="AA746"/>
    </row>
    <row r="747" spans="1:27" x14ac:dyDescent="0.3">
      <c r="A747" s="3">
        <v>1484</v>
      </c>
      <c r="B747" s="4" t="s">
        <v>46</v>
      </c>
      <c r="C747" s="4" t="str">
        <f>IF(D747="","Unknown",IF(D747&lt;20,"Teen",IF(D747&lt;40,"Adult","Senior")))</f>
        <v>Adult</v>
      </c>
      <c r="D747" s="3">
        <v>30</v>
      </c>
      <c r="E747" s="3" t="s">
        <v>250</v>
      </c>
      <c r="F747" s="4" t="s">
        <v>17</v>
      </c>
      <c r="G747" s="4" t="s">
        <v>18</v>
      </c>
      <c r="H747" t="s">
        <v>30</v>
      </c>
      <c r="I747" s="3">
        <v>2</v>
      </c>
      <c r="J747" s="5">
        <v>40051</v>
      </c>
      <c r="K747" s="7">
        <v>80102</v>
      </c>
      <c r="L747" s="6">
        <v>45331</v>
      </c>
      <c r="M747" s="8" t="str">
        <f>IF(K747&gt;10000,"High",IF(K747&gt;5000,"Medium","Low"))</f>
        <v>High</v>
      </c>
      <c r="N747" s="4" t="s">
        <v>242</v>
      </c>
      <c r="O747" s="3">
        <v>2</v>
      </c>
      <c r="P747" s="3">
        <v>2024</v>
      </c>
      <c r="T747" s="4"/>
      <c r="X747"/>
      <c r="Y747" s="3"/>
      <c r="AA747"/>
    </row>
    <row r="748" spans="1:27" x14ac:dyDescent="0.3">
      <c r="A748" s="3">
        <v>1485</v>
      </c>
      <c r="B748" s="4" t="s">
        <v>64</v>
      </c>
      <c r="C748" s="4" t="str">
        <f>IF(D748="","Unknown",IF(D748&lt;20,"Teen",IF(D748&lt;40,"Adult","Senior")))</f>
        <v>Adult</v>
      </c>
      <c r="D748" s="3">
        <v>32</v>
      </c>
      <c r="E748" s="3" t="s">
        <v>249</v>
      </c>
      <c r="F748" s="4" t="s">
        <v>40</v>
      </c>
      <c r="G748" s="4" t="s">
        <v>55</v>
      </c>
      <c r="H748" t="s">
        <v>36</v>
      </c>
      <c r="I748" s="3">
        <v>4</v>
      </c>
      <c r="J748" s="5">
        <v>1000</v>
      </c>
      <c r="K748" s="7">
        <v>4000</v>
      </c>
      <c r="L748" s="6">
        <v>45348</v>
      </c>
      <c r="M748" s="8" t="str">
        <f>IF(K748&gt;10000,"High",IF(K748&gt;5000,"Medium","Low"))</f>
        <v>Low</v>
      </c>
      <c r="N748" s="4" t="s">
        <v>243</v>
      </c>
      <c r="O748" s="3">
        <v>2</v>
      </c>
      <c r="P748" s="3">
        <v>2024</v>
      </c>
      <c r="T748" s="4"/>
      <c r="X748"/>
      <c r="Y748" s="3"/>
      <c r="AA748"/>
    </row>
    <row r="749" spans="1:27" x14ac:dyDescent="0.3">
      <c r="A749" s="3">
        <v>1488</v>
      </c>
      <c r="B749" s="4" t="s">
        <v>64</v>
      </c>
      <c r="C749" s="4" t="str">
        <f>IF(D749="","Unknown",IF(D749&lt;20,"Teen",IF(D749&lt;40,"Adult","Senior")))</f>
        <v>Senior</v>
      </c>
      <c r="D749" s="3">
        <v>44</v>
      </c>
      <c r="E749" s="3" t="s">
        <v>249</v>
      </c>
      <c r="F749" s="4" t="s">
        <v>40</v>
      </c>
      <c r="G749" s="4" t="s">
        <v>18</v>
      </c>
      <c r="H749" t="s">
        <v>30</v>
      </c>
      <c r="I749" s="3">
        <v>2</v>
      </c>
      <c r="J749" s="5">
        <v>1000</v>
      </c>
      <c r="K749" s="7">
        <v>2000</v>
      </c>
      <c r="L749" s="6">
        <v>45329</v>
      </c>
      <c r="M749" s="8" t="str">
        <f>IF(K749&gt;10000,"High",IF(K749&gt;5000,"Medium","Low"))</f>
        <v>Low</v>
      </c>
      <c r="N749" s="4" t="s">
        <v>242</v>
      </c>
      <c r="O749" s="3">
        <v>2</v>
      </c>
      <c r="P749" s="3">
        <v>2024</v>
      </c>
      <c r="T749" s="4"/>
      <c r="X749"/>
      <c r="Y749" s="3"/>
      <c r="AA749"/>
    </row>
    <row r="750" spans="1:27" x14ac:dyDescent="0.3">
      <c r="A750" s="3">
        <v>1489</v>
      </c>
      <c r="B750" s="4" t="s">
        <v>46</v>
      </c>
      <c r="C750" s="4" t="str">
        <f>IF(D750="","Unknown",IF(D750&lt;20,"Teen",IF(D750&lt;40,"Adult","Senior")))</f>
        <v>Adult</v>
      </c>
      <c r="D750" s="3">
        <v>30</v>
      </c>
      <c r="E750" s="3" t="s">
        <v>250</v>
      </c>
      <c r="F750" s="4" t="s">
        <v>40</v>
      </c>
      <c r="G750" s="4" t="s">
        <v>18</v>
      </c>
      <c r="H750" t="s">
        <v>30</v>
      </c>
      <c r="I750" s="3">
        <v>2</v>
      </c>
      <c r="J750" s="5">
        <v>24003</v>
      </c>
      <c r="K750" s="7">
        <v>48006</v>
      </c>
      <c r="L750" s="6">
        <v>45340</v>
      </c>
      <c r="M750" s="8" t="str">
        <f>IF(K750&gt;10000,"High",IF(K750&gt;5000,"Medium","Low"))</f>
        <v>High</v>
      </c>
      <c r="N750" s="4" t="s">
        <v>241</v>
      </c>
      <c r="O750" s="3">
        <v>2</v>
      </c>
      <c r="P750" s="3">
        <v>2024</v>
      </c>
      <c r="T750" s="4"/>
      <c r="X750"/>
      <c r="Y750" s="3"/>
      <c r="AA750"/>
    </row>
    <row r="751" spans="1:27" x14ac:dyDescent="0.3">
      <c r="A751" s="3">
        <v>1490</v>
      </c>
      <c r="B751" s="4" t="s">
        <v>64</v>
      </c>
      <c r="C751" s="4" t="str">
        <f>IF(D751="","Unknown",IF(D751&lt;20,"Teen",IF(D751&lt;40,"Adult","Senior")))</f>
        <v>Senior</v>
      </c>
      <c r="D751" s="3">
        <v>46</v>
      </c>
      <c r="E751" s="3" t="s">
        <v>249</v>
      </c>
      <c r="F751" s="4" t="s">
        <v>40</v>
      </c>
      <c r="G751" s="4" t="s">
        <v>41</v>
      </c>
      <c r="H751" t="s">
        <v>36</v>
      </c>
      <c r="I751" s="3">
        <v>3</v>
      </c>
      <c r="J751" s="5">
        <v>1000</v>
      </c>
      <c r="K751" s="7">
        <v>3000</v>
      </c>
      <c r="L751" s="6">
        <v>45334</v>
      </c>
      <c r="M751" s="8" t="str">
        <f>IF(K751&gt;10000,"High",IF(K751&gt;5000,"Medium","Low"))</f>
        <v>Low</v>
      </c>
      <c r="N751" s="4" t="s">
        <v>242</v>
      </c>
      <c r="O751" s="3">
        <v>2</v>
      </c>
      <c r="P751" s="3">
        <v>2024</v>
      </c>
      <c r="T751" s="4"/>
      <c r="X751"/>
      <c r="Y751" s="3"/>
      <c r="AA751"/>
    </row>
    <row r="752" spans="1:27" x14ac:dyDescent="0.3">
      <c r="A752" s="3">
        <v>1494</v>
      </c>
      <c r="B752" s="4" t="s">
        <v>32</v>
      </c>
      <c r="C752" s="4" t="str">
        <f>IF(D752="","Unknown",IF(D752&lt;20,"Teen",IF(D752&lt;40,"Adult","Senior")))</f>
        <v>Senior</v>
      </c>
      <c r="D752" s="3">
        <v>41</v>
      </c>
      <c r="E752" s="3" t="s">
        <v>249</v>
      </c>
      <c r="F752" s="4" t="s">
        <v>17</v>
      </c>
      <c r="G752" s="4" t="s">
        <v>51</v>
      </c>
      <c r="H752" t="s">
        <v>13</v>
      </c>
      <c r="I752" s="3">
        <v>2</v>
      </c>
      <c r="J752" s="5">
        <v>1000</v>
      </c>
      <c r="K752" s="7">
        <v>2000</v>
      </c>
      <c r="L752" s="6">
        <v>45344</v>
      </c>
      <c r="M752" s="8" t="str">
        <f>IF(K752&gt;10000,"High",IF(K752&gt;5000,"Medium","Low"))</f>
        <v>Low</v>
      </c>
      <c r="N752" s="4" t="s">
        <v>243</v>
      </c>
      <c r="O752" s="3">
        <v>2</v>
      </c>
      <c r="P752" s="3">
        <v>2024</v>
      </c>
      <c r="T752" s="4"/>
      <c r="X752"/>
      <c r="Y752" s="3"/>
      <c r="AA752"/>
    </row>
    <row r="753" spans="1:27" x14ac:dyDescent="0.3">
      <c r="A753" s="3">
        <v>1495</v>
      </c>
      <c r="B753" s="4" t="s">
        <v>64</v>
      </c>
      <c r="C753" s="4" t="str">
        <f>IF(D753="","Unknown",IF(D753&lt;20,"Teen",IF(D753&lt;40,"Adult","Senior")))</f>
        <v>Adult</v>
      </c>
      <c r="D753" s="3">
        <v>39</v>
      </c>
      <c r="E753" s="3" t="s">
        <v>249</v>
      </c>
      <c r="F753" s="4" t="s">
        <v>40</v>
      </c>
      <c r="G753" s="4" t="s">
        <v>41</v>
      </c>
      <c r="H753" t="s">
        <v>36</v>
      </c>
      <c r="I753" s="3">
        <v>2</v>
      </c>
      <c r="J753" s="5">
        <v>17530</v>
      </c>
      <c r="K753" s="7">
        <v>35060</v>
      </c>
      <c r="L753" s="6">
        <v>45341</v>
      </c>
      <c r="M753" s="8" t="str">
        <f>IF(K753&gt;10000,"High",IF(K753&gt;5000,"Medium","Low"))</f>
        <v>High</v>
      </c>
      <c r="N753" s="4" t="s">
        <v>240</v>
      </c>
      <c r="O753" s="3">
        <v>2</v>
      </c>
      <c r="P753" s="3">
        <v>2024</v>
      </c>
      <c r="T753" s="4"/>
      <c r="X753"/>
      <c r="Y753" s="3"/>
      <c r="AA753"/>
    </row>
    <row r="754" spans="1:27" x14ac:dyDescent="0.3">
      <c r="A754" s="3">
        <v>1497</v>
      </c>
      <c r="B754" s="4" t="s">
        <v>57</v>
      </c>
      <c r="C754" s="4" t="str">
        <f>IF(D754="","Unknown",IF(D754&lt;20,"Teen",IF(D754&lt;40,"Adult","Senior")))</f>
        <v>Adult</v>
      </c>
      <c r="D754" s="3">
        <v>30</v>
      </c>
      <c r="E754" s="3" t="s">
        <v>250</v>
      </c>
      <c r="F754" s="4" t="s">
        <v>40</v>
      </c>
      <c r="G754" s="4" t="s">
        <v>44</v>
      </c>
      <c r="H754" t="s">
        <v>36</v>
      </c>
      <c r="I754" s="3">
        <v>3</v>
      </c>
      <c r="J754" s="5">
        <v>42327</v>
      </c>
      <c r="K754" s="7">
        <v>126981</v>
      </c>
      <c r="L754" s="6">
        <v>45332</v>
      </c>
      <c r="M754" s="8" t="str">
        <f>IF(K754&gt;10000,"High",IF(K754&gt;5000,"Medium","Low"))</f>
        <v>High</v>
      </c>
      <c r="N754" s="4" t="s">
        <v>241</v>
      </c>
      <c r="O754" s="3">
        <v>2</v>
      </c>
      <c r="P754" s="3">
        <v>2024</v>
      </c>
      <c r="T754" s="4"/>
      <c r="X754"/>
      <c r="Y754" s="3"/>
      <c r="AA754"/>
    </row>
    <row r="755" spans="1:27" x14ac:dyDescent="0.3">
      <c r="A755" s="3">
        <v>1499</v>
      </c>
      <c r="B755" s="4" t="s">
        <v>78</v>
      </c>
      <c r="C755" s="4" t="str">
        <f>IF(D755="","Unknown",IF(D755&lt;20,"Teen",IF(D755&lt;40,"Adult","Senior")))</f>
        <v>Adult</v>
      </c>
      <c r="D755" s="3">
        <v>30</v>
      </c>
      <c r="E755" s="3" t="s">
        <v>250</v>
      </c>
      <c r="F755" s="4" t="s">
        <v>40</v>
      </c>
      <c r="G755" s="4" t="s">
        <v>44</v>
      </c>
      <c r="H755" t="s">
        <v>36</v>
      </c>
      <c r="I755" s="3">
        <v>2</v>
      </c>
      <c r="J755" s="5">
        <v>1000</v>
      </c>
      <c r="K755" s="7">
        <v>2000</v>
      </c>
      <c r="L755" s="6">
        <v>45337</v>
      </c>
      <c r="M755" s="8" t="str">
        <f>IF(K755&gt;10000,"High",IF(K755&gt;5000,"Medium","Low"))</f>
        <v>Low</v>
      </c>
      <c r="N755" s="4" t="s">
        <v>244</v>
      </c>
      <c r="O755" s="3">
        <v>2</v>
      </c>
      <c r="P755" s="3">
        <v>2024</v>
      </c>
      <c r="T755" s="4"/>
      <c r="X755"/>
      <c r="Y755" s="3"/>
      <c r="AA755"/>
    </row>
    <row r="756" spans="1:27" x14ac:dyDescent="0.3">
      <c r="A756" s="3">
        <v>1502</v>
      </c>
      <c r="B756" s="4" t="s">
        <v>16</v>
      </c>
      <c r="C756" s="4" t="str">
        <f>IF(D756="","Unknown",IF(D756&lt;20,"Teen",IF(D756&lt;40,"Adult","Senior")))</f>
        <v>Teen</v>
      </c>
      <c r="D756" s="3">
        <v>18</v>
      </c>
      <c r="E756" s="3" t="s">
        <v>251</v>
      </c>
      <c r="F756" s="4" t="s">
        <v>40</v>
      </c>
      <c r="G756" s="4" t="s">
        <v>23</v>
      </c>
      <c r="H756" t="s">
        <v>30</v>
      </c>
      <c r="I756" s="3">
        <v>5</v>
      </c>
      <c r="J756" s="5">
        <v>1000</v>
      </c>
      <c r="K756" s="7">
        <v>5000</v>
      </c>
      <c r="L756" s="6">
        <v>45327</v>
      </c>
      <c r="M756" s="8" t="str">
        <f>IF(K756&gt;10000,"High",IF(K756&gt;5000,"Medium","Low"))</f>
        <v>Low</v>
      </c>
      <c r="N756" s="4" t="s">
        <v>244</v>
      </c>
      <c r="O756" s="3">
        <v>2</v>
      </c>
      <c r="P756" s="3">
        <v>2024</v>
      </c>
      <c r="T756" s="4"/>
      <c r="X756"/>
      <c r="Y756" s="3"/>
      <c r="AA756"/>
    </row>
    <row r="757" spans="1:27" x14ac:dyDescent="0.3">
      <c r="A757" s="3">
        <v>1503</v>
      </c>
      <c r="B757" s="4" t="s">
        <v>21</v>
      </c>
      <c r="C757" s="4" t="str">
        <f>IF(D757="","Unknown",IF(D757&lt;20,"Teen",IF(D757&lt;40,"Adult","Senior")))</f>
        <v>Adult</v>
      </c>
      <c r="D757" s="3">
        <v>30</v>
      </c>
      <c r="E757" s="3" t="s">
        <v>250</v>
      </c>
      <c r="F757" s="4" t="s">
        <v>40</v>
      </c>
      <c r="G757" s="4" t="s">
        <v>44</v>
      </c>
      <c r="H757" t="s">
        <v>36</v>
      </c>
      <c r="I757" s="3">
        <v>2</v>
      </c>
      <c r="J757" s="5">
        <v>11676</v>
      </c>
      <c r="K757" s="7">
        <v>23352</v>
      </c>
      <c r="L757" s="6">
        <v>45337</v>
      </c>
      <c r="M757" s="8" t="str">
        <f>IF(K757&gt;10000,"High",IF(K757&gt;5000,"Medium","Low"))</f>
        <v>High</v>
      </c>
      <c r="N757" s="4" t="s">
        <v>243</v>
      </c>
      <c r="O757" s="3">
        <v>2</v>
      </c>
      <c r="P757" s="3">
        <v>2024</v>
      </c>
      <c r="T757" s="4"/>
      <c r="X757"/>
      <c r="Y757" s="3"/>
      <c r="AA757"/>
    </row>
    <row r="758" spans="1:27" x14ac:dyDescent="0.3">
      <c r="A758" s="3">
        <v>1505</v>
      </c>
      <c r="B758" s="4" t="s">
        <v>69</v>
      </c>
      <c r="C758" s="4" t="str">
        <f>IF(D758="","Unknown",IF(D758&lt;20,"Teen",IF(D758&lt;40,"Adult","Senior")))</f>
        <v>Senior</v>
      </c>
      <c r="D758" s="3">
        <v>41</v>
      </c>
      <c r="E758" s="3" t="s">
        <v>249</v>
      </c>
      <c r="F758" s="4" t="s">
        <v>40</v>
      </c>
      <c r="G758" s="4" t="s">
        <v>23</v>
      </c>
      <c r="H758" t="s">
        <v>30</v>
      </c>
      <c r="I758" s="3">
        <v>2</v>
      </c>
      <c r="J758" s="5">
        <v>40919</v>
      </c>
      <c r="K758" s="7">
        <v>81838</v>
      </c>
      <c r="L758" s="6">
        <v>45327</v>
      </c>
      <c r="M758" s="8" t="str">
        <f>IF(K758&gt;10000,"High",IF(K758&gt;5000,"Medium","Low"))</f>
        <v>High</v>
      </c>
      <c r="N758" s="4" t="s">
        <v>243</v>
      </c>
      <c r="O758" s="3">
        <v>2</v>
      </c>
      <c r="P758" s="3">
        <v>2024</v>
      </c>
      <c r="T758" s="4"/>
      <c r="X758"/>
      <c r="Y758" s="3"/>
      <c r="AA758"/>
    </row>
    <row r="759" spans="1:27" x14ac:dyDescent="0.3">
      <c r="A759" s="3">
        <v>1507</v>
      </c>
      <c r="B759" s="4" t="s">
        <v>62</v>
      </c>
      <c r="C759" s="4" t="str">
        <f>IF(D759="","Unknown",IF(D759&lt;20,"Teen",IF(D759&lt;40,"Adult","Senior")))</f>
        <v>Adult</v>
      </c>
      <c r="D759" s="3">
        <v>37</v>
      </c>
      <c r="E759" s="3" t="s">
        <v>249</v>
      </c>
      <c r="F759" s="4" t="s">
        <v>17</v>
      </c>
      <c r="G759" s="4" t="s">
        <v>23</v>
      </c>
      <c r="H759" t="s">
        <v>30</v>
      </c>
      <c r="I759" s="3">
        <v>2</v>
      </c>
      <c r="J759" s="5">
        <v>1000</v>
      </c>
      <c r="K759" s="7">
        <v>2000</v>
      </c>
      <c r="L759" s="6">
        <v>45348</v>
      </c>
      <c r="M759" s="8" t="str">
        <f>IF(K759&gt;10000,"High",IF(K759&gt;5000,"Medium","Low"))</f>
        <v>Low</v>
      </c>
      <c r="N759" s="4" t="s">
        <v>241</v>
      </c>
      <c r="O759" s="3">
        <v>2</v>
      </c>
      <c r="P759" s="3">
        <v>2024</v>
      </c>
      <c r="T759" s="4"/>
      <c r="X759"/>
      <c r="Y759" s="3"/>
      <c r="AA759"/>
    </row>
    <row r="760" spans="1:27" x14ac:dyDescent="0.3">
      <c r="A760" s="3">
        <v>1508</v>
      </c>
      <c r="B760" s="4" t="s">
        <v>25</v>
      </c>
      <c r="C760" s="4" t="str">
        <f>IF(D760="","Unknown",IF(D760&lt;20,"Teen",IF(D760&lt;40,"Adult","Senior")))</f>
        <v>Adult</v>
      </c>
      <c r="D760" s="3">
        <v>30</v>
      </c>
      <c r="E760" s="3" t="s">
        <v>250</v>
      </c>
      <c r="F760" s="4" t="s">
        <v>40</v>
      </c>
      <c r="G760" s="4" t="s">
        <v>23</v>
      </c>
      <c r="H760" t="s">
        <v>30</v>
      </c>
      <c r="I760" s="3">
        <v>2</v>
      </c>
      <c r="J760" s="5">
        <v>29088</v>
      </c>
      <c r="K760" s="7">
        <v>58176</v>
      </c>
      <c r="L760" s="6">
        <v>45345</v>
      </c>
      <c r="M760" s="8" t="str">
        <f>IF(K760&gt;10000,"High",IF(K760&gt;5000,"Medium","Low"))</f>
        <v>High</v>
      </c>
      <c r="N760" s="4" t="s">
        <v>243</v>
      </c>
      <c r="O760" s="3">
        <v>2</v>
      </c>
      <c r="P760" s="3">
        <v>2024</v>
      </c>
      <c r="T760" s="4"/>
      <c r="X760"/>
      <c r="Y760" s="3"/>
      <c r="AA760"/>
    </row>
    <row r="761" spans="1:27" x14ac:dyDescent="0.3">
      <c r="A761" s="3">
        <v>1509</v>
      </c>
      <c r="B761" s="4" t="s">
        <v>69</v>
      </c>
      <c r="C761" s="4" t="str">
        <f>IF(D761="","Unknown",IF(D761&lt;20,"Teen",IF(D761&lt;40,"Adult","Senior")))</f>
        <v>Adult</v>
      </c>
      <c r="D761" s="3">
        <v>30</v>
      </c>
      <c r="E761" s="3" t="s">
        <v>250</v>
      </c>
      <c r="F761" s="4" t="s">
        <v>17</v>
      </c>
      <c r="G761" s="4" t="s">
        <v>55</v>
      </c>
      <c r="H761" t="s">
        <v>36</v>
      </c>
      <c r="I761" s="3">
        <v>4</v>
      </c>
      <c r="J761" s="5">
        <v>18337</v>
      </c>
      <c r="K761" s="7">
        <v>73348</v>
      </c>
      <c r="L761" s="6">
        <v>45342</v>
      </c>
      <c r="M761" s="8" t="str">
        <f>IF(K761&gt;10000,"High",IF(K761&gt;5000,"Medium","Low"))</f>
        <v>High</v>
      </c>
      <c r="N761" s="4" t="s">
        <v>242</v>
      </c>
      <c r="O761" s="3">
        <v>2</v>
      </c>
      <c r="P761" s="3">
        <v>2024</v>
      </c>
      <c r="T761" s="4"/>
      <c r="X761"/>
      <c r="Y761" s="3"/>
      <c r="AA761"/>
    </row>
    <row r="762" spans="1:27" x14ac:dyDescent="0.3">
      <c r="A762" s="3">
        <v>1512</v>
      </c>
      <c r="B762" s="4" t="s">
        <v>57</v>
      </c>
      <c r="C762" s="4" t="str">
        <f>IF(D762="","Unknown",IF(D762&lt;20,"Teen",IF(D762&lt;40,"Adult","Senior")))</f>
        <v>Adult</v>
      </c>
      <c r="D762" s="3">
        <v>30</v>
      </c>
      <c r="E762" s="3" t="s">
        <v>250</v>
      </c>
      <c r="F762" s="4" t="s">
        <v>17</v>
      </c>
      <c r="G762" s="4" t="s">
        <v>18</v>
      </c>
      <c r="H762" t="s">
        <v>30</v>
      </c>
      <c r="I762" s="3">
        <v>2</v>
      </c>
      <c r="J762" s="5">
        <v>1000</v>
      </c>
      <c r="K762" s="7">
        <v>2000</v>
      </c>
      <c r="L762" s="6">
        <v>45342</v>
      </c>
      <c r="M762" s="8" t="str">
        <f>IF(K762&gt;10000,"High",IF(K762&gt;5000,"Medium","Low"))</f>
        <v>Low</v>
      </c>
      <c r="N762" s="4" t="s">
        <v>242</v>
      </c>
      <c r="O762" s="3">
        <v>2</v>
      </c>
      <c r="P762" s="3">
        <v>2024</v>
      </c>
      <c r="T762" s="4"/>
      <c r="X762"/>
      <c r="Y762" s="3"/>
      <c r="AA762"/>
    </row>
    <row r="763" spans="1:27" x14ac:dyDescent="0.3">
      <c r="A763" s="3">
        <v>1515</v>
      </c>
      <c r="B763" s="4" t="s">
        <v>57</v>
      </c>
      <c r="C763" s="4" t="str">
        <f>IF(D763="","Unknown",IF(D763&lt;20,"Teen",IF(D763&lt;40,"Adult","Senior")))</f>
        <v>Adult</v>
      </c>
      <c r="D763" s="3">
        <v>30</v>
      </c>
      <c r="E763" s="3" t="s">
        <v>250</v>
      </c>
      <c r="F763" s="4" t="s">
        <v>40</v>
      </c>
      <c r="G763" s="4" t="s">
        <v>51</v>
      </c>
      <c r="H763" t="s">
        <v>13</v>
      </c>
      <c r="I763" s="3">
        <v>4</v>
      </c>
      <c r="J763" s="5">
        <v>47884</v>
      </c>
      <c r="K763" s="7">
        <v>191536</v>
      </c>
      <c r="L763" s="6">
        <v>45338</v>
      </c>
      <c r="M763" s="8" t="str">
        <f>IF(K763&gt;10000,"High",IF(K763&gt;5000,"Medium","Low"))</f>
        <v>High</v>
      </c>
      <c r="N763" s="4" t="s">
        <v>243</v>
      </c>
      <c r="O763" s="3">
        <v>2</v>
      </c>
      <c r="P763" s="3">
        <v>2024</v>
      </c>
      <c r="T763" s="4"/>
      <c r="X763"/>
      <c r="Y763" s="3"/>
      <c r="AA763"/>
    </row>
    <row r="764" spans="1:27" x14ac:dyDescent="0.3">
      <c r="A764" s="3">
        <v>1518</v>
      </c>
      <c r="B764" s="4" t="s">
        <v>32</v>
      </c>
      <c r="C764" s="4" t="str">
        <f>IF(D764="","Unknown",IF(D764&lt;20,"Teen",IF(D764&lt;40,"Adult","Senior")))</f>
        <v>Adult</v>
      </c>
      <c r="D764" s="3">
        <v>30</v>
      </c>
      <c r="E764" s="3" t="s">
        <v>250</v>
      </c>
      <c r="F764" s="4" t="s">
        <v>40</v>
      </c>
      <c r="G764" s="4" t="s">
        <v>44</v>
      </c>
      <c r="H764" t="s">
        <v>36</v>
      </c>
      <c r="I764" s="3">
        <v>4</v>
      </c>
      <c r="J764" s="5">
        <v>1000</v>
      </c>
      <c r="K764" s="7">
        <v>4000</v>
      </c>
      <c r="L764" s="6">
        <v>45328</v>
      </c>
      <c r="M764" s="8" t="str">
        <f>IF(K764&gt;10000,"High",IF(K764&gt;5000,"Medium","Low"))</f>
        <v>Low</v>
      </c>
      <c r="N764" s="4" t="s">
        <v>241</v>
      </c>
      <c r="O764" s="3">
        <v>2</v>
      </c>
      <c r="P764" s="3">
        <v>2024</v>
      </c>
      <c r="T764" s="4"/>
      <c r="X764"/>
      <c r="Y764" s="3"/>
      <c r="AA764"/>
    </row>
    <row r="765" spans="1:27" x14ac:dyDescent="0.3">
      <c r="A765" s="3">
        <v>1519</v>
      </c>
      <c r="B765" s="4" t="s">
        <v>69</v>
      </c>
      <c r="C765" s="4" t="str">
        <f>IF(D765="","Unknown",IF(D765&lt;20,"Teen",IF(D765&lt;40,"Adult","Senior")))</f>
        <v>Adult</v>
      </c>
      <c r="D765" s="3">
        <v>30</v>
      </c>
      <c r="E765" s="3" t="s">
        <v>250</v>
      </c>
      <c r="F765" s="4" t="s">
        <v>40</v>
      </c>
      <c r="G765" s="4" t="s">
        <v>18</v>
      </c>
      <c r="H765" t="s">
        <v>30</v>
      </c>
      <c r="I765" s="3">
        <v>3</v>
      </c>
      <c r="J765" s="5">
        <v>1000</v>
      </c>
      <c r="K765" s="7">
        <v>3000</v>
      </c>
      <c r="L765" s="6">
        <v>45337</v>
      </c>
      <c r="M765" s="8" t="str">
        <f>IF(K765&gt;10000,"High",IF(K765&gt;5000,"Medium","Low"))</f>
        <v>Low</v>
      </c>
      <c r="N765" s="4" t="s">
        <v>240</v>
      </c>
      <c r="O765" s="3">
        <v>2</v>
      </c>
      <c r="P765" s="3">
        <v>2024</v>
      </c>
      <c r="T765" s="4"/>
      <c r="X765"/>
      <c r="Y765" s="3"/>
      <c r="AA765"/>
    </row>
    <row r="766" spans="1:27" x14ac:dyDescent="0.3">
      <c r="A766" s="3">
        <v>1523</v>
      </c>
      <c r="B766" s="4" t="s">
        <v>59</v>
      </c>
      <c r="C766" s="4" t="str">
        <f>IF(D766="","Unknown",IF(D766&lt;20,"Teen",IF(D766&lt;40,"Adult","Senior")))</f>
        <v>Adult</v>
      </c>
      <c r="D766" s="3">
        <v>30</v>
      </c>
      <c r="E766" s="3" t="s">
        <v>250</v>
      </c>
      <c r="F766" s="4" t="s">
        <v>40</v>
      </c>
      <c r="G766" s="4" t="s">
        <v>27</v>
      </c>
      <c r="H766" t="s">
        <v>13</v>
      </c>
      <c r="I766" s="3">
        <v>2</v>
      </c>
      <c r="J766" s="5">
        <v>29869</v>
      </c>
      <c r="K766" s="7">
        <v>59738</v>
      </c>
      <c r="L766" s="6">
        <v>45345</v>
      </c>
      <c r="M766" s="8" t="str">
        <f>IF(K766&gt;10000,"High",IF(K766&gt;5000,"Medium","Low"))</f>
        <v>High</v>
      </c>
      <c r="N766" s="4" t="s">
        <v>244</v>
      </c>
      <c r="O766" s="3">
        <v>2</v>
      </c>
      <c r="P766" s="3">
        <v>2024</v>
      </c>
      <c r="T766" s="4"/>
      <c r="X766"/>
      <c r="Y766" s="3"/>
      <c r="AA766"/>
    </row>
    <row r="767" spans="1:27" x14ac:dyDescent="0.3">
      <c r="A767" s="3">
        <v>1527</v>
      </c>
      <c r="B767" s="4" t="s">
        <v>25</v>
      </c>
      <c r="C767" s="4" t="str">
        <f>IF(D767="","Unknown",IF(D767&lt;20,"Teen",IF(D767&lt;40,"Adult","Senior")))</f>
        <v>Adult</v>
      </c>
      <c r="D767" s="3">
        <v>38</v>
      </c>
      <c r="E767" s="3" t="s">
        <v>249</v>
      </c>
      <c r="F767" s="4" t="s">
        <v>40</v>
      </c>
      <c r="G767" s="4" t="s">
        <v>12</v>
      </c>
      <c r="H767" t="s">
        <v>13</v>
      </c>
      <c r="I767" s="3">
        <v>2</v>
      </c>
      <c r="J767" s="5">
        <v>1000</v>
      </c>
      <c r="K767" s="7">
        <v>2000</v>
      </c>
      <c r="L767" s="6">
        <v>45335</v>
      </c>
      <c r="M767" s="8" t="str">
        <f>IF(K767&gt;10000,"High",IF(K767&gt;5000,"Medium","Low"))</f>
        <v>Low</v>
      </c>
      <c r="N767" s="4" t="s">
        <v>241</v>
      </c>
      <c r="O767" s="3">
        <v>2</v>
      </c>
      <c r="P767" s="3">
        <v>2024</v>
      </c>
      <c r="T767" s="4"/>
      <c r="X767"/>
      <c r="Y767" s="3"/>
      <c r="AA767"/>
    </row>
    <row r="768" spans="1:27" x14ac:dyDescent="0.3">
      <c r="A768" s="3">
        <v>1529</v>
      </c>
      <c r="B768" s="4" t="s">
        <v>69</v>
      </c>
      <c r="C768" s="4" t="str">
        <f>IF(D768="","Unknown",IF(D768&lt;20,"Teen",IF(D768&lt;40,"Adult","Senior")))</f>
        <v>Senior</v>
      </c>
      <c r="D768" s="3">
        <v>42</v>
      </c>
      <c r="E768" s="3" t="s">
        <v>249</v>
      </c>
      <c r="F768" s="4" t="s">
        <v>17</v>
      </c>
      <c r="G768" s="4" t="s">
        <v>44</v>
      </c>
      <c r="H768" t="s">
        <v>36</v>
      </c>
      <c r="I768" s="3">
        <v>3</v>
      </c>
      <c r="J768" s="5">
        <v>1000</v>
      </c>
      <c r="K768" s="7">
        <v>3000</v>
      </c>
      <c r="L768" s="6">
        <v>45344</v>
      </c>
      <c r="M768" s="8" t="str">
        <f>IF(K768&gt;10000,"High",IF(K768&gt;5000,"Medium","Low"))</f>
        <v>Low</v>
      </c>
      <c r="N768" s="4" t="s">
        <v>241</v>
      </c>
      <c r="O768" s="3">
        <v>2</v>
      </c>
      <c r="P768" s="3">
        <v>2024</v>
      </c>
      <c r="T768" s="4"/>
      <c r="X768"/>
      <c r="Y768" s="3"/>
      <c r="AA768"/>
    </row>
    <row r="769" spans="1:27" x14ac:dyDescent="0.3">
      <c r="A769" s="3">
        <v>1533</v>
      </c>
      <c r="B769" s="4" t="s">
        <v>32</v>
      </c>
      <c r="C769" s="4" t="str">
        <f>IF(D769="","Unknown",IF(D769&lt;20,"Teen",IF(D769&lt;40,"Adult","Senior")))</f>
        <v>Adult</v>
      </c>
      <c r="D769" s="3">
        <v>30</v>
      </c>
      <c r="E769" s="3" t="s">
        <v>250</v>
      </c>
      <c r="F769" s="4" t="s">
        <v>17</v>
      </c>
      <c r="G769" s="4" t="s">
        <v>12</v>
      </c>
      <c r="H769" t="s">
        <v>13</v>
      </c>
      <c r="I769" s="3">
        <v>2</v>
      </c>
      <c r="J769" s="5">
        <v>1000</v>
      </c>
      <c r="K769" s="7">
        <v>2000</v>
      </c>
      <c r="L769" s="6">
        <v>45324</v>
      </c>
      <c r="M769" s="8" t="str">
        <f>IF(K769&gt;10000,"High",IF(K769&gt;5000,"Medium","Low"))</f>
        <v>Low</v>
      </c>
      <c r="N769" s="4" t="s">
        <v>244</v>
      </c>
      <c r="O769" s="3">
        <v>2</v>
      </c>
      <c r="P769" s="3">
        <v>2024</v>
      </c>
      <c r="T769" s="4"/>
      <c r="X769"/>
      <c r="Y769" s="3"/>
      <c r="AA769"/>
    </row>
    <row r="770" spans="1:27" x14ac:dyDescent="0.3">
      <c r="A770" s="3">
        <v>1536</v>
      </c>
      <c r="B770" s="4" t="s">
        <v>57</v>
      </c>
      <c r="C770" s="4" t="str">
        <f>IF(D770="","Unknown",IF(D770&lt;20,"Teen",IF(D770&lt;40,"Adult","Senior")))</f>
        <v>Adult</v>
      </c>
      <c r="D770" s="3">
        <v>34</v>
      </c>
      <c r="E770" s="3" t="s">
        <v>249</v>
      </c>
      <c r="F770" s="4" t="s">
        <v>40</v>
      </c>
      <c r="G770" s="4" t="s">
        <v>55</v>
      </c>
      <c r="H770" t="s">
        <v>36</v>
      </c>
      <c r="I770" s="3">
        <v>2</v>
      </c>
      <c r="J770" s="5">
        <v>1000</v>
      </c>
      <c r="K770" s="7">
        <v>2000</v>
      </c>
      <c r="L770" s="6">
        <v>45350</v>
      </c>
      <c r="M770" s="8" t="str">
        <f>IF(K770&gt;10000,"High",IF(K770&gt;5000,"Medium","Low"))</f>
        <v>Low</v>
      </c>
      <c r="N770" s="4" t="s">
        <v>242</v>
      </c>
      <c r="O770" s="3">
        <v>2</v>
      </c>
      <c r="P770" s="3">
        <v>2024</v>
      </c>
      <c r="T770" s="4"/>
      <c r="X770"/>
      <c r="Y770" s="3"/>
      <c r="AA770"/>
    </row>
    <row r="771" spans="1:27" x14ac:dyDescent="0.3">
      <c r="A771" s="3">
        <v>1538</v>
      </c>
      <c r="B771" s="4" t="s">
        <v>69</v>
      </c>
      <c r="C771" s="4" t="str">
        <f>IF(D771="","Unknown",IF(D771&lt;20,"Teen",IF(D771&lt;40,"Adult","Senior")))</f>
        <v>Senior</v>
      </c>
      <c r="D771" s="3">
        <v>45</v>
      </c>
      <c r="E771" s="3" t="s">
        <v>249</v>
      </c>
      <c r="F771" s="4" t="s">
        <v>40</v>
      </c>
      <c r="G771" s="4" t="s">
        <v>27</v>
      </c>
      <c r="H771" t="s">
        <v>13</v>
      </c>
      <c r="I771" s="3">
        <v>1</v>
      </c>
      <c r="J771" s="5">
        <v>1000</v>
      </c>
      <c r="K771" s="7">
        <v>1000</v>
      </c>
      <c r="L771" s="6">
        <v>45347</v>
      </c>
      <c r="M771" s="8" t="str">
        <f>IF(K771&gt;10000,"High",IF(K771&gt;5000,"Medium","Low"))</f>
        <v>Low</v>
      </c>
      <c r="N771" s="4" t="s">
        <v>241</v>
      </c>
      <c r="O771" s="3">
        <v>2</v>
      </c>
      <c r="P771" s="3">
        <v>2024</v>
      </c>
      <c r="T771" s="4"/>
      <c r="X771"/>
      <c r="Y771" s="3"/>
      <c r="AA771"/>
    </row>
    <row r="772" spans="1:27" x14ac:dyDescent="0.3">
      <c r="A772" s="3">
        <v>1541</v>
      </c>
      <c r="B772" s="4" t="s">
        <v>73</v>
      </c>
      <c r="C772" s="4" t="str">
        <f>IF(D772="","Unknown",IF(D772&lt;20,"Teen",IF(D772&lt;40,"Adult","Senior")))</f>
        <v>Senior</v>
      </c>
      <c r="D772" s="3">
        <v>41</v>
      </c>
      <c r="E772" s="3" t="s">
        <v>249</v>
      </c>
      <c r="F772" s="4" t="s">
        <v>40</v>
      </c>
      <c r="G772" s="4" t="s">
        <v>23</v>
      </c>
      <c r="H772" t="s">
        <v>30</v>
      </c>
      <c r="I772" s="3">
        <v>2</v>
      </c>
      <c r="J772" s="5">
        <v>1000</v>
      </c>
      <c r="K772" s="7">
        <v>2000</v>
      </c>
      <c r="L772" s="6">
        <v>45334</v>
      </c>
      <c r="M772" s="8" t="str">
        <f>IF(K772&gt;10000,"High",IF(K772&gt;5000,"Medium","Low"))</f>
        <v>Low</v>
      </c>
      <c r="N772" s="4" t="s">
        <v>240</v>
      </c>
      <c r="O772" s="3">
        <v>2</v>
      </c>
      <c r="P772" s="3">
        <v>2024</v>
      </c>
      <c r="T772" s="4"/>
      <c r="X772"/>
      <c r="Y772" s="3"/>
      <c r="AA772"/>
    </row>
    <row r="773" spans="1:27" x14ac:dyDescent="0.3">
      <c r="A773" s="3">
        <v>1542</v>
      </c>
      <c r="B773" s="4" t="s">
        <v>25</v>
      </c>
      <c r="C773" s="4" t="str">
        <f>IF(D773="","Unknown",IF(D773&lt;20,"Teen",IF(D773&lt;40,"Adult","Senior")))</f>
        <v>Adult</v>
      </c>
      <c r="D773" s="3">
        <v>30</v>
      </c>
      <c r="E773" s="3" t="s">
        <v>250</v>
      </c>
      <c r="F773" s="4" t="s">
        <v>17</v>
      </c>
      <c r="G773" s="4" t="s">
        <v>44</v>
      </c>
      <c r="H773" t="s">
        <v>36</v>
      </c>
      <c r="I773" s="3">
        <v>2</v>
      </c>
      <c r="J773" s="5">
        <v>1000</v>
      </c>
      <c r="K773" s="7">
        <v>2000</v>
      </c>
      <c r="L773" s="6">
        <v>45329</v>
      </c>
      <c r="M773" s="8" t="str">
        <f>IF(K773&gt;10000,"High",IF(K773&gt;5000,"Medium","Low"))</f>
        <v>Low</v>
      </c>
      <c r="N773" s="4" t="s">
        <v>240</v>
      </c>
      <c r="O773" s="3">
        <v>2</v>
      </c>
      <c r="P773" s="3">
        <v>2024</v>
      </c>
      <c r="T773" s="4"/>
      <c r="X773"/>
      <c r="Y773" s="3"/>
      <c r="AA773"/>
    </row>
    <row r="774" spans="1:27" x14ac:dyDescent="0.3">
      <c r="A774" s="3">
        <v>1544</v>
      </c>
      <c r="B774" s="4" t="s">
        <v>35</v>
      </c>
      <c r="C774" s="4" t="str">
        <f>IF(D774="","Unknown",IF(D774&lt;20,"Teen",IF(D774&lt;40,"Adult","Senior")))</f>
        <v>Senior</v>
      </c>
      <c r="D774" s="3">
        <v>43</v>
      </c>
      <c r="E774" s="3" t="s">
        <v>249</v>
      </c>
      <c r="F774" s="4" t="s">
        <v>40</v>
      </c>
      <c r="G774" s="4" t="s">
        <v>51</v>
      </c>
      <c r="H774" t="s">
        <v>13</v>
      </c>
      <c r="I774" s="3">
        <v>2</v>
      </c>
      <c r="J774" s="5">
        <v>41358</v>
      </c>
      <c r="K774" s="7">
        <v>82716</v>
      </c>
      <c r="L774" s="6">
        <v>45348</v>
      </c>
      <c r="M774" s="8" t="str">
        <f>IF(K774&gt;10000,"High",IF(K774&gt;5000,"Medium","Low"))</f>
        <v>High</v>
      </c>
      <c r="N774" s="4" t="s">
        <v>244</v>
      </c>
      <c r="O774" s="3">
        <v>2</v>
      </c>
      <c r="P774" s="3">
        <v>2024</v>
      </c>
      <c r="T774" s="4"/>
      <c r="X774"/>
      <c r="Y774" s="3"/>
      <c r="AA774"/>
    </row>
    <row r="775" spans="1:27" x14ac:dyDescent="0.3">
      <c r="A775" s="3">
        <v>1545</v>
      </c>
      <c r="B775" s="4" t="s">
        <v>64</v>
      </c>
      <c r="C775" s="4" t="str">
        <f>IF(D775="","Unknown",IF(D775&lt;20,"Teen",IF(D775&lt;40,"Adult","Senior")))</f>
        <v>Senior</v>
      </c>
      <c r="D775" s="3">
        <v>42</v>
      </c>
      <c r="E775" s="3" t="s">
        <v>249</v>
      </c>
      <c r="F775" s="4" t="s">
        <v>40</v>
      </c>
      <c r="G775" s="4" t="s">
        <v>41</v>
      </c>
      <c r="H775" t="s">
        <v>36</v>
      </c>
      <c r="I775" s="3">
        <v>4</v>
      </c>
      <c r="J775" s="5">
        <v>33008</v>
      </c>
      <c r="K775" s="7">
        <v>132032</v>
      </c>
      <c r="L775" s="6">
        <v>45327</v>
      </c>
      <c r="M775" s="8" t="str">
        <f>IF(K775&gt;10000,"High",IF(K775&gt;5000,"Medium","Low"))</f>
        <v>High</v>
      </c>
      <c r="N775" s="4" t="s">
        <v>243</v>
      </c>
      <c r="O775" s="3">
        <v>2</v>
      </c>
      <c r="P775" s="3">
        <v>2024</v>
      </c>
      <c r="T775" s="4"/>
      <c r="X775"/>
      <c r="Y775" s="3"/>
      <c r="AA775"/>
    </row>
    <row r="776" spans="1:27" x14ac:dyDescent="0.3">
      <c r="A776" s="3">
        <v>1546</v>
      </c>
      <c r="B776" s="4" t="s">
        <v>78</v>
      </c>
      <c r="C776" s="4" t="str">
        <f>IF(D776="","Unknown",IF(D776&lt;20,"Teen",IF(D776&lt;40,"Adult","Senior")))</f>
        <v>Adult</v>
      </c>
      <c r="D776" s="3">
        <v>30</v>
      </c>
      <c r="E776" s="3" t="s">
        <v>250</v>
      </c>
      <c r="F776" s="4" t="s">
        <v>17</v>
      </c>
      <c r="G776" s="4" t="s">
        <v>44</v>
      </c>
      <c r="H776" t="s">
        <v>36</v>
      </c>
      <c r="I776" s="3">
        <v>2</v>
      </c>
      <c r="J776" s="5">
        <v>1000</v>
      </c>
      <c r="K776" s="7">
        <v>2000</v>
      </c>
      <c r="L776" s="6">
        <v>45329</v>
      </c>
      <c r="M776" s="8" t="str">
        <f>IF(K776&gt;10000,"High",IF(K776&gt;5000,"Medium","Low"))</f>
        <v>Low</v>
      </c>
      <c r="N776" s="4" t="s">
        <v>240</v>
      </c>
      <c r="O776" s="3">
        <v>2</v>
      </c>
      <c r="P776" s="3">
        <v>2024</v>
      </c>
      <c r="T776" s="4"/>
      <c r="X776"/>
      <c r="Y776" s="3"/>
      <c r="AA776"/>
    </row>
    <row r="777" spans="1:27" x14ac:dyDescent="0.3">
      <c r="A777" s="3">
        <v>1549</v>
      </c>
      <c r="B777" s="4" t="s">
        <v>32</v>
      </c>
      <c r="C777" s="4" t="str">
        <f>IF(D777="","Unknown",IF(D777&lt;20,"Teen",IF(D777&lt;40,"Adult","Senior")))</f>
        <v>Adult</v>
      </c>
      <c r="D777" s="3">
        <v>22</v>
      </c>
      <c r="E777" s="3" t="s">
        <v>250</v>
      </c>
      <c r="F777" s="4" t="s">
        <v>40</v>
      </c>
      <c r="G777" s="4" t="s">
        <v>27</v>
      </c>
      <c r="H777" t="s">
        <v>13</v>
      </c>
      <c r="I777" s="3">
        <v>3</v>
      </c>
      <c r="J777" s="5">
        <v>1000</v>
      </c>
      <c r="K777" s="7">
        <v>3000</v>
      </c>
      <c r="L777" s="6">
        <v>45335</v>
      </c>
      <c r="M777" s="8" t="str">
        <f>IF(K777&gt;10000,"High",IF(K777&gt;5000,"Medium","Low"))</f>
        <v>Low</v>
      </c>
      <c r="N777" s="4" t="s">
        <v>244</v>
      </c>
      <c r="O777" s="3">
        <v>2</v>
      </c>
      <c r="P777" s="3">
        <v>2024</v>
      </c>
      <c r="T777" s="4"/>
      <c r="X777"/>
      <c r="Y777" s="3"/>
      <c r="AA777"/>
    </row>
    <row r="778" spans="1:27" x14ac:dyDescent="0.3">
      <c r="A778" s="3">
        <v>1553</v>
      </c>
      <c r="B778" s="4" t="s">
        <v>73</v>
      </c>
      <c r="C778" s="4" t="str">
        <f>IF(D778="","Unknown",IF(D778&lt;20,"Teen",IF(D778&lt;40,"Adult","Senior")))</f>
        <v>Adult</v>
      </c>
      <c r="D778" s="3">
        <v>30</v>
      </c>
      <c r="E778" s="3" t="s">
        <v>250</v>
      </c>
      <c r="F778" s="4" t="s">
        <v>17</v>
      </c>
      <c r="G778" s="4" t="s">
        <v>55</v>
      </c>
      <c r="H778" t="s">
        <v>36</v>
      </c>
      <c r="I778" s="3">
        <v>5</v>
      </c>
      <c r="J778" s="5">
        <v>31583</v>
      </c>
      <c r="K778" s="7">
        <v>157915</v>
      </c>
      <c r="L778" s="6">
        <v>45339</v>
      </c>
      <c r="M778" s="8" t="str">
        <f>IF(K778&gt;10000,"High",IF(K778&gt;5000,"Medium","Low"))</f>
        <v>High</v>
      </c>
      <c r="N778" s="4" t="s">
        <v>243</v>
      </c>
      <c r="O778" s="3">
        <v>2</v>
      </c>
      <c r="P778" s="3">
        <v>2024</v>
      </c>
      <c r="T778" s="4"/>
      <c r="X778"/>
      <c r="Y778" s="3"/>
      <c r="AA778"/>
    </row>
    <row r="779" spans="1:27" x14ac:dyDescent="0.3">
      <c r="A779" s="3">
        <v>1555</v>
      </c>
      <c r="B779" s="4" t="s">
        <v>48</v>
      </c>
      <c r="C779" s="4" t="str">
        <f>IF(D779="","Unknown",IF(D779&lt;20,"Teen",IF(D779&lt;40,"Adult","Senior")))</f>
        <v>Adult</v>
      </c>
      <c r="D779" s="3">
        <v>30</v>
      </c>
      <c r="E779" s="3" t="s">
        <v>250</v>
      </c>
      <c r="F779" s="4" t="s">
        <v>17</v>
      </c>
      <c r="G779" s="4" t="s">
        <v>41</v>
      </c>
      <c r="H779" t="s">
        <v>36</v>
      </c>
      <c r="I779" s="3">
        <v>2</v>
      </c>
      <c r="J779" s="5">
        <v>1000</v>
      </c>
      <c r="K779" s="7">
        <v>2000</v>
      </c>
      <c r="L779" s="6">
        <v>45347</v>
      </c>
      <c r="M779" s="8" t="str">
        <f>IF(K779&gt;10000,"High",IF(K779&gt;5000,"Medium","Low"))</f>
        <v>Low</v>
      </c>
      <c r="N779" s="4" t="s">
        <v>240</v>
      </c>
      <c r="O779" s="3">
        <v>2</v>
      </c>
      <c r="P779" s="3">
        <v>2024</v>
      </c>
      <c r="T779" s="4"/>
      <c r="X779"/>
      <c r="Y779" s="3"/>
      <c r="AA779"/>
    </row>
    <row r="780" spans="1:27" x14ac:dyDescent="0.3">
      <c r="A780" s="3">
        <v>1556</v>
      </c>
      <c r="B780" s="4" t="s">
        <v>38</v>
      </c>
      <c r="C780" s="4" t="str">
        <f>IF(D780="","Unknown",IF(D780&lt;20,"Teen",IF(D780&lt;40,"Adult","Senior")))</f>
        <v>Adult</v>
      </c>
      <c r="D780" s="3">
        <v>30</v>
      </c>
      <c r="E780" s="3" t="s">
        <v>250</v>
      </c>
      <c r="F780" s="4" t="s">
        <v>17</v>
      </c>
      <c r="G780" s="4" t="s">
        <v>44</v>
      </c>
      <c r="H780" t="s">
        <v>36</v>
      </c>
      <c r="I780" s="3">
        <v>2</v>
      </c>
      <c r="J780" s="5">
        <v>1000</v>
      </c>
      <c r="K780" s="7">
        <v>2000</v>
      </c>
      <c r="L780" s="6">
        <v>45325</v>
      </c>
      <c r="M780" s="8" t="str">
        <f>IF(K780&gt;10000,"High",IF(K780&gt;5000,"Medium","Low"))</f>
        <v>Low</v>
      </c>
      <c r="N780" s="4" t="s">
        <v>244</v>
      </c>
      <c r="O780" s="3">
        <v>2</v>
      </c>
      <c r="P780" s="3">
        <v>2024</v>
      </c>
      <c r="T780" s="4"/>
      <c r="X780"/>
      <c r="Y780" s="3"/>
      <c r="AA780"/>
    </row>
    <row r="781" spans="1:27" x14ac:dyDescent="0.3">
      <c r="A781" s="3">
        <v>1558</v>
      </c>
      <c r="B781" s="4" t="s">
        <v>10</v>
      </c>
      <c r="C781" s="4" t="str">
        <f>IF(D781="","Unknown",IF(D781&lt;20,"Teen",IF(D781&lt;40,"Adult","Senior")))</f>
        <v>Senior</v>
      </c>
      <c r="D781" s="3">
        <v>43</v>
      </c>
      <c r="E781" s="3" t="s">
        <v>249</v>
      </c>
      <c r="F781" s="4" t="s">
        <v>40</v>
      </c>
      <c r="G781" s="4" t="s">
        <v>51</v>
      </c>
      <c r="H781" t="s">
        <v>13</v>
      </c>
      <c r="I781" s="3">
        <v>2</v>
      </c>
      <c r="J781" s="5">
        <v>1000</v>
      </c>
      <c r="K781" s="7">
        <v>2000</v>
      </c>
      <c r="L781" s="6">
        <v>45350</v>
      </c>
      <c r="M781" s="8" t="str">
        <f>IF(K781&gt;10000,"High",IF(K781&gt;5000,"Medium","Low"))</f>
        <v>Low</v>
      </c>
      <c r="N781" s="4" t="s">
        <v>240</v>
      </c>
      <c r="O781" s="3">
        <v>2</v>
      </c>
      <c r="P781" s="3">
        <v>2024</v>
      </c>
      <c r="T781" s="4"/>
      <c r="X781"/>
      <c r="Y781" s="3"/>
      <c r="AA781"/>
    </row>
    <row r="782" spans="1:27" x14ac:dyDescent="0.3">
      <c r="A782" s="3">
        <v>1559</v>
      </c>
      <c r="B782" s="4" t="s">
        <v>68</v>
      </c>
      <c r="C782" s="4" t="str">
        <f>IF(D782="","Unknown",IF(D782&lt;20,"Teen",IF(D782&lt;40,"Adult","Senior")))</f>
        <v>Adult</v>
      </c>
      <c r="D782" s="3">
        <v>30</v>
      </c>
      <c r="E782" s="3" t="s">
        <v>250</v>
      </c>
      <c r="F782" s="4" t="s">
        <v>40</v>
      </c>
      <c r="G782" s="4" t="s">
        <v>55</v>
      </c>
      <c r="H782" t="s">
        <v>36</v>
      </c>
      <c r="I782" s="3">
        <v>2</v>
      </c>
      <c r="J782" s="5">
        <v>1000</v>
      </c>
      <c r="K782" s="7">
        <v>2000</v>
      </c>
      <c r="L782" s="6">
        <v>45338</v>
      </c>
      <c r="M782" s="8" t="str">
        <f>IF(K782&gt;10000,"High",IF(K782&gt;5000,"Medium","Low"))</f>
        <v>Low</v>
      </c>
      <c r="N782" s="4" t="s">
        <v>240</v>
      </c>
      <c r="O782" s="3">
        <v>2</v>
      </c>
      <c r="P782" s="3">
        <v>2024</v>
      </c>
      <c r="T782" s="4"/>
      <c r="X782"/>
      <c r="Y782" s="3"/>
      <c r="AA782"/>
    </row>
    <row r="783" spans="1:27" x14ac:dyDescent="0.3">
      <c r="A783" s="3">
        <v>1563</v>
      </c>
      <c r="B783" s="4" t="s">
        <v>69</v>
      </c>
      <c r="C783" s="4" t="str">
        <f>IF(D783="","Unknown",IF(D783&lt;20,"Teen",IF(D783&lt;40,"Adult","Senior")))</f>
        <v>Adult</v>
      </c>
      <c r="D783" s="3">
        <v>26</v>
      </c>
      <c r="E783" s="3" t="s">
        <v>250</v>
      </c>
      <c r="F783" s="4" t="s">
        <v>40</v>
      </c>
      <c r="G783" s="4" t="s">
        <v>55</v>
      </c>
      <c r="H783" t="s">
        <v>36</v>
      </c>
      <c r="I783" s="3">
        <v>2</v>
      </c>
      <c r="J783" s="5">
        <v>1000</v>
      </c>
      <c r="K783" s="7">
        <v>2000</v>
      </c>
      <c r="L783" s="6">
        <v>45331</v>
      </c>
      <c r="M783" s="8" t="str">
        <f>IF(K783&gt;10000,"High",IF(K783&gt;5000,"Medium","Low"))</f>
        <v>Low</v>
      </c>
      <c r="N783" s="4" t="s">
        <v>240</v>
      </c>
      <c r="O783" s="3">
        <v>2</v>
      </c>
      <c r="P783" s="3">
        <v>2024</v>
      </c>
      <c r="T783" s="4"/>
      <c r="X783"/>
      <c r="Y783" s="3"/>
      <c r="AA783"/>
    </row>
    <row r="784" spans="1:27" x14ac:dyDescent="0.3">
      <c r="A784" s="3">
        <v>1564</v>
      </c>
      <c r="B784" s="4" t="s">
        <v>64</v>
      </c>
      <c r="C784" s="4" t="str">
        <f>IF(D784="","Unknown",IF(D784&lt;20,"Teen",IF(D784&lt;40,"Adult","Senior")))</f>
        <v>Senior</v>
      </c>
      <c r="D784" s="3">
        <v>46</v>
      </c>
      <c r="E784" s="3" t="s">
        <v>249</v>
      </c>
      <c r="F784" s="4" t="s">
        <v>40</v>
      </c>
      <c r="G784" s="4" t="s">
        <v>44</v>
      </c>
      <c r="H784" t="s">
        <v>36</v>
      </c>
      <c r="I784" s="3">
        <v>2</v>
      </c>
      <c r="J784" s="5">
        <v>1000</v>
      </c>
      <c r="K784" s="7">
        <v>2000</v>
      </c>
      <c r="L784" s="6">
        <v>45351</v>
      </c>
      <c r="M784" s="8" t="str">
        <f>IF(K784&gt;10000,"High",IF(K784&gt;5000,"Medium","Low"))</f>
        <v>Low</v>
      </c>
      <c r="N784" s="4" t="s">
        <v>243</v>
      </c>
      <c r="O784" s="3">
        <v>2</v>
      </c>
      <c r="P784" s="3">
        <v>2024</v>
      </c>
      <c r="T784" s="4"/>
      <c r="X784"/>
      <c r="Y784" s="3"/>
      <c r="AA784"/>
    </row>
    <row r="785" spans="1:27" x14ac:dyDescent="0.3">
      <c r="A785" s="3">
        <v>1567</v>
      </c>
      <c r="B785" s="4" t="s">
        <v>35</v>
      </c>
      <c r="C785" s="4" t="str">
        <f>IF(D785="","Unknown",IF(D785&lt;20,"Teen",IF(D785&lt;40,"Adult","Senior")))</f>
        <v>Adult</v>
      </c>
      <c r="D785" s="3">
        <v>30</v>
      </c>
      <c r="E785" s="3" t="s">
        <v>250</v>
      </c>
      <c r="F785" s="4" t="s">
        <v>40</v>
      </c>
      <c r="G785" s="4" t="s">
        <v>27</v>
      </c>
      <c r="H785" t="s">
        <v>13</v>
      </c>
      <c r="I785" s="3">
        <v>2</v>
      </c>
      <c r="J785" s="5">
        <v>49929</v>
      </c>
      <c r="K785" s="7">
        <v>99858</v>
      </c>
      <c r="L785" s="6">
        <v>45348</v>
      </c>
      <c r="M785" s="8" t="str">
        <f>IF(K785&gt;10000,"High",IF(K785&gt;5000,"Medium","Low"))</f>
        <v>High</v>
      </c>
      <c r="N785" s="4" t="s">
        <v>241</v>
      </c>
      <c r="O785" s="3">
        <v>2</v>
      </c>
      <c r="P785" s="3">
        <v>2024</v>
      </c>
      <c r="T785" s="4"/>
      <c r="X785"/>
      <c r="Y785" s="3"/>
      <c r="AA785"/>
    </row>
    <row r="786" spans="1:27" x14ac:dyDescent="0.3">
      <c r="A786" s="3">
        <v>1568</v>
      </c>
      <c r="B786" s="4" t="s">
        <v>25</v>
      </c>
      <c r="C786" s="4" t="str">
        <f>IF(D786="","Unknown",IF(D786&lt;20,"Teen",IF(D786&lt;40,"Adult","Senior")))</f>
        <v>Adult</v>
      </c>
      <c r="D786" s="3">
        <v>30</v>
      </c>
      <c r="E786" s="3" t="s">
        <v>250</v>
      </c>
      <c r="F786" s="4" t="s">
        <v>40</v>
      </c>
      <c r="G786" s="4" t="s">
        <v>18</v>
      </c>
      <c r="H786" t="s">
        <v>30</v>
      </c>
      <c r="I786" s="3">
        <v>2</v>
      </c>
      <c r="J786" s="5">
        <v>1000</v>
      </c>
      <c r="K786" s="7">
        <v>2000</v>
      </c>
      <c r="L786" s="6">
        <v>45343</v>
      </c>
      <c r="M786" s="8" t="str">
        <f>IF(K786&gt;10000,"High",IF(K786&gt;5000,"Medium","Low"))</f>
        <v>Low</v>
      </c>
      <c r="N786" s="4" t="s">
        <v>243</v>
      </c>
      <c r="O786" s="3">
        <v>2</v>
      </c>
      <c r="P786" s="3">
        <v>2024</v>
      </c>
      <c r="T786" s="4"/>
      <c r="X786"/>
      <c r="Y786" s="3"/>
      <c r="AA786"/>
    </row>
    <row r="787" spans="1:27" x14ac:dyDescent="0.3">
      <c r="A787" s="3">
        <v>1571</v>
      </c>
      <c r="B787" s="4" t="s">
        <v>16</v>
      </c>
      <c r="C787" s="4" t="str">
        <f>IF(D787="","Unknown",IF(D787&lt;20,"Teen",IF(D787&lt;40,"Adult","Senior")))</f>
        <v>Adult</v>
      </c>
      <c r="D787" s="3">
        <v>39</v>
      </c>
      <c r="E787" s="3" t="s">
        <v>249</v>
      </c>
      <c r="F787" s="4" t="s">
        <v>40</v>
      </c>
      <c r="G787" s="4" t="s">
        <v>55</v>
      </c>
      <c r="H787" t="s">
        <v>36</v>
      </c>
      <c r="I787" s="3">
        <v>2</v>
      </c>
      <c r="J787" s="5">
        <v>1000</v>
      </c>
      <c r="K787" s="7">
        <v>2000</v>
      </c>
      <c r="L787" s="6">
        <v>45326</v>
      </c>
      <c r="M787" s="8" t="str">
        <f>IF(K787&gt;10000,"High",IF(K787&gt;5000,"Medium","Low"))</f>
        <v>Low</v>
      </c>
      <c r="N787" s="4" t="s">
        <v>244</v>
      </c>
      <c r="O787" s="3">
        <v>2</v>
      </c>
      <c r="P787" s="3">
        <v>2024</v>
      </c>
      <c r="T787" s="4"/>
      <c r="X787"/>
      <c r="Y787" s="3"/>
      <c r="AA787"/>
    </row>
    <row r="788" spans="1:27" x14ac:dyDescent="0.3">
      <c r="A788" s="3">
        <v>1572</v>
      </c>
      <c r="B788" s="4" t="s">
        <v>68</v>
      </c>
      <c r="C788" s="4" t="str">
        <f>IF(D788="","Unknown",IF(D788&lt;20,"Teen",IF(D788&lt;40,"Adult","Senior")))</f>
        <v>Adult</v>
      </c>
      <c r="D788" s="3">
        <v>20</v>
      </c>
      <c r="E788" s="3" t="s">
        <v>251</v>
      </c>
      <c r="F788" s="4" t="s">
        <v>40</v>
      </c>
      <c r="G788" s="4" t="s">
        <v>27</v>
      </c>
      <c r="H788" t="s">
        <v>13</v>
      </c>
      <c r="I788" s="3">
        <v>2</v>
      </c>
      <c r="J788" s="5">
        <v>1000</v>
      </c>
      <c r="K788" s="7">
        <v>2000</v>
      </c>
      <c r="L788" s="6">
        <v>45344</v>
      </c>
      <c r="M788" s="8" t="str">
        <f>IF(K788&gt;10000,"High",IF(K788&gt;5000,"Medium","Low"))</f>
        <v>Low</v>
      </c>
      <c r="N788" s="4" t="s">
        <v>241</v>
      </c>
      <c r="O788" s="3">
        <v>2</v>
      </c>
      <c r="P788" s="3">
        <v>2024</v>
      </c>
      <c r="T788" s="4"/>
      <c r="X788"/>
      <c r="Y788" s="3"/>
      <c r="AA788"/>
    </row>
    <row r="789" spans="1:27" x14ac:dyDescent="0.3">
      <c r="A789" s="3">
        <v>1574</v>
      </c>
      <c r="B789" s="4" t="s">
        <v>21</v>
      </c>
      <c r="C789" s="4" t="str">
        <f>IF(D789="","Unknown",IF(D789&lt;20,"Teen",IF(D789&lt;40,"Adult","Senior")))</f>
        <v>Adult</v>
      </c>
      <c r="D789" s="3">
        <v>30</v>
      </c>
      <c r="E789" s="3" t="s">
        <v>250</v>
      </c>
      <c r="F789" s="4" t="s">
        <v>40</v>
      </c>
      <c r="G789" s="4" t="s">
        <v>23</v>
      </c>
      <c r="H789" t="s">
        <v>30</v>
      </c>
      <c r="I789" s="3">
        <v>2</v>
      </c>
      <c r="J789" s="5">
        <v>1000</v>
      </c>
      <c r="K789" s="7">
        <v>2000</v>
      </c>
      <c r="L789" s="6">
        <v>45334</v>
      </c>
      <c r="M789" s="8" t="str">
        <f>IF(K789&gt;10000,"High",IF(K789&gt;5000,"Medium","Low"))</f>
        <v>Low</v>
      </c>
      <c r="N789" s="4" t="s">
        <v>241</v>
      </c>
      <c r="O789" s="3">
        <v>2</v>
      </c>
      <c r="P789" s="3">
        <v>2024</v>
      </c>
      <c r="T789" s="4"/>
      <c r="X789"/>
      <c r="Y789" s="3"/>
      <c r="AA789"/>
    </row>
    <row r="790" spans="1:27" x14ac:dyDescent="0.3">
      <c r="A790" s="3">
        <v>1576</v>
      </c>
      <c r="B790" s="4" t="s">
        <v>21</v>
      </c>
      <c r="C790" s="4" t="str">
        <f>IF(D790="","Unknown",IF(D790&lt;20,"Teen",IF(D790&lt;40,"Adult","Senior")))</f>
        <v>Senior</v>
      </c>
      <c r="D790" s="3">
        <v>43</v>
      </c>
      <c r="E790" s="3" t="s">
        <v>249</v>
      </c>
      <c r="F790" s="4" t="s">
        <v>17</v>
      </c>
      <c r="G790" s="4" t="s">
        <v>51</v>
      </c>
      <c r="H790" t="s">
        <v>13</v>
      </c>
      <c r="I790" s="3">
        <v>4</v>
      </c>
      <c r="J790" s="5">
        <v>1000</v>
      </c>
      <c r="K790" s="7">
        <v>4000</v>
      </c>
      <c r="L790" s="6">
        <v>45351</v>
      </c>
      <c r="M790" s="8" t="str">
        <f>IF(K790&gt;10000,"High",IF(K790&gt;5000,"Medium","Low"))</f>
        <v>Low</v>
      </c>
      <c r="N790" s="4" t="s">
        <v>244</v>
      </c>
      <c r="O790" s="3">
        <v>2</v>
      </c>
      <c r="P790" s="3">
        <v>2024</v>
      </c>
      <c r="T790" s="4"/>
      <c r="X790"/>
      <c r="Y790" s="3"/>
      <c r="AA790"/>
    </row>
    <row r="791" spans="1:27" x14ac:dyDescent="0.3">
      <c r="A791" s="3">
        <v>1578</v>
      </c>
      <c r="B791" s="4" t="s">
        <v>25</v>
      </c>
      <c r="C791" s="4" t="str">
        <f>IF(D791="","Unknown",IF(D791&lt;20,"Teen",IF(D791&lt;40,"Adult","Senior")))</f>
        <v>Adult</v>
      </c>
      <c r="D791" s="3">
        <v>30</v>
      </c>
      <c r="E791" s="3" t="s">
        <v>250</v>
      </c>
      <c r="F791" s="4" t="s">
        <v>40</v>
      </c>
      <c r="G791" s="4" t="s">
        <v>41</v>
      </c>
      <c r="H791" t="s">
        <v>36</v>
      </c>
      <c r="I791" s="3">
        <v>2</v>
      </c>
      <c r="J791" s="5">
        <v>1000</v>
      </c>
      <c r="K791" s="7">
        <v>2000</v>
      </c>
      <c r="L791" s="6">
        <v>45331</v>
      </c>
      <c r="M791" s="8" t="str">
        <f>IF(K791&gt;10000,"High",IF(K791&gt;5000,"Medium","Low"))</f>
        <v>Low</v>
      </c>
      <c r="N791" s="4" t="s">
        <v>241</v>
      </c>
      <c r="O791" s="3">
        <v>2</v>
      </c>
      <c r="P791" s="3">
        <v>2024</v>
      </c>
      <c r="T791" s="4"/>
      <c r="X791"/>
      <c r="Y791" s="3"/>
      <c r="AA791"/>
    </row>
    <row r="792" spans="1:27" x14ac:dyDescent="0.3">
      <c r="A792" s="3">
        <v>1579</v>
      </c>
      <c r="B792" s="4" t="s">
        <v>21</v>
      </c>
      <c r="C792" s="4" t="str">
        <f>IF(D792="","Unknown",IF(D792&lt;20,"Teen",IF(D792&lt;40,"Adult","Senior")))</f>
        <v>Adult</v>
      </c>
      <c r="D792" s="3">
        <v>30</v>
      </c>
      <c r="E792" s="3" t="s">
        <v>250</v>
      </c>
      <c r="F792" s="4" t="s">
        <v>17</v>
      </c>
      <c r="G792" s="4" t="s">
        <v>18</v>
      </c>
      <c r="H792" t="s">
        <v>30</v>
      </c>
      <c r="I792" s="3">
        <v>2</v>
      </c>
      <c r="J792" s="5">
        <v>1000</v>
      </c>
      <c r="K792" s="7">
        <v>2000</v>
      </c>
      <c r="L792" s="6">
        <v>45341</v>
      </c>
      <c r="M792" s="8" t="str">
        <f>IF(K792&gt;10000,"High",IF(K792&gt;5000,"Medium","Low"))</f>
        <v>Low</v>
      </c>
      <c r="N792" s="4" t="s">
        <v>244</v>
      </c>
      <c r="O792" s="3">
        <v>2</v>
      </c>
      <c r="P792" s="3">
        <v>2024</v>
      </c>
      <c r="T792" s="4"/>
      <c r="X792"/>
      <c r="Y792" s="3"/>
      <c r="AA792"/>
    </row>
    <row r="793" spans="1:27" x14ac:dyDescent="0.3">
      <c r="A793" s="3">
        <v>1583</v>
      </c>
      <c r="B793" s="4" t="s">
        <v>69</v>
      </c>
      <c r="C793" s="4" t="str">
        <f>IF(D793="","Unknown",IF(D793&lt;20,"Teen",IF(D793&lt;40,"Adult","Senior")))</f>
        <v>Adult</v>
      </c>
      <c r="D793" s="3">
        <v>30</v>
      </c>
      <c r="E793" s="3" t="s">
        <v>250</v>
      </c>
      <c r="F793" s="4" t="s">
        <v>40</v>
      </c>
      <c r="G793" s="4" t="s">
        <v>55</v>
      </c>
      <c r="H793" t="s">
        <v>36</v>
      </c>
      <c r="I793" s="3">
        <v>4</v>
      </c>
      <c r="J793" s="5">
        <v>1000</v>
      </c>
      <c r="K793" s="7">
        <v>4000</v>
      </c>
      <c r="L793" s="6">
        <v>45342</v>
      </c>
      <c r="M793" s="8" t="str">
        <f>IF(K793&gt;10000,"High",IF(K793&gt;5000,"Medium","Low"))</f>
        <v>Low</v>
      </c>
      <c r="N793" s="4" t="s">
        <v>244</v>
      </c>
      <c r="O793" s="3">
        <v>2</v>
      </c>
      <c r="P793" s="3">
        <v>2024</v>
      </c>
      <c r="T793" s="4"/>
      <c r="X793"/>
      <c r="Y793" s="3"/>
      <c r="AA793"/>
    </row>
    <row r="794" spans="1:27" x14ac:dyDescent="0.3">
      <c r="A794" s="3">
        <v>1587</v>
      </c>
      <c r="B794" s="4" t="s">
        <v>10</v>
      </c>
      <c r="C794" s="4" t="str">
        <f>IF(D794="","Unknown",IF(D794&lt;20,"Teen",IF(D794&lt;40,"Adult","Senior")))</f>
        <v>Adult</v>
      </c>
      <c r="D794" s="3">
        <v>30</v>
      </c>
      <c r="E794" s="3" t="s">
        <v>250</v>
      </c>
      <c r="F794" s="4" t="s">
        <v>17</v>
      </c>
      <c r="G794" s="4" t="s">
        <v>44</v>
      </c>
      <c r="H794" t="s">
        <v>36</v>
      </c>
      <c r="I794" s="3">
        <v>2</v>
      </c>
      <c r="J794" s="5">
        <v>1000</v>
      </c>
      <c r="K794" s="7">
        <v>2000</v>
      </c>
      <c r="L794" s="6">
        <v>45348</v>
      </c>
      <c r="M794" s="8" t="str">
        <f>IF(K794&gt;10000,"High",IF(K794&gt;5000,"Medium","Low"))</f>
        <v>Low</v>
      </c>
      <c r="N794" s="4" t="s">
        <v>244</v>
      </c>
      <c r="O794" s="3">
        <v>2</v>
      </c>
      <c r="P794" s="3">
        <v>2024</v>
      </c>
      <c r="T794" s="4"/>
      <c r="X794"/>
      <c r="Y794" s="3"/>
      <c r="AA794"/>
    </row>
    <row r="795" spans="1:27" x14ac:dyDescent="0.3">
      <c r="A795" s="3">
        <v>1588</v>
      </c>
      <c r="B795" s="4" t="s">
        <v>25</v>
      </c>
      <c r="C795" s="4" t="str">
        <f>IF(D795="","Unknown",IF(D795&lt;20,"Teen",IF(D795&lt;40,"Adult","Senior")))</f>
        <v>Adult</v>
      </c>
      <c r="D795" s="3">
        <v>30</v>
      </c>
      <c r="E795" s="3" t="s">
        <v>250</v>
      </c>
      <c r="F795" s="4" t="s">
        <v>17</v>
      </c>
      <c r="G795" s="4" t="s">
        <v>41</v>
      </c>
      <c r="H795" t="s">
        <v>36</v>
      </c>
      <c r="I795" s="3">
        <v>2</v>
      </c>
      <c r="J795" s="5">
        <v>1000</v>
      </c>
      <c r="K795" s="7">
        <v>2000</v>
      </c>
      <c r="L795" s="6">
        <v>45333</v>
      </c>
      <c r="M795" s="8" t="str">
        <f>IF(K795&gt;10000,"High",IF(K795&gt;5000,"Medium","Low"))</f>
        <v>Low</v>
      </c>
      <c r="N795" s="4" t="s">
        <v>240</v>
      </c>
      <c r="O795" s="3">
        <v>2</v>
      </c>
      <c r="P795" s="3">
        <v>2024</v>
      </c>
      <c r="T795" s="4"/>
      <c r="X795"/>
      <c r="Y795" s="3"/>
      <c r="AA795"/>
    </row>
    <row r="796" spans="1:27" x14ac:dyDescent="0.3">
      <c r="A796" s="3">
        <v>1590</v>
      </c>
      <c r="B796" s="4" t="s">
        <v>59</v>
      </c>
      <c r="C796" s="4" t="str">
        <f>IF(D796="","Unknown",IF(D796&lt;20,"Teen",IF(D796&lt;40,"Adult","Senior")))</f>
        <v>Adult</v>
      </c>
      <c r="D796" s="3">
        <v>30</v>
      </c>
      <c r="E796" s="3" t="s">
        <v>250</v>
      </c>
      <c r="F796" s="4" t="s">
        <v>17</v>
      </c>
      <c r="G796" s="4" t="s">
        <v>41</v>
      </c>
      <c r="H796" t="s">
        <v>36</v>
      </c>
      <c r="I796" s="3">
        <v>2</v>
      </c>
      <c r="J796" s="5">
        <v>1000</v>
      </c>
      <c r="K796" s="7">
        <v>2000</v>
      </c>
      <c r="L796" s="6">
        <v>45350</v>
      </c>
      <c r="M796" s="8" t="str">
        <f>IF(K796&gt;10000,"High",IF(K796&gt;5000,"Medium","Low"))</f>
        <v>Low</v>
      </c>
      <c r="N796" s="4" t="s">
        <v>241</v>
      </c>
      <c r="O796" s="3">
        <v>2</v>
      </c>
      <c r="P796" s="3">
        <v>2024</v>
      </c>
      <c r="T796" s="4"/>
      <c r="X796"/>
      <c r="Y796" s="3"/>
      <c r="AA796"/>
    </row>
    <row r="797" spans="1:27" x14ac:dyDescent="0.3">
      <c r="A797" s="3">
        <v>1591</v>
      </c>
      <c r="B797" s="4" t="s">
        <v>38</v>
      </c>
      <c r="C797" s="4" t="str">
        <f>IF(D797="","Unknown",IF(D797&lt;20,"Teen",IF(D797&lt;40,"Adult","Senior")))</f>
        <v>Adult</v>
      </c>
      <c r="D797" s="3">
        <v>30</v>
      </c>
      <c r="E797" s="3" t="s">
        <v>250</v>
      </c>
      <c r="F797" s="4" t="s">
        <v>40</v>
      </c>
      <c r="G797" s="4" t="s">
        <v>27</v>
      </c>
      <c r="H797" t="s">
        <v>13</v>
      </c>
      <c r="I797" s="3">
        <v>2</v>
      </c>
      <c r="J797" s="5">
        <v>1000</v>
      </c>
      <c r="K797" s="7">
        <v>2000</v>
      </c>
      <c r="L797" s="6">
        <v>45337</v>
      </c>
      <c r="M797" s="8" t="str">
        <f>IF(K797&gt;10000,"High",IF(K797&gt;5000,"Medium","Low"))</f>
        <v>Low</v>
      </c>
      <c r="N797" s="4" t="s">
        <v>241</v>
      </c>
      <c r="O797" s="3">
        <v>2</v>
      </c>
      <c r="P797" s="3">
        <v>2024</v>
      </c>
      <c r="T797" s="4"/>
      <c r="X797"/>
      <c r="Y797" s="3"/>
      <c r="AA797"/>
    </row>
    <row r="798" spans="1:27" x14ac:dyDescent="0.3">
      <c r="A798" s="3">
        <v>1595</v>
      </c>
      <c r="B798" s="4" t="s">
        <v>35</v>
      </c>
      <c r="C798" s="4" t="str">
        <f>IF(D798="","Unknown",IF(D798&lt;20,"Teen",IF(D798&lt;40,"Adult","Senior")))</f>
        <v>Adult</v>
      </c>
      <c r="D798" s="3">
        <v>38</v>
      </c>
      <c r="E798" s="3" t="s">
        <v>249</v>
      </c>
      <c r="F798" s="4" t="s">
        <v>17</v>
      </c>
      <c r="G798" s="4" t="s">
        <v>23</v>
      </c>
      <c r="H798" t="s">
        <v>30</v>
      </c>
      <c r="I798" s="3">
        <v>4</v>
      </c>
      <c r="J798" s="5">
        <v>1000</v>
      </c>
      <c r="K798" s="7">
        <v>4000</v>
      </c>
      <c r="L798" s="6">
        <v>45325</v>
      </c>
      <c r="M798" s="8" t="str">
        <f>IF(K798&gt;10000,"High",IF(K798&gt;5000,"Medium","Low"))</f>
        <v>Low</v>
      </c>
      <c r="N798" s="4" t="s">
        <v>242</v>
      </c>
      <c r="O798" s="3">
        <v>2</v>
      </c>
      <c r="P798" s="3">
        <v>2024</v>
      </c>
      <c r="T798" s="4"/>
      <c r="X798"/>
      <c r="Y798" s="3"/>
      <c r="AA798"/>
    </row>
    <row r="799" spans="1:27" x14ac:dyDescent="0.3">
      <c r="A799" s="3">
        <v>1597</v>
      </c>
      <c r="B799" s="4" t="s">
        <v>10</v>
      </c>
      <c r="C799" s="4" t="str">
        <f>IF(D799="","Unknown",IF(D799&lt;20,"Teen",IF(D799&lt;40,"Adult","Senior")))</f>
        <v>Adult</v>
      </c>
      <c r="D799" s="3">
        <v>33</v>
      </c>
      <c r="E799" s="3" t="s">
        <v>249</v>
      </c>
      <c r="F799" s="4" t="s">
        <v>17</v>
      </c>
      <c r="G799" s="4" t="s">
        <v>27</v>
      </c>
      <c r="H799" t="s">
        <v>13</v>
      </c>
      <c r="I799" s="3">
        <v>2</v>
      </c>
      <c r="J799" s="5">
        <v>1000</v>
      </c>
      <c r="K799" s="7">
        <v>2000</v>
      </c>
      <c r="L799" s="6">
        <v>45336</v>
      </c>
      <c r="M799" s="8" t="str">
        <f>IF(K799&gt;10000,"High",IF(K799&gt;5000,"Medium","Low"))</f>
        <v>Low</v>
      </c>
      <c r="N799" s="4" t="s">
        <v>240</v>
      </c>
      <c r="O799" s="3">
        <v>2</v>
      </c>
      <c r="P799" s="3">
        <v>2024</v>
      </c>
      <c r="T799" s="4"/>
      <c r="X799"/>
      <c r="Y799" s="3"/>
      <c r="AA799"/>
    </row>
    <row r="800" spans="1:27" x14ac:dyDescent="0.3">
      <c r="A800" s="3">
        <v>1598</v>
      </c>
      <c r="B800" s="4" t="s">
        <v>35</v>
      </c>
      <c r="C800" s="4" t="str">
        <f>IF(D800="","Unknown",IF(D800&lt;20,"Teen",IF(D800&lt;40,"Adult","Senior")))</f>
        <v>Adult</v>
      </c>
      <c r="D800" s="3">
        <v>30</v>
      </c>
      <c r="E800" s="3" t="s">
        <v>250</v>
      </c>
      <c r="F800" s="4" t="s">
        <v>17</v>
      </c>
      <c r="G800" s="4" t="s">
        <v>27</v>
      </c>
      <c r="H800" t="s">
        <v>13</v>
      </c>
      <c r="I800" s="3">
        <v>2</v>
      </c>
      <c r="J800" s="5">
        <v>1000</v>
      </c>
      <c r="K800" s="7">
        <v>2000</v>
      </c>
      <c r="L800" s="6">
        <v>45325</v>
      </c>
      <c r="M800" s="8" t="str">
        <f>IF(K800&gt;10000,"High",IF(K800&gt;5000,"Medium","Low"))</f>
        <v>Low</v>
      </c>
      <c r="N800" s="4" t="s">
        <v>242</v>
      </c>
      <c r="O800" s="3">
        <v>2</v>
      </c>
      <c r="P800" s="3">
        <v>2024</v>
      </c>
      <c r="T800" s="4"/>
      <c r="X800"/>
      <c r="Y800" s="3"/>
      <c r="AA800"/>
    </row>
    <row r="801" spans="1:27" x14ac:dyDescent="0.3">
      <c r="A801" s="3">
        <v>1599</v>
      </c>
      <c r="B801" s="4" t="s">
        <v>35</v>
      </c>
      <c r="C801" s="4" t="str">
        <f>IF(D801="","Unknown",IF(D801&lt;20,"Teen",IF(D801&lt;40,"Adult","Senior")))</f>
        <v>Adult</v>
      </c>
      <c r="D801" s="3">
        <v>32</v>
      </c>
      <c r="E801" s="3" t="s">
        <v>249</v>
      </c>
      <c r="F801" s="4" t="s">
        <v>40</v>
      </c>
      <c r="G801" s="4" t="s">
        <v>18</v>
      </c>
      <c r="H801" t="s">
        <v>30</v>
      </c>
      <c r="I801" s="3">
        <v>2</v>
      </c>
      <c r="J801" s="5">
        <v>1000</v>
      </c>
      <c r="K801" s="7">
        <v>2000</v>
      </c>
      <c r="L801" s="6">
        <v>45327</v>
      </c>
      <c r="M801" s="8" t="str">
        <f>IF(K801&gt;10000,"High",IF(K801&gt;5000,"Medium","Low"))</f>
        <v>Low</v>
      </c>
      <c r="N801" s="4" t="s">
        <v>242</v>
      </c>
      <c r="O801" s="3">
        <v>2</v>
      </c>
      <c r="P801" s="3">
        <v>2024</v>
      </c>
      <c r="T801" s="4"/>
      <c r="X801"/>
      <c r="Y801" s="3"/>
      <c r="AA801"/>
    </row>
    <row r="802" spans="1:27" x14ac:dyDescent="0.3">
      <c r="A802" s="3">
        <v>1601</v>
      </c>
      <c r="B802" s="4" t="s">
        <v>16</v>
      </c>
      <c r="C802" s="4" t="str">
        <f>IF(D802="","Unknown",IF(D802&lt;20,"Teen",IF(D802&lt;40,"Adult","Senior")))</f>
        <v>Adult</v>
      </c>
      <c r="D802" s="3">
        <v>30</v>
      </c>
      <c r="E802" s="3" t="s">
        <v>250</v>
      </c>
      <c r="F802" s="4" t="s">
        <v>17</v>
      </c>
      <c r="G802" s="4" t="s">
        <v>27</v>
      </c>
      <c r="H802" t="s">
        <v>13</v>
      </c>
      <c r="I802" s="3">
        <v>2</v>
      </c>
      <c r="J802" s="5">
        <v>1000</v>
      </c>
      <c r="K802" s="7">
        <v>2000</v>
      </c>
      <c r="L802" s="6">
        <v>45327</v>
      </c>
      <c r="M802" s="8" t="str">
        <f>IF(K802&gt;10000,"High",IF(K802&gt;5000,"Medium","Low"))</f>
        <v>Low</v>
      </c>
      <c r="N802" s="4" t="s">
        <v>244</v>
      </c>
      <c r="O802" s="3">
        <v>2</v>
      </c>
      <c r="P802" s="3">
        <v>2024</v>
      </c>
      <c r="T802" s="4"/>
      <c r="X802"/>
      <c r="Y802" s="3"/>
      <c r="AA802"/>
    </row>
    <row r="803" spans="1:27" x14ac:dyDescent="0.3">
      <c r="A803" s="3">
        <v>1602</v>
      </c>
      <c r="B803" s="4" t="s">
        <v>68</v>
      </c>
      <c r="C803" s="4" t="str">
        <f>IF(D803="","Unknown",IF(D803&lt;20,"Teen",IF(D803&lt;40,"Adult","Senior")))</f>
        <v>Adult</v>
      </c>
      <c r="D803" s="3">
        <v>39</v>
      </c>
      <c r="E803" s="3" t="s">
        <v>249</v>
      </c>
      <c r="F803" s="4" t="s">
        <v>40</v>
      </c>
      <c r="G803" s="4" t="s">
        <v>23</v>
      </c>
      <c r="H803" t="s">
        <v>30</v>
      </c>
      <c r="I803" s="3">
        <v>2</v>
      </c>
      <c r="J803" s="5">
        <v>20226</v>
      </c>
      <c r="K803" s="7">
        <v>40452</v>
      </c>
      <c r="L803" s="6">
        <v>45345</v>
      </c>
      <c r="M803" s="8" t="str">
        <f>IF(K803&gt;10000,"High",IF(K803&gt;5000,"Medium","Low"))</f>
        <v>High</v>
      </c>
      <c r="N803" s="4" t="s">
        <v>241</v>
      </c>
      <c r="O803" s="3">
        <v>2</v>
      </c>
      <c r="P803" s="3">
        <v>2024</v>
      </c>
      <c r="T803" s="4"/>
      <c r="X803"/>
      <c r="Y803" s="3"/>
      <c r="AA803"/>
    </row>
    <row r="804" spans="1:27" x14ac:dyDescent="0.3">
      <c r="A804" s="3">
        <v>1604</v>
      </c>
      <c r="B804" s="4" t="s">
        <v>57</v>
      </c>
      <c r="C804" s="4" t="str">
        <f>IF(D804="","Unknown",IF(D804&lt;20,"Teen",IF(D804&lt;40,"Adult","Senior")))</f>
        <v>Adult</v>
      </c>
      <c r="D804" s="3">
        <v>30</v>
      </c>
      <c r="E804" s="3" t="s">
        <v>250</v>
      </c>
      <c r="F804" s="4" t="s">
        <v>17</v>
      </c>
      <c r="G804" s="4" t="s">
        <v>44</v>
      </c>
      <c r="H804" t="s">
        <v>36</v>
      </c>
      <c r="I804" s="3">
        <v>4</v>
      </c>
      <c r="J804" s="5">
        <v>1000</v>
      </c>
      <c r="K804" s="7">
        <v>4000</v>
      </c>
      <c r="L804" s="6">
        <v>45339</v>
      </c>
      <c r="M804" s="8" t="str">
        <f>IF(K804&gt;10000,"High",IF(K804&gt;5000,"Medium","Low"))</f>
        <v>Low</v>
      </c>
      <c r="N804" s="4" t="s">
        <v>240</v>
      </c>
      <c r="O804" s="3">
        <v>2</v>
      </c>
      <c r="P804" s="3">
        <v>2024</v>
      </c>
      <c r="T804" s="4"/>
      <c r="X804"/>
      <c r="Y804" s="3"/>
      <c r="AA804"/>
    </row>
    <row r="805" spans="1:27" x14ac:dyDescent="0.3">
      <c r="A805" s="3">
        <v>1605</v>
      </c>
      <c r="B805" s="4" t="s">
        <v>64</v>
      </c>
      <c r="C805" s="4" t="str">
        <f>IF(D805="","Unknown",IF(D805&lt;20,"Teen",IF(D805&lt;40,"Adult","Senior")))</f>
        <v>Adult</v>
      </c>
      <c r="D805" s="3">
        <v>26</v>
      </c>
      <c r="E805" s="3" t="s">
        <v>250</v>
      </c>
      <c r="F805" s="4" t="s">
        <v>40</v>
      </c>
      <c r="G805" s="4" t="s">
        <v>55</v>
      </c>
      <c r="H805" t="s">
        <v>36</v>
      </c>
      <c r="I805" s="3">
        <v>2</v>
      </c>
      <c r="J805" s="5">
        <v>1000</v>
      </c>
      <c r="K805" s="7">
        <v>2000</v>
      </c>
      <c r="L805" s="6">
        <v>45324</v>
      </c>
      <c r="M805" s="8" t="str">
        <f>IF(K805&gt;10000,"High",IF(K805&gt;5000,"Medium","Low"))</f>
        <v>Low</v>
      </c>
      <c r="N805" s="4" t="s">
        <v>242</v>
      </c>
      <c r="O805" s="3">
        <v>2</v>
      </c>
      <c r="P805" s="3">
        <v>2024</v>
      </c>
      <c r="T805" s="4"/>
      <c r="X805"/>
      <c r="Y805" s="3"/>
      <c r="AA805"/>
    </row>
    <row r="806" spans="1:27" x14ac:dyDescent="0.3">
      <c r="A806" s="3">
        <v>1606</v>
      </c>
      <c r="B806" s="4" t="s">
        <v>25</v>
      </c>
      <c r="C806" s="4" t="str">
        <f>IF(D806="","Unknown",IF(D806&lt;20,"Teen",IF(D806&lt;40,"Adult","Senior")))</f>
        <v>Adult</v>
      </c>
      <c r="D806" s="3">
        <v>26</v>
      </c>
      <c r="E806" s="3" t="s">
        <v>250</v>
      </c>
      <c r="F806" s="4" t="s">
        <v>40</v>
      </c>
      <c r="G806" s="4" t="s">
        <v>51</v>
      </c>
      <c r="H806" t="s">
        <v>13</v>
      </c>
      <c r="I806" s="3">
        <v>2</v>
      </c>
      <c r="J806" s="5">
        <v>1000</v>
      </c>
      <c r="K806" s="7">
        <v>2000</v>
      </c>
      <c r="L806" s="6">
        <v>45350</v>
      </c>
      <c r="M806" s="8" t="str">
        <f>IF(K806&gt;10000,"High",IF(K806&gt;5000,"Medium","Low"))</f>
        <v>Low</v>
      </c>
      <c r="N806" s="4" t="s">
        <v>242</v>
      </c>
      <c r="O806" s="3">
        <v>2</v>
      </c>
      <c r="P806" s="3">
        <v>2024</v>
      </c>
      <c r="T806" s="4"/>
      <c r="X806"/>
      <c r="Y806" s="3"/>
      <c r="AA806"/>
    </row>
    <row r="807" spans="1:27" x14ac:dyDescent="0.3">
      <c r="A807" s="3">
        <v>1607</v>
      </c>
      <c r="B807" s="4" t="s">
        <v>25</v>
      </c>
      <c r="C807" s="4" t="str">
        <f>IF(D807="","Unknown",IF(D807&lt;20,"Teen",IF(D807&lt;40,"Adult","Senior")))</f>
        <v>Senior</v>
      </c>
      <c r="D807" s="3">
        <v>45</v>
      </c>
      <c r="E807" s="3" t="s">
        <v>249</v>
      </c>
      <c r="F807" s="4" t="s">
        <v>17</v>
      </c>
      <c r="G807" s="4" t="s">
        <v>55</v>
      </c>
      <c r="H807" t="s">
        <v>36</v>
      </c>
      <c r="I807" s="3">
        <v>2</v>
      </c>
      <c r="J807" s="5">
        <v>11742</v>
      </c>
      <c r="K807" s="7">
        <v>23484</v>
      </c>
      <c r="L807" s="6">
        <v>45344</v>
      </c>
      <c r="M807" s="8" t="str">
        <f>IF(K807&gt;10000,"High",IF(K807&gt;5000,"Medium","Low"))</f>
        <v>High</v>
      </c>
      <c r="N807" s="4" t="s">
        <v>243</v>
      </c>
      <c r="O807" s="3">
        <v>2</v>
      </c>
      <c r="P807" s="3">
        <v>2024</v>
      </c>
      <c r="T807" s="4"/>
      <c r="X807"/>
      <c r="Y807" s="3"/>
      <c r="AA807"/>
    </row>
    <row r="808" spans="1:27" x14ac:dyDescent="0.3">
      <c r="A808" s="3">
        <v>1608</v>
      </c>
      <c r="B808" s="4" t="s">
        <v>21</v>
      </c>
      <c r="C808" s="4" t="str">
        <f>IF(D808="","Unknown",IF(D808&lt;20,"Teen",IF(D808&lt;40,"Adult","Senior")))</f>
        <v>Adult</v>
      </c>
      <c r="D808" s="3">
        <v>35</v>
      </c>
      <c r="E808" s="3" t="s">
        <v>249</v>
      </c>
      <c r="F808" s="4" t="s">
        <v>40</v>
      </c>
      <c r="G808" s="4" t="s">
        <v>44</v>
      </c>
      <c r="H808" t="s">
        <v>36</v>
      </c>
      <c r="I808" s="3">
        <v>2</v>
      </c>
      <c r="J808" s="5">
        <v>1000</v>
      </c>
      <c r="K808" s="7">
        <v>2000</v>
      </c>
      <c r="L808" s="6">
        <v>45347</v>
      </c>
      <c r="M808" s="8" t="str">
        <f>IF(K808&gt;10000,"High",IF(K808&gt;5000,"Medium","Low"))</f>
        <v>Low</v>
      </c>
      <c r="N808" s="4" t="s">
        <v>243</v>
      </c>
      <c r="O808" s="3">
        <v>2</v>
      </c>
      <c r="P808" s="3">
        <v>2024</v>
      </c>
      <c r="T808" s="4"/>
      <c r="X808"/>
      <c r="Y808" s="3"/>
      <c r="AA808"/>
    </row>
    <row r="809" spans="1:27" x14ac:dyDescent="0.3">
      <c r="A809" s="3">
        <v>1609</v>
      </c>
      <c r="B809" s="4" t="s">
        <v>48</v>
      </c>
      <c r="C809" s="4" t="str">
        <f>IF(D809="","Unknown",IF(D809&lt;20,"Teen",IF(D809&lt;40,"Adult","Senior")))</f>
        <v>Adult</v>
      </c>
      <c r="D809" s="3">
        <v>30</v>
      </c>
      <c r="E809" s="3" t="s">
        <v>250</v>
      </c>
      <c r="F809" s="4" t="s">
        <v>40</v>
      </c>
      <c r="G809" s="4" t="s">
        <v>41</v>
      </c>
      <c r="H809" t="s">
        <v>36</v>
      </c>
      <c r="I809" s="3">
        <v>2</v>
      </c>
      <c r="J809" s="5">
        <v>1000</v>
      </c>
      <c r="K809" s="7">
        <v>2000</v>
      </c>
      <c r="L809" s="6">
        <v>45336</v>
      </c>
      <c r="M809" s="8" t="str">
        <f>IF(K809&gt;10000,"High",IF(K809&gt;5000,"Medium","Low"))</f>
        <v>Low</v>
      </c>
      <c r="N809" s="4" t="s">
        <v>243</v>
      </c>
      <c r="O809" s="3">
        <v>2</v>
      </c>
      <c r="P809" s="3">
        <v>2024</v>
      </c>
      <c r="T809" s="4"/>
      <c r="X809"/>
      <c r="Y809" s="3"/>
      <c r="AA809"/>
    </row>
    <row r="810" spans="1:27" x14ac:dyDescent="0.3">
      <c r="A810" s="3">
        <v>1611</v>
      </c>
      <c r="B810" s="4" t="s">
        <v>35</v>
      </c>
      <c r="C810" s="4" t="str">
        <f>IF(D810="","Unknown",IF(D810&lt;20,"Teen",IF(D810&lt;40,"Adult","Senior")))</f>
        <v>Adult</v>
      </c>
      <c r="D810" s="3">
        <v>25</v>
      </c>
      <c r="E810" s="3" t="s">
        <v>250</v>
      </c>
      <c r="F810" s="4" t="s">
        <v>40</v>
      </c>
      <c r="G810" s="4" t="s">
        <v>55</v>
      </c>
      <c r="H810" t="s">
        <v>36</v>
      </c>
      <c r="I810" s="3">
        <v>4</v>
      </c>
      <c r="J810" s="5">
        <v>1000</v>
      </c>
      <c r="K810" s="7">
        <v>4000</v>
      </c>
      <c r="L810" s="6">
        <v>45335</v>
      </c>
      <c r="M810" s="8" t="str">
        <f>IF(K810&gt;10000,"High",IF(K810&gt;5000,"Medium","Low"))</f>
        <v>Low</v>
      </c>
      <c r="N810" s="4" t="s">
        <v>243</v>
      </c>
      <c r="O810" s="3">
        <v>2</v>
      </c>
      <c r="P810" s="3">
        <v>2024</v>
      </c>
      <c r="T810" s="4"/>
      <c r="X810"/>
      <c r="Y810" s="3"/>
      <c r="AA810"/>
    </row>
    <row r="811" spans="1:27" x14ac:dyDescent="0.3">
      <c r="A811" s="3">
        <v>1615</v>
      </c>
      <c r="B811" s="4" t="s">
        <v>10</v>
      </c>
      <c r="C811" s="4" t="str">
        <f>IF(D811="","Unknown",IF(D811&lt;20,"Teen",IF(D811&lt;40,"Adult","Senior")))</f>
        <v>Adult</v>
      </c>
      <c r="D811" s="3">
        <v>30</v>
      </c>
      <c r="E811" s="3" t="s">
        <v>250</v>
      </c>
      <c r="F811" s="4" t="s">
        <v>17</v>
      </c>
      <c r="G811" s="4" t="s">
        <v>41</v>
      </c>
      <c r="H811" t="s">
        <v>36</v>
      </c>
      <c r="I811" s="3">
        <v>2</v>
      </c>
      <c r="J811" s="5">
        <v>1000</v>
      </c>
      <c r="K811" s="7">
        <v>2000</v>
      </c>
      <c r="L811" s="6">
        <v>45333</v>
      </c>
      <c r="M811" s="8" t="str">
        <f>IF(K811&gt;10000,"High",IF(K811&gt;5000,"Medium","Low"))</f>
        <v>Low</v>
      </c>
      <c r="N811" s="4" t="s">
        <v>242</v>
      </c>
      <c r="O811" s="3">
        <v>2</v>
      </c>
      <c r="P811" s="3">
        <v>2024</v>
      </c>
      <c r="T811" s="4"/>
      <c r="X811"/>
      <c r="Y811" s="3"/>
      <c r="AA811"/>
    </row>
    <row r="812" spans="1:27" x14ac:dyDescent="0.3">
      <c r="A812" s="3">
        <v>1616</v>
      </c>
      <c r="B812" s="4" t="s">
        <v>78</v>
      </c>
      <c r="C812" s="4" t="str">
        <f>IF(D812="","Unknown",IF(D812&lt;20,"Teen",IF(D812&lt;40,"Adult","Senior")))</f>
        <v>Adult</v>
      </c>
      <c r="D812" s="3">
        <v>30</v>
      </c>
      <c r="E812" s="3" t="s">
        <v>250</v>
      </c>
      <c r="F812" s="4" t="s">
        <v>40</v>
      </c>
      <c r="G812" s="4" t="s">
        <v>55</v>
      </c>
      <c r="H812" t="s">
        <v>36</v>
      </c>
      <c r="I812" s="3">
        <v>3</v>
      </c>
      <c r="J812" s="5">
        <v>20595</v>
      </c>
      <c r="K812" s="7">
        <v>61785</v>
      </c>
      <c r="L812" s="6">
        <v>45333</v>
      </c>
      <c r="M812" s="8" t="str">
        <f>IF(K812&gt;10000,"High",IF(K812&gt;5000,"Medium","Low"))</f>
        <v>High</v>
      </c>
      <c r="N812" s="4" t="s">
        <v>243</v>
      </c>
      <c r="O812" s="3">
        <v>2</v>
      </c>
      <c r="P812" s="3">
        <v>2024</v>
      </c>
      <c r="T812" s="4"/>
      <c r="X812"/>
      <c r="Y812" s="3"/>
      <c r="AA812"/>
    </row>
    <row r="813" spans="1:27" x14ac:dyDescent="0.3">
      <c r="A813" s="3">
        <v>1617</v>
      </c>
      <c r="B813" s="4" t="s">
        <v>38</v>
      </c>
      <c r="C813" s="4" t="str">
        <f>IF(D813="","Unknown",IF(D813&lt;20,"Teen",IF(D813&lt;40,"Adult","Senior")))</f>
        <v>Adult</v>
      </c>
      <c r="D813" s="3">
        <v>30</v>
      </c>
      <c r="E813" s="3" t="s">
        <v>250</v>
      </c>
      <c r="F813" s="4" t="s">
        <v>17</v>
      </c>
      <c r="G813" s="4" t="s">
        <v>41</v>
      </c>
      <c r="H813" t="s">
        <v>36</v>
      </c>
      <c r="I813" s="3">
        <v>4</v>
      </c>
      <c r="J813" s="5">
        <v>1000</v>
      </c>
      <c r="K813" s="7">
        <v>4000</v>
      </c>
      <c r="L813" s="6">
        <v>45335</v>
      </c>
      <c r="M813" s="8" t="str">
        <f>IF(K813&gt;10000,"High",IF(K813&gt;5000,"Medium","Low"))</f>
        <v>Low</v>
      </c>
      <c r="N813" s="4" t="s">
        <v>244</v>
      </c>
      <c r="O813" s="3">
        <v>2</v>
      </c>
      <c r="P813" s="3">
        <v>2024</v>
      </c>
      <c r="T813" s="4"/>
      <c r="X813"/>
      <c r="Y813" s="3"/>
      <c r="AA813"/>
    </row>
    <row r="814" spans="1:27" x14ac:dyDescent="0.3">
      <c r="A814" s="3">
        <v>1618</v>
      </c>
      <c r="B814" s="4" t="s">
        <v>21</v>
      </c>
      <c r="C814" s="4" t="str">
        <f>IF(D814="","Unknown",IF(D814&lt;20,"Teen",IF(D814&lt;40,"Adult","Senior")))</f>
        <v>Adult</v>
      </c>
      <c r="D814" s="3">
        <v>23</v>
      </c>
      <c r="E814" s="3" t="s">
        <v>250</v>
      </c>
      <c r="F814" s="4" t="s">
        <v>40</v>
      </c>
      <c r="G814" s="4" t="s">
        <v>18</v>
      </c>
      <c r="H814" t="s">
        <v>30</v>
      </c>
      <c r="I814" s="3">
        <v>2</v>
      </c>
      <c r="J814" s="5">
        <v>1000</v>
      </c>
      <c r="K814" s="7">
        <v>2000</v>
      </c>
      <c r="L814" s="6">
        <v>45330</v>
      </c>
      <c r="M814" s="8" t="str">
        <f>IF(K814&gt;10000,"High",IF(K814&gt;5000,"Medium","Low"))</f>
        <v>Low</v>
      </c>
      <c r="N814" s="4" t="s">
        <v>243</v>
      </c>
      <c r="O814" s="3">
        <v>2</v>
      </c>
      <c r="P814" s="3">
        <v>2024</v>
      </c>
      <c r="T814" s="4"/>
      <c r="X814"/>
      <c r="Y814" s="3"/>
      <c r="AA814"/>
    </row>
    <row r="815" spans="1:27" x14ac:dyDescent="0.3">
      <c r="A815" s="3">
        <v>1627</v>
      </c>
      <c r="B815" s="4" t="s">
        <v>57</v>
      </c>
      <c r="C815" s="4" t="str">
        <f>IF(D815="","Unknown",IF(D815&lt;20,"Teen",IF(D815&lt;40,"Adult","Senior")))</f>
        <v>Adult</v>
      </c>
      <c r="D815" s="3">
        <v>30</v>
      </c>
      <c r="E815" s="3" t="s">
        <v>250</v>
      </c>
      <c r="F815" s="4" t="s">
        <v>40</v>
      </c>
      <c r="G815" s="4" t="s">
        <v>55</v>
      </c>
      <c r="H815" t="s">
        <v>36</v>
      </c>
      <c r="I815" s="3">
        <v>4</v>
      </c>
      <c r="J815" s="5">
        <v>17404</v>
      </c>
      <c r="K815" s="7">
        <v>69616</v>
      </c>
      <c r="L815" s="6">
        <v>45323</v>
      </c>
      <c r="M815" s="8" t="str">
        <f>IF(K815&gt;10000,"High",IF(K815&gt;5000,"Medium","Low"))</f>
        <v>High</v>
      </c>
      <c r="N815" s="4" t="s">
        <v>241</v>
      </c>
      <c r="O815" s="3">
        <v>2</v>
      </c>
      <c r="P815" s="3">
        <v>2024</v>
      </c>
      <c r="T815" s="4"/>
      <c r="X815"/>
      <c r="Y815" s="3"/>
      <c r="AA815"/>
    </row>
    <row r="816" spans="1:27" x14ac:dyDescent="0.3">
      <c r="A816" s="3">
        <v>1628</v>
      </c>
      <c r="B816" s="4" t="s">
        <v>59</v>
      </c>
      <c r="C816" s="4" t="str">
        <f>IF(D816="","Unknown",IF(D816&lt;20,"Teen",IF(D816&lt;40,"Adult","Senior")))</f>
        <v>Adult</v>
      </c>
      <c r="D816" s="3">
        <v>31</v>
      </c>
      <c r="E816" s="3" t="s">
        <v>249</v>
      </c>
      <c r="F816" s="4" t="s">
        <v>40</v>
      </c>
      <c r="G816" s="4" t="s">
        <v>44</v>
      </c>
      <c r="H816" t="s">
        <v>36</v>
      </c>
      <c r="I816" s="3">
        <v>4</v>
      </c>
      <c r="J816" s="5">
        <v>1000</v>
      </c>
      <c r="K816" s="7">
        <v>4000</v>
      </c>
      <c r="L816" s="6">
        <v>45335</v>
      </c>
      <c r="M816" s="8" t="str">
        <f>IF(K816&gt;10000,"High",IF(K816&gt;5000,"Medium","Low"))</f>
        <v>Low</v>
      </c>
      <c r="N816" s="4" t="s">
        <v>244</v>
      </c>
      <c r="O816" s="3">
        <v>2</v>
      </c>
      <c r="P816" s="3">
        <v>2024</v>
      </c>
      <c r="T816" s="4"/>
      <c r="X816"/>
      <c r="Y816" s="3"/>
      <c r="AA816"/>
    </row>
    <row r="817" spans="1:27" x14ac:dyDescent="0.3">
      <c r="A817" s="3">
        <v>1629</v>
      </c>
      <c r="B817" s="4" t="s">
        <v>21</v>
      </c>
      <c r="C817" s="4" t="str">
        <f>IF(D817="","Unknown",IF(D817&lt;20,"Teen",IF(D817&lt;40,"Adult","Senior")))</f>
        <v>Adult</v>
      </c>
      <c r="D817" s="3">
        <v>31</v>
      </c>
      <c r="E817" s="3" t="s">
        <v>249</v>
      </c>
      <c r="F817" s="4" t="s">
        <v>17</v>
      </c>
      <c r="G817" s="4" t="s">
        <v>51</v>
      </c>
      <c r="H817" t="s">
        <v>13</v>
      </c>
      <c r="I817" s="3">
        <v>2</v>
      </c>
      <c r="J817" s="5">
        <v>1000</v>
      </c>
      <c r="K817" s="7">
        <v>2000</v>
      </c>
      <c r="L817" s="6">
        <v>45351</v>
      </c>
      <c r="M817" s="8" t="str">
        <f>IF(K817&gt;10000,"High",IF(K817&gt;5000,"Medium","Low"))</f>
        <v>Low</v>
      </c>
      <c r="N817" s="4" t="s">
        <v>244</v>
      </c>
      <c r="O817" s="3">
        <v>2</v>
      </c>
      <c r="P817" s="3">
        <v>2024</v>
      </c>
      <c r="T817" s="4"/>
      <c r="X817"/>
      <c r="Y817" s="3"/>
      <c r="AA817"/>
    </row>
    <row r="818" spans="1:27" x14ac:dyDescent="0.3">
      <c r="A818" s="3">
        <v>1630</v>
      </c>
      <c r="B818" s="4" t="s">
        <v>64</v>
      </c>
      <c r="C818" s="4" t="str">
        <f>IF(D818="","Unknown",IF(D818&lt;20,"Teen",IF(D818&lt;40,"Adult","Senior")))</f>
        <v>Senior</v>
      </c>
      <c r="D818" s="3">
        <v>41</v>
      </c>
      <c r="E818" s="3" t="s">
        <v>249</v>
      </c>
      <c r="F818" s="4" t="s">
        <v>17</v>
      </c>
      <c r="G818" s="4" t="s">
        <v>12</v>
      </c>
      <c r="H818" t="s">
        <v>13</v>
      </c>
      <c r="I818" s="3">
        <v>2</v>
      </c>
      <c r="J818" s="5">
        <v>26838</v>
      </c>
      <c r="K818" s="7">
        <v>53676</v>
      </c>
      <c r="L818" s="6">
        <v>45349</v>
      </c>
      <c r="M818" s="8" t="str">
        <f>IF(K818&gt;10000,"High",IF(K818&gt;5000,"Medium","Low"))</f>
        <v>High</v>
      </c>
      <c r="N818" s="4" t="s">
        <v>240</v>
      </c>
      <c r="O818" s="3">
        <v>2</v>
      </c>
      <c r="P818" s="3">
        <v>2024</v>
      </c>
      <c r="T818" s="4"/>
      <c r="X818"/>
      <c r="Y818" s="3"/>
      <c r="AA818"/>
    </row>
    <row r="819" spans="1:27" x14ac:dyDescent="0.3">
      <c r="A819" s="3">
        <v>1631</v>
      </c>
      <c r="B819" s="4" t="s">
        <v>62</v>
      </c>
      <c r="C819" s="4" t="str">
        <f>IF(D819="","Unknown",IF(D819&lt;20,"Teen",IF(D819&lt;40,"Adult","Senior")))</f>
        <v>Adult</v>
      </c>
      <c r="D819" s="3">
        <v>30</v>
      </c>
      <c r="E819" s="3" t="s">
        <v>250</v>
      </c>
      <c r="F819" s="4" t="s">
        <v>40</v>
      </c>
      <c r="G819" s="4" t="s">
        <v>18</v>
      </c>
      <c r="H819" t="s">
        <v>30</v>
      </c>
      <c r="I819" s="3">
        <v>1</v>
      </c>
      <c r="J819" s="5">
        <v>17149</v>
      </c>
      <c r="K819" s="7">
        <v>17149</v>
      </c>
      <c r="L819" s="6">
        <v>45324</v>
      </c>
      <c r="M819" s="8" t="str">
        <f>IF(K819&gt;10000,"High",IF(K819&gt;5000,"Medium","Low"))</f>
        <v>High</v>
      </c>
      <c r="N819" s="4" t="s">
        <v>241</v>
      </c>
      <c r="O819" s="3">
        <v>2</v>
      </c>
      <c r="P819" s="3">
        <v>2024</v>
      </c>
      <c r="T819" s="4"/>
      <c r="X819"/>
      <c r="Y819" s="3"/>
      <c r="AA819"/>
    </row>
    <row r="820" spans="1:27" x14ac:dyDescent="0.3">
      <c r="A820" s="3">
        <v>1633</v>
      </c>
      <c r="B820" s="4" t="s">
        <v>48</v>
      </c>
      <c r="C820" s="4" t="str">
        <f>IF(D820="","Unknown",IF(D820&lt;20,"Teen",IF(D820&lt;40,"Adult","Senior")))</f>
        <v>Senior</v>
      </c>
      <c r="D820" s="3">
        <v>41</v>
      </c>
      <c r="E820" s="3" t="s">
        <v>249</v>
      </c>
      <c r="F820" s="4" t="s">
        <v>17</v>
      </c>
      <c r="G820" s="4" t="s">
        <v>12</v>
      </c>
      <c r="H820" t="s">
        <v>13</v>
      </c>
      <c r="I820" s="3">
        <v>2</v>
      </c>
      <c r="J820" s="5">
        <v>15218</v>
      </c>
      <c r="K820" s="7">
        <v>30436</v>
      </c>
      <c r="L820" s="6">
        <v>45340</v>
      </c>
      <c r="M820" s="8" t="str">
        <f>IF(K820&gt;10000,"High",IF(K820&gt;5000,"Medium","Low"))</f>
        <v>High</v>
      </c>
      <c r="N820" s="4" t="s">
        <v>243</v>
      </c>
      <c r="O820" s="3">
        <v>2</v>
      </c>
      <c r="P820" s="3">
        <v>2024</v>
      </c>
      <c r="T820" s="4"/>
      <c r="X820"/>
      <c r="Y820" s="3"/>
      <c r="AA820"/>
    </row>
    <row r="821" spans="1:27" x14ac:dyDescent="0.3">
      <c r="A821" s="3">
        <v>1634</v>
      </c>
      <c r="B821" s="4" t="s">
        <v>73</v>
      </c>
      <c r="C821" s="4" t="str">
        <f>IF(D821="","Unknown",IF(D821&lt;20,"Teen",IF(D821&lt;40,"Adult","Senior")))</f>
        <v>Adult</v>
      </c>
      <c r="D821" s="3">
        <v>35</v>
      </c>
      <c r="E821" s="3" t="s">
        <v>249</v>
      </c>
      <c r="F821" s="4" t="s">
        <v>40</v>
      </c>
      <c r="G821" s="4" t="s">
        <v>41</v>
      </c>
      <c r="H821" t="s">
        <v>36</v>
      </c>
      <c r="I821" s="3">
        <v>2</v>
      </c>
      <c r="J821" s="5">
        <v>1000</v>
      </c>
      <c r="K821" s="7">
        <v>2000</v>
      </c>
      <c r="L821" s="6">
        <v>45336</v>
      </c>
      <c r="M821" s="8" t="str">
        <f>IF(K821&gt;10000,"High",IF(K821&gt;5000,"Medium","Low"))</f>
        <v>Low</v>
      </c>
      <c r="N821" s="4" t="s">
        <v>240</v>
      </c>
      <c r="O821" s="3">
        <v>2</v>
      </c>
      <c r="P821" s="3">
        <v>2024</v>
      </c>
      <c r="T821" s="4"/>
      <c r="X821"/>
      <c r="Y821" s="3"/>
      <c r="AA821"/>
    </row>
    <row r="822" spans="1:27" x14ac:dyDescent="0.3">
      <c r="A822" s="3">
        <v>1635</v>
      </c>
      <c r="B822" s="4" t="s">
        <v>57</v>
      </c>
      <c r="C822" s="4" t="str">
        <f>IF(D822="","Unknown",IF(D822&lt;20,"Teen",IF(D822&lt;40,"Adult","Senior")))</f>
        <v>Senior</v>
      </c>
      <c r="D822" s="3">
        <v>42</v>
      </c>
      <c r="E822" s="3" t="s">
        <v>249</v>
      </c>
      <c r="F822" s="4" t="s">
        <v>40</v>
      </c>
      <c r="G822" s="4" t="s">
        <v>23</v>
      </c>
      <c r="H822" t="s">
        <v>30</v>
      </c>
      <c r="I822" s="3">
        <v>2</v>
      </c>
      <c r="J822" s="5">
        <v>38805</v>
      </c>
      <c r="K822" s="7">
        <v>77610</v>
      </c>
      <c r="L822" s="6">
        <v>45330</v>
      </c>
      <c r="M822" s="8" t="str">
        <f>IF(K822&gt;10000,"High",IF(K822&gt;5000,"Medium","Low"))</f>
        <v>High</v>
      </c>
      <c r="N822" s="4" t="s">
        <v>241</v>
      </c>
      <c r="O822" s="3">
        <v>2</v>
      </c>
      <c r="P822" s="3">
        <v>2024</v>
      </c>
      <c r="T822" s="4"/>
      <c r="X822"/>
      <c r="Y822" s="3"/>
      <c r="AA822"/>
    </row>
    <row r="823" spans="1:27" x14ac:dyDescent="0.3">
      <c r="A823" s="3">
        <v>1636</v>
      </c>
      <c r="B823" s="4" t="s">
        <v>38</v>
      </c>
      <c r="C823" s="4" t="str">
        <f>IF(D823="","Unknown",IF(D823&lt;20,"Teen",IF(D823&lt;40,"Adult","Senior")))</f>
        <v>Adult</v>
      </c>
      <c r="D823" s="3">
        <v>39</v>
      </c>
      <c r="E823" s="3" t="s">
        <v>249</v>
      </c>
      <c r="F823" s="4" t="s">
        <v>40</v>
      </c>
      <c r="G823" s="4" t="s">
        <v>44</v>
      </c>
      <c r="H823" t="s">
        <v>36</v>
      </c>
      <c r="I823" s="3">
        <v>2</v>
      </c>
      <c r="J823" s="5">
        <v>1000</v>
      </c>
      <c r="K823" s="7">
        <v>2000</v>
      </c>
      <c r="L823" s="6">
        <v>45349</v>
      </c>
      <c r="M823" s="8" t="str">
        <f>IF(K823&gt;10000,"High",IF(K823&gt;5000,"Medium","Low"))</f>
        <v>Low</v>
      </c>
      <c r="N823" s="4" t="s">
        <v>241</v>
      </c>
      <c r="O823" s="3">
        <v>2</v>
      </c>
      <c r="P823" s="3">
        <v>2024</v>
      </c>
      <c r="T823" s="4"/>
      <c r="X823"/>
      <c r="Y823" s="3"/>
      <c r="AA823"/>
    </row>
    <row r="824" spans="1:27" x14ac:dyDescent="0.3">
      <c r="A824" s="3">
        <v>1639</v>
      </c>
      <c r="B824" s="4" t="s">
        <v>16</v>
      </c>
      <c r="C824" s="4" t="str">
        <f>IF(D824="","Unknown",IF(D824&lt;20,"Teen",IF(D824&lt;40,"Adult","Senior")))</f>
        <v>Adult</v>
      </c>
      <c r="D824" s="3">
        <v>24</v>
      </c>
      <c r="E824" s="3" t="s">
        <v>250</v>
      </c>
      <c r="F824" s="4" t="s">
        <v>40</v>
      </c>
      <c r="G824" s="4" t="s">
        <v>44</v>
      </c>
      <c r="H824" t="s">
        <v>36</v>
      </c>
      <c r="I824" s="3">
        <v>3</v>
      </c>
      <c r="J824" s="5">
        <v>19891</v>
      </c>
      <c r="K824" s="7">
        <v>59673</v>
      </c>
      <c r="L824" s="6">
        <v>45349</v>
      </c>
      <c r="M824" s="8" t="str">
        <f>IF(K824&gt;10000,"High",IF(K824&gt;5000,"Medium","Low"))</f>
        <v>High</v>
      </c>
      <c r="N824" s="4" t="s">
        <v>242</v>
      </c>
      <c r="O824" s="3">
        <v>2</v>
      </c>
      <c r="P824" s="3">
        <v>2024</v>
      </c>
      <c r="T824" s="4"/>
      <c r="X824"/>
      <c r="Y824" s="3"/>
      <c r="AA824"/>
    </row>
    <row r="825" spans="1:27" x14ac:dyDescent="0.3">
      <c r="A825" s="3">
        <v>1644</v>
      </c>
      <c r="B825" s="4" t="s">
        <v>16</v>
      </c>
      <c r="C825" s="4" t="str">
        <f>IF(D825="","Unknown",IF(D825&lt;20,"Teen",IF(D825&lt;40,"Adult","Senior")))</f>
        <v>Adult</v>
      </c>
      <c r="D825" s="3">
        <v>30</v>
      </c>
      <c r="E825" s="3" t="s">
        <v>250</v>
      </c>
      <c r="F825" s="4" t="s">
        <v>40</v>
      </c>
      <c r="G825" s="4" t="s">
        <v>44</v>
      </c>
      <c r="H825" t="s">
        <v>36</v>
      </c>
      <c r="I825" s="3">
        <v>2</v>
      </c>
      <c r="J825" s="5">
        <v>44158</v>
      </c>
      <c r="K825" s="7">
        <v>88316</v>
      </c>
      <c r="L825" s="6">
        <v>45351</v>
      </c>
      <c r="M825" s="8" t="str">
        <f>IF(K825&gt;10000,"High",IF(K825&gt;5000,"Medium","Low"))</f>
        <v>High</v>
      </c>
      <c r="N825" s="4" t="s">
        <v>243</v>
      </c>
      <c r="O825" s="3">
        <v>2</v>
      </c>
      <c r="P825" s="3">
        <v>2024</v>
      </c>
      <c r="T825" s="4"/>
      <c r="X825"/>
      <c r="Y825" s="3"/>
      <c r="AA825"/>
    </row>
    <row r="826" spans="1:27" x14ac:dyDescent="0.3">
      <c r="A826" s="3">
        <v>1649</v>
      </c>
      <c r="B826" s="4" t="s">
        <v>25</v>
      </c>
      <c r="C826" s="4" t="str">
        <f>IF(D826="","Unknown",IF(D826&lt;20,"Teen",IF(D826&lt;40,"Adult","Senior")))</f>
        <v>Adult</v>
      </c>
      <c r="D826" s="3">
        <v>38</v>
      </c>
      <c r="E826" s="3" t="s">
        <v>249</v>
      </c>
      <c r="F826" s="4" t="s">
        <v>17</v>
      </c>
      <c r="G826" s="4" t="s">
        <v>51</v>
      </c>
      <c r="H826" t="s">
        <v>13</v>
      </c>
      <c r="I826" s="3">
        <v>2</v>
      </c>
      <c r="J826" s="5">
        <v>1000</v>
      </c>
      <c r="K826" s="7">
        <v>2000</v>
      </c>
      <c r="L826" s="6">
        <v>45333</v>
      </c>
      <c r="M826" s="8" t="str">
        <f>IF(K826&gt;10000,"High",IF(K826&gt;5000,"Medium","Low"))</f>
        <v>Low</v>
      </c>
      <c r="N826" s="4" t="s">
        <v>243</v>
      </c>
      <c r="O826" s="3">
        <v>2</v>
      </c>
      <c r="P826" s="3">
        <v>2024</v>
      </c>
      <c r="T826" s="4"/>
      <c r="X826"/>
      <c r="Y826" s="3"/>
      <c r="AA826"/>
    </row>
    <row r="827" spans="1:27" x14ac:dyDescent="0.3">
      <c r="A827" s="3">
        <v>1650</v>
      </c>
      <c r="B827" s="4" t="s">
        <v>57</v>
      </c>
      <c r="C827" s="4" t="str">
        <f>IF(D827="","Unknown",IF(D827&lt;20,"Teen",IF(D827&lt;40,"Adult","Senior")))</f>
        <v>Adult</v>
      </c>
      <c r="D827" s="3">
        <v>30</v>
      </c>
      <c r="E827" s="3" t="s">
        <v>250</v>
      </c>
      <c r="F827" s="4" t="s">
        <v>40</v>
      </c>
      <c r="G827" s="4" t="s">
        <v>27</v>
      </c>
      <c r="H827" t="s">
        <v>13</v>
      </c>
      <c r="I827" s="3">
        <v>2</v>
      </c>
      <c r="J827" s="5">
        <v>1000</v>
      </c>
      <c r="K827" s="7">
        <v>2000</v>
      </c>
      <c r="L827" s="6">
        <v>45329</v>
      </c>
      <c r="M827" s="8" t="str">
        <f>IF(K827&gt;10000,"High",IF(K827&gt;5000,"Medium","Low"))</f>
        <v>Low</v>
      </c>
      <c r="N827" s="4" t="s">
        <v>244</v>
      </c>
      <c r="O827" s="3">
        <v>2</v>
      </c>
      <c r="P827" s="3">
        <v>2024</v>
      </c>
      <c r="T827" s="4"/>
      <c r="X827"/>
      <c r="Y827" s="3"/>
      <c r="AA827"/>
    </row>
    <row r="828" spans="1:27" x14ac:dyDescent="0.3">
      <c r="A828" s="3">
        <v>1651</v>
      </c>
      <c r="B828" s="4" t="s">
        <v>35</v>
      </c>
      <c r="C828" s="4" t="str">
        <f>IF(D828="","Unknown",IF(D828&lt;20,"Teen",IF(D828&lt;40,"Adult","Senior")))</f>
        <v>Adult</v>
      </c>
      <c r="D828" s="3">
        <v>22</v>
      </c>
      <c r="E828" s="3" t="s">
        <v>250</v>
      </c>
      <c r="F828" s="4" t="s">
        <v>40</v>
      </c>
      <c r="G828" s="4" t="s">
        <v>12</v>
      </c>
      <c r="H828" t="s">
        <v>13</v>
      </c>
      <c r="I828" s="3">
        <v>3</v>
      </c>
      <c r="J828" s="5">
        <v>13799</v>
      </c>
      <c r="K828" s="7">
        <v>41397</v>
      </c>
      <c r="L828" s="6">
        <v>45351</v>
      </c>
      <c r="M828" s="8" t="str">
        <f>IF(K828&gt;10000,"High",IF(K828&gt;5000,"Medium","Low"))</f>
        <v>High</v>
      </c>
      <c r="N828" s="4" t="s">
        <v>243</v>
      </c>
      <c r="O828" s="3">
        <v>2</v>
      </c>
      <c r="P828" s="3">
        <v>2024</v>
      </c>
      <c r="T828" s="4"/>
      <c r="X828"/>
      <c r="Y828" s="3"/>
      <c r="AA828"/>
    </row>
    <row r="829" spans="1:27" x14ac:dyDescent="0.3">
      <c r="A829" s="3">
        <v>1652</v>
      </c>
      <c r="B829" s="4" t="s">
        <v>16</v>
      </c>
      <c r="C829" s="4" t="str">
        <f>IF(D829="","Unknown",IF(D829&lt;20,"Teen",IF(D829&lt;40,"Adult","Senior")))</f>
        <v>Adult</v>
      </c>
      <c r="D829" s="3">
        <v>22</v>
      </c>
      <c r="E829" s="3" t="s">
        <v>250</v>
      </c>
      <c r="F829" s="4" t="s">
        <v>17</v>
      </c>
      <c r="G829" s="4" t="s">
        <v>41</v>
      </c>
      <c r="H829" t="s">
        <v>36</v>
      </c>
      <c r="I829" s="3">
        <v>2</v>
      </c>
      <c r="J829" s="5">
        <v>1000</v>
      </c>
      <c r="K829" s="7">
        <v>2000</v>
      </c>
      <c r="L829" s="6">
        <v>45344</v>
      </c>
      <c r="M829" s="8" t="str">
        <f>IF(K829&gt;10000,"High",IF(K829&gt;5000,"Medium","Low"))</f>
        <v>Low</v>
      </c>
      <c r="N829" s="4" t="s">
        <v>244</v>
      </c>
      <c r="O829" s="3">
        <v>2</v>
      </c>
      <c r="P829" s="3">
        <v>2024</v>
      </c>
      <c r="T829" s="4"/>
      <c r="X829"/>
      <c r="Y829" s="3"/>
      <c r="AA829"/>
    </row>
    <row r="830" spans="1:27" x14ac:dyDescent="0.3">
      <c r="A830" s="3">
        <v>1654</v>
      </c>
      <c r="B830" s="4" t="s">
        <v>46</v>
      </c>
      <c r="C830" s="4" t="str">
        <f>IF(D830="","Unknown",IF(D830&lt;20,"Teen",IF(D830&lt;40,"Adult","Senior")))</f>
        <v>Adult</v>
      </c>
      <c r="D830" s="3">
        <v>30</v>
      </c>
      <c r="E830" s="3" t="s">
        <v>250</v>
      </c>
      <c r="F830" s="4" t="s">
        <v>40</v>
      </c>
      <c r="G830" s="4" t="s">
        <v>51</v>
      </c>
      <c r="H830" t="s">
        <v>13</v>
      </c>
      <c r="I830" s="3">
        <v>5</v>
      </c>
      <c r="J830" s="5">
        <v>1000</v>
      </c>
      <c r="K830" s="7">
        <v>5000</v>
      </c>
      <c r="L830" s="6">
        <v>45328</v>
      </c>
      <c r="M830" s="8" t="str">
        <f>IF(K830&gt;10000,"High",IF(K830&gt;5000,"Medium","Low"))</f>
        <v>Low</v>
      </c>
      <c r="N830" s="4" t="s">
        <v>243</v>
      </c>
      <c r="O830" s="3">
        <v>2</v>
      </c>
      <c r="P830" s="3">
        <v>2024</v>
      </c>
      <c r="T830" s="4"/>
      <c r="X830"/>
      <c r="Y830" s="3"/>
      <c r="AA830"/>
    </row>
    <row r="831" spans="1:27" x14ac:dyDescent="0.3">
      <c r="A831" s="3">
        <v>1656</v>
      </c>
      <c r="B831" s="4" t="s">
        <v>73</v>
      </c>
      <c r="C831" s="4" t="str">
        <f>IF(D831="","Unknown",IF(D831&lt;20,"Teen",IF(D831&lt;40,"Adult","Senior")))</f>
        <v>Adult</v>
      </c>
      <c r="D831" s="3">
        <v>30</v>
      </c>
      <c r="E831" s="3" t="s">
        <v>250</v>
      </c>
      <c r="F831" s="4" t="s">
        <v>40</v>
      </c>
      <c r="G831" s="4" t="s">
        <v>27</v>
      </c>
      <c r="H831" t="s">
        <v>13</v>
      </c>
      <c r="I831" s="3">
        <v>2</v>
      </c>
      <c r="J831" s="5">
        <v>1000</v>
      </c>
      <c r="K831" s="7">
        <v>2000</v>
      </c>
      <c r="L831" s="6">
        <v>45337</v>
      </c>
      <c r="M831" s="8" t="str">
        <f>IF(K831&gt;10000,"High",IF(K831&gt;5000,"Medium","Low"))</f>
        <v>Low</v>
      </c>
      <c r="N831" s="4" t="s">
        <v>243</v>
      </c>
      <c r="O831" s="3">
        <v>2</v>
      </c>
      <c r="P831" s="3">
        <v>2024</v>
      </c>
      <c r="T831" s="4"/>
      <c r="X831"/>
      <c r="Y831" s="3"/>
      <c r="AA831"/>
    </row>
    <row r="832" spans="1:27" x14ac:dyDescent="0.3">
      <c r="A832" s="3">
        <v>1657</v>
      </c>
      <c r="B832" s="4" t="s">
        <v>16</v>
      </c>
      <c r="C832" s="4" t="str">
        <f>IF(D832="","Unknown",IF(D832&lt;20,"Teen",IF(D832&lt;40,"Adult","Senior")))</f>
        <v>Adult</v>
      </c>
      <c r="D832" s="3">
        <v>30</v>
      </c>
      <c r="E832" s="3" t="s">
        <v>250</v>
      </c>
      <c r="F832" s="4" t="s">
        <v>40</v>
      </c>
      <c r="G832" s="4" t="s">
        <v>27</v>
      </c>
      <c r="H832" t="s">
        <v>13</v>
      </c>
      <c r="I832" s="3">
        <v>3</v>
      </c>
      <c r="J832" s="5">
        <v>39427</v>
      </c>
      <c r="K832" s="7">
        <v>118281</v>
      </c>
      <c r="L832" s="6">
        <v>45339</v>
      </c>
      <c r="M832" s="8" t="str">
        <f>IF(K832&gt;10000,"High",IF(K832&gt;5000,"Medium","Low"))</f>
        <v>High</v>
      </c>
      <c r="N832" s="4" t="s">
        <v>242</v>
      </c>
      <c r="O832" s="3">
        <v>2</v>
      </c>
      <c r="P832" s="3">
        <v>2024</v>
      </c>
      <c r="T832" s="4"/>
      <c r="X832"/>
      <c r="Y832" s="3"/>
      <c r="AA832"/>
    </row>
    <row r="833" spans="1:27" x14ac:dyDescent="0.3">
      <c r="A833" s="3">
        <v>1659</v>
      </c>
      <c r="B833" s="4" t="s">
        <v>57</v>
      </c>
      <c r="C833" s="4" t="str">
        <f>IF(D833="","Unknown",IF(D833&lt;20,"Teen",IF(D833&lt;40,"Adult","Senior")))</f>
        <v>Senior</v>
      </c>
      <c r="D833" s="3">
        <v>42</v>
      </c>
      <c r="E833" s="3" t="s">
        <v>249</v>
      </c>
      <c r="F833" s="4" t="s">
        <v>40</v>
      </c>
      <c r="G833" s="4" t="s">
        <v>51</v>
      </c>
      <c r="H833" t="s">
        <v>13</v>
      </c>
      <c r="I833" s="3">
        <v>2</v>
      </c>
      <c r="J833" s="5">
        <v>1000</v>
      </c>
      <c r="K833" s="7">
        <v>2000</v>
      </c>
      <c r="L833" s="6">
        <v>45344</v>
      </c>
      <c r="M833" s="8" t="str">
        <f>IF(K833&gt;10000,"High",IF(K833&gt;5000,"Medium","Low"))</f>
        <v>Low</v>
      </c>
      <c r="N833" s="4" t="s">
        <v>243</v>
      </c>
      <c r="O833" s="3">
        <v>2</v>
      </c>
      <c r="P833" s="3">
        <v>2024</v>
      </c>
      <c r="T833" s="4"/>
      <c r="X833"/>
      <c r="Y833" s="3"/>
      <c r="AA833"/>
    </row>
    <row r="834" spans="1:27" x14ac:dyDescent="0.3">
      <c r="A834" s="3">
        <v>1663</v>
      </c>
      <c r="B834" s="4" t="s">
        <v>59</v>
      </c>
      <c r="C834" s="4" t="str">
        <f>IF(D834="","Unknown",IF(D834&lt;20,"Teen",IF(D834&lt;40,"Adult","Senior")))</f>
        <v>Senior</v>
      </c>
      <c r="D834" s="3">
        <v>44</v>
      </c>
      <c r="E834" s="3" t="s">
        <v>249</v>
      </c>
      <c r="F834" s="4" t="s">
        <v>40</v>
      </c>
      <c r="G834" s="4" t="s">
        <v>18</v>
      </c>
      <c r="H834" t="s">
        <v>30</v>
      </c>
      <c r="I834" s="3">
        <v>4</v>
      </c>
      <c r="J834" s="5">
        <v>1000</v>
      </c>
      <c r="K834" s="7">
        <v>4000</v>
      </c>
      <c r="L834" s="6">
        <v>45334</v>
      </c>
      <c r="M834" s="8" t="str">
        <f>IF(K834&gt;10000,"High",IF(K834&gt;5000,"Medium","Low"))</f>
        <v>Low</v>
      </c>
      <c r="N834" s="4" t="s">
        <v>242</v>
      </c>
      <c r="O834" s="3">
        <v>2</v>
      </c>
      <c r="P834" s="3">
        <v>2024</v>
      </c>
      <c r="T834" s="4"/>
      <c r="X834"/>
      <c r="Y834" s="3"/>
      <c r="AA834"/>
    </row>
    <row r="835" spans="1:27" x14ac:dyDescent="0.3">
      <c r="A835" s="3">
        <v>1668</v>
      </c>
      <c r="B835" s="4" t="s">
        <v>46</v>
      </c>
      <c r="C835" s="4" t="str">
        <f>IF(D835="","Unknown",IF(D835&lt;20,"Teen",IF(D835&lt;40,"Adult","Senior")))</f>
        <v>Adult</v>
      </c>
      <c r="D835" s="3">
        <v>30</v>
      </c>
      <c r="E835" s="3" t="s">
        <v>250</v>
      </c>
      <c r="F835" s="4" t="s">
        <v>40</v>
      </c>
      <c r="G835" s="4" t="s">
        <v>55</v>
      </c>
      <c r="H835" t="s">
        <v>36</v>
      </c>
      <c r="I835" s="3">
        <v>2</v>
      </c>
      <c r="J835" s="5">
        <v>1000</v>
      </c>
      <c r="K835" s="7">
        <v>2000</v>
      </c>
      <c r="L835" s="6">
        <v>45351</v>
      </c>
      <c r="M835" s="8" t="str">
        <f>IF(K835&gt;10000,"High",IF(K835&gt;5000,"Medium","Low"))</f>
        <v>Low</v>
      </c>
      <c r="N835" s="4" t="s">
        <v>240</v>
      </c>
      <c r="O835" s="3">
        <v>2</v>
      </c>
      <c r="P835" s="3">
        <v>2024</v>
      </c>
      <c r="T835" s="4"/>
      <c r="X835"/>
      <c r="Y835" s="3"/>
      <c r="AA835"/>
    </row>
    <row r="836" spans="1:27" x14ac:dyDescent="0.3">
      <c r="A836" s="3">
        <v>1670</v>
      </c>
      <c r="B836" s="4" t="s">
        <v>62</v>
      </c>
      <c r="C836" s="4" t="str">
        <f>IF(D836="","Unknown",IF(D836&lt;20,"Teen",IF(D836&lt;40,"Adult","Senior")))</f>
        <v>Adult</v>
      </c>
      <c r="D836" s="3">
        <v>37</v>
      </c>
      <c r="E836" s="3" t="s">
        <v>249</v>
      </c>
      <c r="F836" s="4" t="s">
        <v>40</v>
      </c>
      <c r="G836" s="4" t="s">
        <v>51</v>
      </c>
      <c r="H836" t="s">
        <v>13</v>
      </c>
      <c r="I836" s="3">
        <v>2</v>
      </c>
      <c r="J836" s="5">
        <v>1000</v>
      </c>
      <c r="K836" s="7">
        <v>2000</v>
      </c>
      <c r="L836" s="6">
        <v>45335</v>
      </c>
      <c r="M836" s="8" t="str">
        <f>IF(K836&gt;10000,"High",IF(K836&gt;5000,"Medium","Low"))</f>
        <v>Low</v>
      </c>
      <c r="N836" s="4" t="s">
        <v>243</v>
      </c>
      <c r="O836" s="3">
        <v>2</v>
      </c>
      <c r="P836" s="3">
        <v>2024</v>
      </c>
      <c r="T836" s="4"/>
      <c r="X836"/>
      <c r="Y836" s="3"/>
      <c r="AA836"/>
    </row>
    <row r="837" spans="1:27" x14ac:dyDescent="0.3">
      <c r="A837" s="3">
        <v>1672</v>
      </c>
      <c r="B837" s="4" t="s">
        <v>46</v>
      </c>
      <c r="C837" s="4" t="str">
        <f>IF(D837="","Unknown",IF(D837&lt;20,"Teen",IF(D837&lt;40,"Adult","Senior")))</f>
        <v>Adult</v>
      </c>
      <c r="D837" s="3">
        <v>20</v>
      </c>
      <c r="E837" s="3" t="s">
        <v>251</v>
      </c>
      <c r="F837" s="4" t="s">
        <v>40</v>
      </c>
      <c r="G837" s="4" t="s">
        <v>51</v>
      </c>
      <c r="H837" t="s">
        <v>13</v>
      </c>
      <c r="I837" s="3">
        <v>4</v>
      </c>
      <c r="J837" s="5">
        <v>35160</v>
      </c>
      <c r="K837" s="7">
        <v>140640</v>
      </c>
      <c r="L837" s="6">
        <v>45342</v>
      </c>
      <c r="M837" s="8" t="str">
        <f>IF(K837&gt;10000,"High",IF(K837&gt;5000,"Medium","Low"))</f>
        <v>High</v>
      </c>
      <c r="N837" s="4" t="s">
        <v>240</v>
      </c>
      <c r="O837" s="3">
        <v>2</v>
      </c>
      <c r="P837" s="3">
        <v>2024</v>
      </c>
      <c r="T837" s="4"/>
      <c r="X837"/>
      <c r="Y837" s="3"/>
      <c r="AA837"/>
    </row>
    <row r="838" spans="1:27" x14ac:dyDescent="0.3">
      <c r="A838" s="3">
        <v>1676</v>
      </c>
      <c r="B838" s="4" t="s">
        <v>21</v>
      </c>
      <c r="C838" s="4" t="str">
        <f>IF(D838="","Unknown",IF(D838&lt;20,"Teen",IF(D838&lt;40,"Adult","Senior")))</f>
        <v>Senior</v>
      </c>
      <c r="D838" s="3">
        <v>49</v>
      </c>
      <c r="E838" s="3" t="s">
        <v>249</v>
      </c>
      <c r="F838" s="4" t="s">
        <v>40</v>
      </c>
      <c r="G838" s="4" t="s">
        <v>51</v>
      </c>
      <c r="H838" t="s">
        <v>13</v>
      </c>
      <c r="I838" s="3">
        <v>2</v>
      </c>
      <c r="J838" s="5">
        <v>1000</v>
      </c>
      <c r="K838" s="7">
        <v>2000</v>
      </c>
      <c r="L838" s="6">
        <v>45345</v>
      </c>
      <c r="M838" s="8" t="str">
        <f>IF(K838&gt;10000,"High",IF(K838&gt;5000,"Medium","Low"))</f>
        <v>Low</v>
      </c>
      <c r="N838" s="4" t="s">
        <v>242</v>
      </c>
      <c r="O838" s="3">
        <v>2</v>
      </c>
      <c r="P838" s="3">
        <v>2024</v>
      </c>
      <c r="T838" s="4"/>
      <c r="X838"/>
      <c r="Y838" s="3"/>
      <c r="AA838"/>
    </row>
    <row r="839" spans="1:27" x14ac:dyDescent="0.3">
      <c r="A839" s="3">
        <v>1677</v>
      </c>
      <c r="B839" s="4" t="s">
        <v>38</v>
      </c>
      <c r="C839" s="4" t="str">
        <f>IF(D839="","Unknown",IF(D839&lt;20,"Teen",IF(D839&lt;40,"Adult","Senior")))</f>
        <v>Adult</v>
      </c>
      <c r="D839" s="3">
        <v>30</v>
      </c>
      <c r="E839" s="3" t="s">
        <v>250</v>
      </c>
      <c r="F839" s="4" t="s">
        <v>40</v>
      </c>
      <c r="G839" s="4" t="s">
        <v>44</v>
      </c>
      <c r="H839" t="s">
        <v>36</v>
      </c>
      <c r="I839" s="3">
        <v>2</v>
      </c>
      <c r="J839" s="5">
        <v>4567</v>
      </c>
      <c r="K839" s="7">
        <v>9134</v>
      </c>
      <c r="L839" s="6">
        <v>45335</v>
      </c>
      <c r="M839" s="8" t="str">
        <f>IF(K839&gt;10000,"High",IF(K839&gt;5000,"Medium","Low"))</f>
        <v>Medium</v>
      </c>
      <c r="N839" s="4" t="s">
        <v>243</v>
      </c>
      <c r="O839" s="3">
        <v>2</v>
      </c>
      <c r="P839" s="3">
        <v>2024</v>
      </c>
      <c r="T839" s="4"/>
      <c r="X839"/>
      <c r="Y839" s="3"/>
      <c r="AA839"/>
    </row>
    <row r="840" spans="1:27" x14ac:dyDescent="0.3">
      <c r="A840" s="3">
        <v>1680</v>
      </c>
      <c r="B840" s="4" t="s">
        <v>78</v>
      </c>
      <c r="C840" s="4" t="str">
        <f>IF(D840="","Unknown",IF(D840&lt;20,"Teen",IF(D840&lt;40,"Adult","Senior")))</f>
        <v>Adult</v>
      </c>
      <c r="D840" s="3">
        <v>34</v>
      </c>
      <c r="E840" s="3" t="s">
        <v>249</v>
      </c>
      <c r="F840" s="4" t="s">
        <v>17</v>
      </c>
      <c r="G840" s="4" t="s">
        <v>27</v>
      </c>
      <c r="H840" t="s">
        <v>13</v>
      </c>
      <c r="I840" s="3">
        <v>2</v>
      </c>
      <c r="J840" s="5">
        <v>27119</v>
      </c>
      <c r="K840" s="7">
        <v>54238</v>
      </c>
      <c r="L840" s="6">
        <v>45329</v>
      </c>
      <c r="M840" s="8" t="str">
        <f>IF(K840&gt;10000,"High",IF(K840&gt;5000,"Medium","Low"))</f>
        <v>High</v>
      </c>
      <c r="N840" s="4" t="s">
        <v>243</v>
      </c>
      <c r="O840" s="3">
        <v>2</v>
      </c>
      <c r="P840" s="3">
        <v>2024</v>
      </c>
      <c r="T840" s="4"/>
      <c r="X840"/>
      <c r="Y840" s="3"/>
      <c r="AA840"/>
    </row>
    <row r="841" spans="1:27" x14ac:dyDescent="0.3">
      <c r="A841" s="3">
        <v>1683</v>
      </c>
      <c r="B841" s="4" t="s">
        <v>25</v>
      </c>
      <c r="C841" s="4" t="str">
        <f>IF(D841="","Unknown",IF(D841&lt;20,"Teen",IF(D841&lt;40,"Adult","Senior")))</f>
        <v>Senior</v>
      </c>
      <c r="D841" s="3">
        <v>48</v>
      </c>
      <c r="E841" s="3" t="s">
        <v>249</v>
      </c>
      <c r="F841" s="4" t="s">
        <v>40</v>
      </c>
      <c r="G841" s="4" t="s">
        <v>44</v>
      </c>
      <c r="H841" t="s">
        <v>36</v>
      </c>
      <c r="I841" s="3">
        <v>2</v>
      </c>
      <c r="J841" s="5">
        <v>1000</v>
      </c>
      <c r="K841" s="7">
        <v>2000</v>
      </c>
      <c r="L841" s="6">
        <v>45328</v>
      </c>
      <c r="M841" s="8" t="str">
        <f>IF(K841&gt;10000,"High",IF(K841&gt;5000,"Medium","Low"))</f>
        <v>Low</v>
      </c>
      <c r="N841" s="4" t="s">
        <v>242</v>
      </c>
      <c r="O841" s="3">
        <v>2</v>
      </c>
      <c r="P841" s="3">
        <v>2024</v>
      </c>
      <c r="T841" s="4"/>
      <c r="X841"/>
      <c r="Y841" s="3"/>
      <c r="AA841"/>
    </row>
    <row r="842" spans="1:27" x14ac:dyDescent="0.3">
      <c r="A842" s="3">
        <v>1685</v>
      </c>
      <c r="B842" s="4" t="s">
        <v>57</v>
      </c>
      <c r="C842" s="4" t="str">
        <f>IF(D842="","Unknown",IF(D842&lt;20,"Teen",IF(D842&lt;40,"Adult","Senior")))</f>
        <v>Adult</v>
      </c>
      <c r="D842" s="3">
        <v>30</v>
      </c>
      <c r="E842" s="3" t="s">
        <v>250</v>
      </c>
      <c r="F842" s="4" t="s">
        <v>40</v>
      </c>
      <c r="G842" s="4" t="s">
        <v>23</v>
      </c>
      <c r="H842" t="s">
        <v>30</v>
      </c>
      <c r="I842" s="3">
        <v>2</v>
      </c>
      <c r="J842" s="5">
        <v>1000</v>
      </c>
      <c r="K842" s="7">
        <v>2000</v>
      </c>
      <c r="L842" s="6">
        <v>45345</v>
      </c>
      <c r="M842" s="8" t="str">
        <f>IF(K842&gt;10000,"High",IF(K842&gt;5000,"Medium","Low"))</f>
        <v>Low</v>
      </c>
      <c r="N842" s="4" t="s">
        <v>244</v>
      </c>
      <c r="O842" s="3">
        <v>2</v>
      </c>
      <c r="P842" s="3">
        <v>2024</v>
      </c>
      <c r="T842" s="4"/>
      <c r="X842"/>
      <c r="Y842" s="3"/>
      <c r="AA842"/>
    </row>
    <row r="843" spans="1:27" x14ac:dyDescent="0.3">
      <c r="A843" s="3">
        <v>1687</v>
      </c>
      <c r="B843" s="4" t="s">
        <v>59</v>
      </c>
      <c r="C843" s="4" t="str">
        <f>IF(D843="","Unknown",IF(D843&lt;20,"Teen",IF(D843&lt;40,"Adult","Senior")))</f>
        <v>Adult</v>
      </c>
      <c r="D843" s="3">
        <v>20</v>
      </c>
      <c r="E843" s="3" t="s">
        <v>251</v>
      </c>
      <c r="F843" s="4" t="s">
        <v>40</v>
      </c>
      <c r="G843" s="4" t="s">
        <v>44</v>
      </c>
      <c r="H843" t="s">
        <v>36</v>
      </c>
      <c r="I843" s="3">
        <v>2</v>
      </c>
      <c r="J843" s="5">
        <v>1000</v>
      </c>
      <c r="K843" s="7">
        <v>2000</v>
      </c>
      <c r="L843" s="6">
        <v>45349</v>
      </c>
      <c r="M843" s="8" t="str">
        <f>IF(K843&gt;10000,"High",IF(K843&gt;5000,"Medium","Low"))</f>
        <v>Low</v>
      </c>
      <c r="N843" s="4" t="s">
        <v>242</v>
      </c>
      <c r="O843" s="3">
        <v>2</v>
      </c>
      <c r="P843" s="3">
        <v>2024</v>
      </c>
      <c r="T843" s="4"/>
      <c r="X843"/>
      <c r="Y843" s="3"/>
      <c r="AA843"/>
    </row>
    <row r="844" spans="1:27" x14ac:dyDescent="0.3">
      <c r="A844" s="3">
        <v>1688</v>
      </c>
      <c r="B844" s="4" t="s">
        <v>69</v>
      </c>
      <c r="C844" s="4" t="str">
        <f>IF(D844="","Unknown",IF(D844&lt;20,"Teen",IF(D844&lt;40,"Adult","Senior")))</f>
        <v>Teen</v>
      </c>
      <c r="D844" s="3">
        <v>18</v>
      </c>
      <c r="E844" s="3" t="s">
        <v>251</v>
      </c>
      <c r="F844" s="4" t="s">
        <v>17</v>
      </c>
      <c r="G844" s="4" t="s">
        <v>44</v>
      </c>
      <c r="H844" t="s">
        <v>36</v>
      </c>
      <c r="I844" s="3">
        <v>2</v>
      </c>
      <c r="J844" s="5">
        <v>31289</v>
      </c>
      <c r="K844" s="7">
        <v>62578</v>
      </c>
      <c r="L844" s="6">
        <v>45331</v>
      </c>
      <c r="M844" s="8" t="str">
        <f>IF(K844&gt;10000,"High",IF(K844&gt;5000,"Medium","Low"))</f>
        <v>High</v>
      </c>
      <c r="N844" s="4" t="s">
        <v>240</v>
      </c>
      <c r="O844" s="3">
        <v>2</v>
      </c>
      <c r="P844" s="3">
        <v>2024</v>
      </c>
      <c r="T844" s="4"/>
      <c r="X844"/>
      <c r="Y844" s="3"/>
      <c r="AA844"/>
    </row>
    <row r="845" spans="1:27" x14ac:dyDescent="0.3">
      <c r="A845" s="3">
        <v>1689</v>
      </c>
      <c r="B845" s="4" t="s">
        <v>54</v>
      </c>
      <c r="C845" s="4" t="str">
        <f>IF(D845="","Unknown",IF(D845&lt;20,"Teen",IF(D845&lt;40,"Adult","Senior")))</f>
        <v>Adult</v>
      </c>
      <c r="D845" s="3">
        <v>30</v>
      </c>
      <c r="E845" s="3" t="s">
        <v>250</v>
      </c>
      <c r="F845" s="4" t="s">
        <v>17</v>
      </c>
      <c r="G845" s="4" t="s">
        <v>41</v>
      </c>
      <c r="H845" t="s">
        <v>36</v>
      </c>
      <c r="I845" s="3">
        <v>2</v>
      </c>
      <c r="J845" s="5">
        <v>1000</v>
      </c>
      <c r="K845" s="7">
        <v>2000</v>
      </c>
      <c r="L845" s="6">
        <v>45334</v>
      </c>
      <c r="M845" s="8" t="str">
        <f>IF(K845&gt;10000,"High",IF(K845&gt;5000,"Medium","Low"))</f>
        <v>Low</v>
      </c>
      <c r="N845" s="4" t="s">
        <v>242</v>
      </c>
      <c r="O845" s="3">
        <v>2</v>
      </c>
      <c r="P845" s="3">
        <v>2024</v>
      </c>
      <c r="T845" s="4"/>
      <c r="X845"/>
      <c r="Y845" s="3"/>
      <c r="AA845"/>
    </row>
    <row r="846" spans="1:27" x14ac:dyDescent="0.3">
      <c r="A846" s="3">
        <v>1694</v>
      </c>
      <c r="B846" s="4" t="s">
        <v>73</v>
      </c>
      <c r="C846" s="4" t="str">
        <f>IF(D846="","Unknown",IF(D846&lt;20,"Teen",IF(D846&lt;40,"Adult","Senior")))</f>
        <v>Adult</v>
      </c>
      <c r="D846" s="3">
        <v>27</v>
      </c>
      <c r="E846" s="3" t="s">
        <v>250</v>
      </c>
      <c r="F846" s="4" t="s">
        <v>40</v>
      </c>
      <c r="G846" s="4" t="s">
        <v>12</v>
      </c>
      <c r="H846" t="s">
        <v>13</v>
      </c>
      <c r="I846" s="3">
        <v>1</v>
      </c>
      <c r="J846" s="5">
        <v>1000</v>
      </c>
      <c r="K846" s="7">
        <v>1000</v>
      </c>
      <c r="L846" s="6">
        <v>45332</v>
      </c>
      <c r="M846" s="8" t="str">
        <f>IF(K846&gt;10000,"High",IF(K846&gt;5000,"Medium","Low"))</f>
        <v>Low</v>
      </c>
      <c r="N846" s="4" t="s">
        <v>243</v>
      </c>
      <c r="O846" s="3">
        <v>2</v>
      </c>
      <c r="P846" s="3">
        <v>2024</v>
      </c>
      <c r="T846" s="4"/>
      <c r="X846"/>
      <c r="Y846" s="3"/>
      <c r="AA846"/>
    </row>
    <row r="847" spans="1:27" x14ac:dyDescent="0.3">
      <c r="A847" s="3">
        <v>1698</v>
      </c>
      <c r="B847" s="4" t="s">
        <v>68</v>
      </c>
      <c r="C847" s="4" t="str">
        <f>IF(D847="","Unknown",IF(D847&lt;20,"Teen",IF(D847&lt;40,"Adult","Senior")))</f>
        <v>Adult</v>
      </c>
      <c r="D847" s="3">
        <v>24</v>
      </c>
      <c r="E847" s="3" t="s">
        <v>250</v>
      </c>
      <c r="F847" s="4" t="s">
        <v>17</v>
      </c>
      <c r="G847" s="4" t="s">
        <v>44</v>
      </c>
      <c r="H847" t="s">
        <v>36</v>
      </c>
      <c r="I847" s="3">
        <v>2</v>
      </c>
      <c r="J847" s="5">
        <v>20647</v>
      </c>
      <c r="K847" s="7">
        <v>41294</v>
      </c>
      <c r="L847" s="6">
        <v>45343</v>
      </c>
      <c r="M847" s="8" t="str">
        <f>IF(K847&gt;10000,"High",IF(K847&gt;5000,"Medium","Low"))</f>
        <v>High</v>
      </c>
      <c r="N847" s="4" t="s">
        <v>242</v>
      </c>
      <c r="O847" s="3">
        <v>2</v>
      </c>
      <c r="P847" s="3">
        <v>2024</v>
      </c>
      <c r="T847" s="4"/>
      <c r="X847"/>
      <c r="Y847" s="3"/>
      <c r="AA847"/>
    </row>
    <row r="848" spans="1:27" x14ac:dyDescent="0.3">
      <c r="A848" s="3">
        <v>1699</v>
      </c>
      <c r="B848" s="4" t="s">
        <v>64</v>
      </c>
      <c r="C848" s="4" t="str">
        <f>IF(D848="","Unknown",IF(D848&lt;20,"Teen",IF(D848&lt;40,"Adult","Senior")))</f>
        <v>Senior</v>
      </c>
      <c r="D848" s="3">
        <v>50</v>
      </c>
      <c r="E848" s="3" t="s">
        <v>249</v>
      </c>
      <c r="F848" s="4" t="s">
        <v>40</v>
      </c>
      <c r="G848" s="4" t="s">
        <v>23</v>
      </c>
      <c r="H848" t="s">
        <v>30</v>
      </c>
      <c r="I848" s="3">
        <v>2</v>
      </c>
      <c r="J848" s="5">
        <v>1000</v>
      </c>
      <c r="K848" s="7">
        <v>2000</v>
      </c>
      <c r="L848" s="6">
        <v>45350</v>
      </c>
      <c r="M848" s="8" t="str">
        <f>IF(K848&gt;10000,"High",IF(K848&gt;5000,"Medium","Low"))</f>
        <v>Low</v>
      </c>
      <c r="N848" s="4" t="s">
        <v>244</v>
      </c>
      <c r="O848" s="3">
        <v>2</v>
      </c>
      <c r="P848" s="3">
        <v>2024</v>
      </c>
      <c r="T848" s="4"/>
      <c r="X848"/>
      <c r="Y848" s="3"/>
      <c r="AA848"/>
    </row>
    <row r="849" spans="1:27" x14ac:dyDescent="0.3">
      <c r="A849" s="3">
        <v>1704</v>
      </c>
      <c r="B849" s="4" t="s">
        <v>35</v>
      </c>
      <c r="C849" s="4" t="str">
        <f>IF(D849="","Unknown",IF(D849&lt;20,"Teen",IF(D849&lt;40,"Adult","Senior")))</f>
        <v>Adult</v>
      </c>
      <c r="D849" s="3">
        <v>30</v>
      </c>
      <c r="E849" s="3" t="s">
        <v>250</v>
      </c>
      <c r="F849" s="4" t="s">
        <v>17</v>
      </c>
      <c r="G849" s="4" t="s">
        <v>55</v>
      </c>
      <c r="H849" t="s">
        <v>36</v>
      </c>
      <c r="I849" s="3">
        <v>2</v>
      </c>
      <c r="J849" s="5">
        <v>1000</v>
      </c>
      <c r="K849" s="7">
        <v>2000</v>
      </c>
      <c r="L849" s="6">
        <v>45347</v>
      </c>
      <c r="M849" s="8" t="str">
        <f>IF(K849&gt;10000,"High",IF(K849&gt;5000,"Medium","Low"))</f>
        <v>Low</v>
      </c>
      <c r="N849" s="4" t="s">
        <v>241</v>
      </c>
      <c r="O849" s="3">
        <v>2</v>
      </c>
      <c r="P849" s="3">
        <v>2024</v>
      </c>
      <c r="T849" s="4"/>
      <c r="X849"/>
      <c r="Y849" s="3"/>
      <c r="AA849"/>
    </row>
    <row r="850" spans="1:27" x14ac:dyDescent="0.3">
      <c r="A850" s="3">
        <v>1706</v>
      </c>
      <c r="B850" s="4" t="s">
        <v>54</v>
      </c>
      <c r="C850" s="4" t="str">
        <f>IF(D850="","Unknown",IF(D850&lt;20,"Teen",IF(D850&lt;40,"Adult","Senior")))</f>
        <v>Adult</v>
      </c>
      <c r="D850" s="3">
        <v>30</v>
      </c>
      <c r="E850" s="3" t="s">
        <v>250</v>
      </c>
      <c r="F850" s="4" t="s">
        <v>17</v>
      </c>
      <c r="G850" s="4" t="s">
        <v>12</v>
      </c>
      <c r="H850" t="s">
        <v>13</v>
      </c>
      <c r="I850" s="3">
        <v>2</v>
      </c>
      <c r="J850" s="5">
        <v>1000</v>
      </c>
      <c r="K850" s="7">
        <v>2000</v>
      </c>
      <c r="L850" s="6">
        <v>45335</v>
      </c>
      <c r="M850" s="8" t="str">
        <f>IF(K850&gt;10000,"High",IF(K850&gt;5000,"Medium","Low"))</f>
        <v>Low</v>
      </c>
      <c r="N850" s="4" t="s">
        <v>242</v>
      </c>
      <c r="O850" s="3">
        <v>2</v>
      </c>
      <c r="P850" s="3">
        <v>2024</v>
      </c>
      <c r="T850" s="4"/>
      <c r="X850"/>
      <c r="Y850" s="3"/>
      <c r="AA850"/>
    </row>
    <row r="851" spans="1:27" x14ac:dyDescent="0.3">
      <c r="A851" s="3">
        <v>1709</v>
      </c>
      <c r="B851" s="4" t="s">
        <v>69</v>
      </c>
      <c r="C851" s="4" t="str">
        <f>IF(D851="","Unknown",IF(D851&lt;20,"Teen",IF(D851&lt;40,"Adult","Senior")))</f>
        <v>Senior</v>
      </c>
      <c r="D851" s="3">
        <v>45</v>
      </c>
      <c r="E851" s="3" t="s">
        <v>249</v>
      </c>
      <c r="F851" s="4" t="s">
        <v>40</v>
      </c>
      <c r="G851" s="4" t="s">
        <v>12</v>
      </c>
      <c r="H851" t="s">
        <v>13</v>
      </c>
      <c r="I851" s="3">
        <v>1</v>
      </c>
      <c r="J851" s="5">
        <v>30082</v>
      </c>
      <c r="K851" s="7">
        <v>30082</v>
      </c>
      <c r="L851" s="6">
        <v>45335</v>
      </c>
      <c r="M851" s="8" t="str">
        <f>IF(K851&gt;10000,"High",IF(K851&gt;5000,"Medium","Low"))</f>
        <v>High</v>
      </c>
      <c r="N851" s="4" t="s">
        <v>242</v>
      </c>
      <c r="O851" s="3">
        <v>2</v>
      </c>
      <c r="P851" s="3">
        <v>2024</v>
      </c>
      <c r="T851" s="4"/>
      <c r="X851"/>
      <c r="Y851" s="3"/>
      <c r="AA851"/>
    </row>
    <row r="852" spans="1:27" x14ac:dyDescent="0.3">
      <c r="A852" s="3">
        <v>1712</v>
      </c>
      <c r="B852" s="4" t="s">
        <v>59</v>
      </c>
      <c r="C852" s="4" t="str">
        <f>IF(D852="","Unknown",IF(D852&lt;20,"Teen",IF(D852&lt;40,"Adult","Senior")))</f>
        <v>Adult</v>
      </c>
      <c r="D852" s="3">
        <v>30</v>
      </c>
      <c r="E852" s="3" t="s">
        <v>250</v>
      </c>
      <c r="F852" s="4" t="s">
        <v>17</v>
      </c>
      <c r="G852" s="4" t="s">
        <v>23</v>
      </c>
      <c r="H852" t="s">
        <v>30</v>
      </c>
      <c r="I852" s="3">
        <v>2</v>
      </c>
      <c r="J852" s="5">
        <v>1000</v>
      </c>
      <c r="K852" s="7">
        <v>2000</v>
      </c>
      <c r="L852" s="6">
        <v>45330</v>
      </c>
      <c r="M852" s="8" t="str">
        <f>IF(K852&gt;10000,"High",IF(K852&gt;5000,"Medium","Low"))</f>
        <v>Low</v>
      </c>
      <c r="N852" s="4" t="s">
        <v>242</v>
      </c>
      <c r="O852" s="3">
        <v>2</v>
      </c>
      <c r="P852" s="3">
        <v>2024</v>
      </c>
      <c r="T852" s="4"/>
      <c r="X852"/>
      <c r="Y852" s="3"/>
      <c r="AA852"/>
    </row>
    <row r="853" spans="1:27" x14ac:dyDescent="0.3">
      <c r="A853" s="3">
        <v>1713</v>
      </c>
      <c r="B853" s="4" t="s">
        <v>68</v>
      </c>
      <c r="C853" s="4" t="str">
        <f>IF(D853="","Unknown",IF(D853&lt;20,"Teen",IF(D853&lt;40,"Adult","Senior")))</f>
        <v>Senior</v>
      </c>
      <c r="D853" s="3">
        <v>41</v>
      </c>
      <c r="E853" s="3" t="s">
        <v>249</v>
      </c>
      <c r="F853" s="4" t="s">
        <v>40</v>
      </c>
      <c r="G853" s="4" t="s">
        <v>12</v>
      </c>
      <c r="H853" t="s">
        <v>13</v>
      </c>
      <c r="I853" s="3">
        <v>1</v>
      </c>
      <c r="J853" s="5">
        <v>49234</v>
      </c>
      <c r="K853" s="7">
        <v>49234</v>
      </c>
      <c r="L853" s="6">
        <v>45326</v>
      </c>
      <c r="M853" s="8" t="str">
        <f>IF(K853&gt;10000,"High",IF(K853&gt;5000,"Medium","Low"))</f>
        <v>High</v>
      </c>
      <c r="N853" s="4" t="s">
        <v>244</v>
      </c>
      <c r="O853" s="3">
        <v>2</v>
      </c>
      <c r="P853" s="3">
        <v>2024</v>
      </c>
      <c r="T853" s="4"/>
      <c r="X853"/>
      <c r="Y853" s="3"/>
      <c r="AA853"/>
    </row>
    <row r="854" spans="1:27" x14ac:dyDescent="0.3">
      <c r="A854" s="3">
        <v>1716</v>
      </c>
      <c r="B854" s="4" t="s">
        <v>73</v>
      </c>
      <c r="C854" s="4" t="str">
        <f>IF(D854="","Unknown",IF(D854&lt;20,"Teen",IF(D854&lt;40,"Adult","Senior")))</f>
        <v>Adult</v>
      </c>
      <c r="D854" s="3">
        <v>30</v>
      </c>
      <c r="E854" s="3" t="s">
        <v>250</v>
      </c>
      <c r="F854" s="4" t="s">
        <v>40</v>
      </c>
      <c r="G854" s="4" t="s">
        <v>41</v>
      </c>
      <c r="H854" t="s">
        <v>36</v>
      </c>
      <c r="I854" s="3">
        <v>4</v>
      </c>
      <c r="J854" s="5">
        <v>1000</v>
      </c>
      <c r="K854" s="7">
        <v>4000</v>
      </c>
      <c r="L854" s="6">
        <v>45336</v>
      </c>
      <c r="M854" s="8" t="str">
        <f>IF(K854&gt;10000,"High",IF(K854&gt;5000,"Medium","Low"))</f>
        <v>Low</v>
      </c>
      <c r="N854" s="4" t="s">
        <v>243</v>
      </c>
      <c r="O854" s="3">
        <v>2</v>
      </c>
      <c r="P854" s="3">
        <v>2024</v>
      </c>
      <c r="T854" s="4"/>
      <c r="X854"/>
      <c r="Y854" s="3"/>
      <c r="AA854"/>
    </row>
    <row r="855" spans="1:27" x14ac:dyDescent="0.3">
      <c r="A855" s="3">
        <v>1717</v>
      </c>
      <c r="B855" s="4" t="s">
        <v>21</v>
      </c>
      <c r="C855" s="4" t="str">
        <f>IF(D855="","Unknown",IF(D855&lt;20,"Teen",IF(D855&lt;40,"Adult","Senior")))</f>
        <v>Senior</v>
      </c>
      <c r="D855" s="3">
        <v>45</v>
      </c>
      <c r="E855" s="3" t="s">
        <v>249</v>
      </c>
      <c r="F855" s="4" t="s">
        <v>40</v>
      </c>
      <c r="G855" s="4" t="s">
        <v>23</v>
      </c>
      <c r="H855" t="s">
        <v>30</v>
      </c>
      <c r="I855" s="3">
        <v>2</v>
      </c>
      <c r="J855" s="5">
        <v>1000</v>
      </c>
      <c r="K855" s="7">
        <v>2000</v>
      </c>
      <c r="L855" s="6">
        <v>45328</v>
      </c>
      <c r="M855" s="8" t="str">
        <f>IF(K855&gt;10000,"High",IF(K855&gt;5000,"Medium","Low"))</f>
        <v>Low</v>
      </c>
      <c r="N855" s="4" t="s">
        <v>241</v>
      </c>
      <c r="O855" s="3">
        <v>2</v>
      </c>
      <c r="P855" s="3">
        <v>2024</v>
      </c>
      <c r="T855" s="4"/>
      <c r="X855"/>
      <c r="Y855" s="3"/>
      <c r="AA855"/>
    </row>
    <row r="856" spans="1:27" x14ac:dyDescent="0.3">
      <c r="A856" s="3">
        <v>1721</v>
      </c>
      <c r="B856" s="4" t="s">
        <v>64</v>
      </c>
      <c r="C856" s="4" t="str">
        <f>IF(D856="","Unknown",IF(D856&lt;20,"Teen",IF(D856&lt;40,"Adult","Senior")))</f>
        <v>Adult</v>
      </c>
      <c r="D856" s="3">
        <v>30</v>
      </c>
      <c r="E856" s="3" t="s">
        <v>250</v>
      </c>
      <c r="F856" s="4" t="s">
        <v>40</v>
      </c>
      <c r="G856" s="4" t="s">
        <v>18</v>
      </c>
      <c r="H856" t="s">
        <v>30</v>
      </c>
      <c r="I856" s="3">
        <v>2</v>
      </c>
      <c r="J856" s="5">
        <v>5557</v>
      </c>
      <c r="K856" s="7">
        <v>11114</v>
      </c>
      <c r="L856" s="6">
        <v>45342</v>
      </c>
      <c r="M856" s="8" t="str">
        <f>IF(K856&gt;10000,"High",IF(K856&gt;5000,"Medium","Low"))</f>
        <v>High</v>
      </c>
      <c r="N856" s="4" t="s">
        <v>243</v>
      </c>
      <c r="O856" s="3">
        <v>2</v>
      </c>
      <c r="P856" s="3">
        <v>2024</v>
      </c>
      <c r="T856" s="4"/>
      <c r="X856"/>
      <c r="Y856" s="3"/>
      <c r="AA856"/>
    </row>
    <row r="857" spans="1:27" x14ac:dyDescent="0.3">
      <c r="A857" s="3">
        <v>1725</v>
      </c>
      <c r="B857" s="4" t="s">
        <v>68</v>
      </c>
      <c r="C857" s="4" t="str">
        <f>IF(D857="","Unknown",IF(D857&lt;20,"Teen",IF(D857&lt;40,"Adult","Senior")))</f>
        <v>Adult</v>
      </c>
      <c r="D857" s="3">
        <v>26</v>
      </c>
      <c r="E857" s="3" t="s">
        <v>250</v>
      </c>
      <c r="F857" s="4" t="s">
        <v>17</v>
      </c>
      <c r="G857" s="4" t="s">
        <v>12</v>
      </c>
      <c r="H857" t="s">
        <v>13</v>
      </c>
      <c r="I857" s="3">
        <v>2</v>
      </c>
      <c r="J857" s="5">
        <v>1000</v>
      </c>
      <c r="K857" s="7">
        <v>2000</v>
      </c>
      <c r="L857" s="6">
        <v>45342</v>
      </c>
      <c r="M857" s="8" t="str">
        <f>IF(K857&gt;10000,"High",IF(K857&gt;5000,"Medium","Low"))</f>
        <v>Low</v>
      </c>
      <c r="N857" s="4" t="s">
        <v>244</v>
      </c>
      <c r="O857" s="3">
        <v>2</v>
      </c>
      <c r="P857" s="3">
        <v>2024</v>
      </c>
      <c r="T857" s="4"/>
      <c r="X857"/>
      <c r="Y857" s="3"/>
      <c r="AA857"/>
    </row>
    <row r="858" spans="1:27" x14ac:dyDescent="0.3">
      <c r="A858" s="3">
        <v>1729</v>
      </c>
      <c r="B858" s="4" t="s">
        <v>46</v>
      </c>
      <c r="C858" s="4" t="str">
        <f>IF(D858="","Unknown",IF(D858&lt;20,"Teen",IF(D858&lt;40,"Adult","Senior")))</f>
        <v>Adult</v>
      </c>
      <c r="D858" s="3">
        <v>30</v>
      </c>
      <c r="E858" s="3" t="s">
        <v>250</v>
      </c>
      <c r="F858" s="4" t="s">
        <v>17</v>
      </c>
      <c r="G858" s="4" t="s">
        <v>44</v>
      </c>
      <c r="H858" t="s">
        <v>36</v>
      </c>
      <c r="I858" s="3">
        <v>2</v>
      </c>
      <c r="J858" s="5">
        <v>1000</v>
      </c>
      <c r="K858" s="7">
        <v>2000</v>
      </c>
      <c r="L858" s="6">
        <v>45335</v>
      </c>
      <c r="M858" s="8" t="str">
        <f>IF(K858&gt;10000,"High",IF(K858&gt;5000,"Medium","Low"))</f>
        <v>Low</v>
      </c>
      <c r="N858" s="4" t="s">
        <v>240</v>
      </c>
      <c r="O858" s="3">
        <v>2</v>
      </c>
      <c r="P858" s="3">
        <v>2024</v>
      </c>
      <c r="T858" s="4"/>
      <c r="X858"/>
      <c r="Y858" s="3"/>
      <c r="AA858"/>
    </row>
    <row r="859" spans="1:27" x14ac:dyDescent="0.3">
      <c r="A859" s="3">
        <v>1734</v>
      </c>
      <c r="B859" s="4" t="s">
        <v>46</v>
      </c>
      <c r="C859" s="4" t="str">
        <f>IF(D859="","Unknown",IF(D859&lt;20,"Teen",IF(D859&lt;40,"Adult","Senior")))</f>
        <v>Adult</v>
      </c>
      <c r="D859" s="3">
        <v>24</v>
      </c>
      <c r="E859" s="3" t="s">
        <v>250</v>
      </c>
      <c r="F859" s="4" t="s">
        <v>17</v>
      </c>
      <c r="G859" s="4" t="s">
        <v>18</v>
      </c>
      <c r="H859" t="s">
        <v>30</v>
      </c>
      <c r="I859" s="3">
        <v>2</v>
      </c>
      <c r="J859" s="5">
        <v>1000</v>
      </c>
      <c r="K859" s="7">
        <v>2000</v>
      </c>
      <c r="L859" s="6">
        <v>45329</v>
      </c>
      <c r="M859" s="8" t="str">
        <f>IF(K859&gt;10000,"High",IF(K859&gt;5000,"Medium","Low"))</f>
        <v>Low</v>
      </c>
      <c r="N859" s="4" t="s">
        <v>244</v>
      </c>
      <c r="O859" s="3">
        <v>2</v>
      </c>
      <c r="P859" s="3">
        <v>2024</v>
      </c>
      <c r="T859" s="4"/>
      <c r="X859"/>
      <c r="Y859" s="3"/>
      <c r="AA859"/>
    </row>
    <row r="860" spans="1:27" x14ac:dyDescent="0.3">
      <c r="A860" s="3">
        <v>1735</v>
      </c>
      <c r="B860" s="4" t="s">
        <v>78</v>
      </c>
      <c r="C860" s="4" t="str">
        <f>IF(D860="","Unknown",IF(D860&lt;20,"Teen",IF(D860&lt;40,"Adult","Senior")))</f>
        <v>Adult</v>
      </c>
      <c r="D860" s="3">
        <v>31</v>
      </c>
      <c r="E860" s="3" t="s">
        <v>249</v>
      </c>
      <c r="F860" s="4" t="s">
        <v>17</v>
      </c>
      <c r="G860" s="4" t="s">
        <v>12</v>
      </c>
      <c r="H860" t="s">
        <v>13</v>
      </c>
      <c r="I860" s="3">
        <v>2</v>
      </c>
      <c r="J860" s="5">
        <v>1000</v>
      </c>
      <c r="K860" s="7">
        <v>2000</v>
      </c>
      <c r="L860" s="6">
        <v>45330</v>
      </c>
      <c r="M860" s="8" t="str">
        <f>IF(K860&gt;10000,"High",IF(K860&gt;5000,"Medium","Low"))</f>
        <v>Low</v>
      </c>
      <c r="N860" s="4" t="s">
        <v>242</v>
      </c>
      <c r="O860" s="3">
        <v>2</v>
      </c>
      <c r="P860" s="3">
        <v>2024</v>
      </c>
      <c r="T860" s="4"/>
      <c r="X860"/>
      <c r="Y860" s="3"/>
      <c r="AA860"/>
    </row>
    <row r="861" spans="1:27" x14ac:dyDescent="0.3">
      <c r="A861" s="3">
        <v>1736</v>
      </c>
      <c r="B861" s="4" t="s">
        <v>32</v>
      </c>
      <c r="C861" s="4" t="str">
        <f>IF(D861="","Unknown",IF(D861&lt;20,"Teen",IF(D861&lt;40,"Adult","Senior")))</f>
        <v>Adult</v>
      </c>
      <c r="D861" s="3">
        <v>30</v>
      </c>
      <c r="E861" s="3" t="s">
        <v>250</v>
      </c>
      <c r="F861" s="4" t="s">
        <v>17</v>
      </c>
      <c r="G861" s="4" t="s">
        <v>51</v>
      </c>
      <c r="H861" t="s">
        <v>13</v>
      </c>
      <c r="I861" s="3">
        <v>2</v>
      </c>
      <c r="J861" s="5">
        <v>1000</v>
      </c>
      <c r="K861" s="7">
        <v>2000</v>
      </c>
      <c r="L861" s="6">
        <v>45326</v>
      </c>
      <c r="M861" s="8" t="str">
        <f>IF(K861&gt;10000,"High",IF(K861&gt;5000,"Medium","Low"))</f>
        <v>Low</v>
      </c>
      <c r="N861" s="4" t="s">
        <v>243</v>
      </c>
      <c r="O861" s="3">
        <v>2</v>
      </c>
      <c r="P861" s="3">
        <v>2024</v>
      </c>
      <c r="T861" s="4"/>
      <c r="X861"/>
      <c r="Y861" s="3"/>
      <c r="AA861"/>
    </row>
    <row r="862" spans="1:27" x14ac:dyDescent="0.3">
      <c r="A862" s="3">
        <v>1738</v>
      </c>
      <c r="B862" s="4" t="s">
        <v>68</v>
      </c>
      <c r="C862" s="4" t="str">
        <f>IF(D862="","Unknown",IF(D862&lt;20,"Teen",IF(D862&lt;40,"Adult","Senior")))</f>
        <v>Adult</v>
      </c>
      <c r="D862" s="3">
        <v>30</v>
      </c>
      <c r="E862" s="3" t="s">
        <v>250</v>
      </c>
      <c r="F862" s="4" t="s">
        <v>17</v>
      </c>
      <c r="G862" s="4" t="s">
        <v>27</v>
      </c>
      <c r="H862" t="s">
        <v>13</v>
      </c>
      <c r="I862" s="3">
        <v>5</v>
      </c>
      <c r="J862" s="5">
        <v>1000</v>
      </c>
      <c r="K862" s="7">
        <v>5000</v>
      </c>
      <c r="L862" s="6">
        <v>45332</v>
      </c>
      <c r="M862" s="8" t="str">
        <f>IF(K862&gt;10000,"High",IF(K862&gt;5000,"Medium","Low"))</f>
        <v>Low</v>
      </c>
      <c r="N862" s="4" t="s">
        <v>240</v>
      </c>
      <c r="O862" s="3">
        <v>2</v>
      </c>
      <c r="P862" s="3">
        <v>2024</v>
      </c>
      <c r="T862" s="4"/>
      <c r="X862"/>
      <c r="Y862" s="3"/>
      <c r="AA862"/>
    </row>
    <row r="863" spans="1:27" x14ac:dyDescent="0.3">
      <c r="A863" s="3">
        <v>1740</v>
      </c>
      <c r="B863" s="4" t="s">
        <v>78</v>
      </c>
      <c r="C863" s="4" t="str">
        <f>IF(D863="","Unknown",IF(D863&lt;20,"Teen",IF(D863&lt;40,"Adult","Senior")))</f>
        <v>Adult</v>
      </c>
      <c r="D863" s="3">
        <v>30</v>
      </c>
      <c r="E863" s="3" t="s">
        <v>250</v>
      </c>
      <c r="F863" s="4" t="s">
        <v>17</v>
      </c>
      <c r="G863" s="4" t="s">
        <v>51</v>
      </c>
      <c r="H863" t="s">
        <v>13</v>
      </c>
      <c r="I863" s="3">
        <v>3</v>
      </c>
      <c r="J863" s="5">
        <v>1000</v>
      </c>
      <c r="K863" s="7">
        <v>3000</v>
      </c>
      <c r="L863" s="6">
        <v>45338</v>
      </c>
      <c r="M863" s="8" t="str">
        <f>IF(K863&gt;10000,"High",IF(K863&gt;5000,"Medium","Low"))</f>
        <v>Low</v>
      </c>
      <c r="N863" s="4" t="s">
        <v>240</v>
      </c>
      <c r="O863" s="3">
        <v>2</v>
      </c>
      <c r="P863" s="3">
        <v>2024</v>
      </c>
      <c r="T863" s="4"/>
      <c r="X863"/>
      <c r="Y863" s="3"/>
      <c r="AA863"/>
    </row>
    <row r="864" spans="1:27" x14ac:dyDescent="0.3">
      <c r="A864" s="3">
        <v>1741</v>
      </c>
      <c r="B864" s="4" t="s">
        <v>62</v>
      </c>
      <c r="C864" s="4" t="str">
        <f>IF(D864="","Unknown",IF(D864&lt;20,"Teen",IF(D864&lt;40,"Adult","Senior")))</f>
        <v>Adult</v>
      </c>
      <c r="D864" s="3">
        <v>22</v>
      </c>
      <c r="E864" s="3" t="s">
        <v>250</v>
      </c>
      <c r="F864" s="4" t="s">
        <v>40</v>
      </c>
      <c r="G864" s="4" t="s">
        <v>18</v>
      </c>
      <c r="H864" t="s">
        <v>30</v>
      </c>
      <c r="I864" s="3">
        <v>1</v>
      </c>
      <c r="J864" s="5">
        <v>29755</v>
      </c>
      <c r="K864" s="7">
        <v>29755</v>
      </c>
      <c r="L864" s="6">
        <v>45346</v>
      </c>
      <c r="M864" s="8" t="str">
        <f>IF(K864&gt;10000,"High",IF(K864&gt;5000,"Medium","Low"))</f>
        <v>High</v>
      </c>
      <c r="N864" s="4" t="s">
        <v>241</v>
      </c>
      <c r="O864" s="3">
        <v>2</v>
      </c>
      <c r="P864" s="3">
        <v>2024</v>
      </c>
      <c r="T864" s="4"/>
      <c r="X864"/>
      <c r="Y864" s="3"/>
      <c r="AA864"/>
    </row>
    <row r="865" spans="1:27" x14ac:dyDescent="0.3">
      <c r="A865" s="3">
        <v>1744</v>
      </c>
      <c r="B865" s="4" t="s">
        <v>16</v>
      </c>
      <c r="C865" s="4" t="str">
        <f>IF(D865="","Unknown",IF(D865&lt;20,"Teen",IF(D865&lt;40,"Adult","Senior")))</f>
        <v>Adult</v>
      </c>
      <c r="D865" s="3">
        <v>30</v>
      </c>
      <c r="E865" s="3" t="s">
        <v>250</v>
      </c>
      <c r="F865" s="4" t="s">
        <v>40</v>
      </c>
      <c r="G865" s="4" t="s">
        <v>41</v>
      </c>
      <c r="H865" t="s">
        <v>36</v>
      </c>
      <c r="I865" s="3">
        <v>2</v>
      </c>
      <c r="J865" s="5">
        <v>1000</v>
      </c>
      <c r="K865" s="7">
        <v>2000</v>
      </c>
      <c r="L865" s="6">
        <v>45336</v>
      </c>
      <c r="M865" s="8" t="str">
        <f>IF(K865&gt;10000,"High",IF(K865&gt;5000,"Medium","Low"))</f>
        <v>Low</v>
      </c>
      <c r="N865" s="4" t="s">
        <v>241</v>
      </c>
      <c r="O865" s="3">
        <v>2</v>
      </c>
      <c r="P865" s="3">
        <v>2024</v>
      </c>
      <c r="T865" s="4"/>
      <c r="X865"/>
      <c r="Y865" s="3"/>
      <c r="AA865"/>
    </row>
    <row r="866" spans="1:27" x14ac:dyDescent="0.3">
      <c r="A866" s="3">
        <v>1745</v>
      </c>
      <c r="B866" s="4" t="s">
        <v>59</v>
      </c>
      <c r="C866" s="4" t="str">
        <f>IF(D866="","Unknown",IF(D866&lt;20,"Teen",IF(D866&lt;40,"Adult","Senior")))</f>
        <v>Adult</v>
      </c>
      <c r="D866" s="3">
        <v>30</v>
      </c>
      <c r="E866" s="3" t="s">
        <v>250</v>
      </c>
      <c r="F866" s="4" t="s">
        <v>17</v>
      </c>
      <c r="G866" s="4" t="s">
        <v>23</v>
      </c>
      <c r="H866" t="s">
        <v>30</v>
      </c>
      <c r="I866" s="3">
        <v>2</v>
      </c>
      <c r="J866" s="5">
        <v>1000</v>
      </c>
      <c r="K866" s="7">
        <v>2000</v>
      </c>
      <c r="L866" s="6">
        <v>45330</v>
      </c>
      <c r="M866" s="8" t="str">
        <f>IF(K866&gt;10000,"High",IF(K866&gt;5000,"Medium","Low"))</f>
        <v>Low</v>
      </c>
      <c r="N866" s="4" t="s">
        <v>244</v>
      </c>
      <c r="O866" s="3">
        <v>2</v>
      </c>
      <c r="P866" s="3">
        <v>2024</v>
      </c>
      <c r="T866" s="4"/>
      <c r="X866"/>
      <c r="Y866" s="3"/>
      <c r="AA866"/>
    </row>
    <row r="867" spans="1:27" x14ac:dyDescent="0.3">
      <c r="A867" s="3">
        <v>1746</v>
      </c>
      <c r="B867" s="4" t="s">
        <v>10</v>
      </c>
      <c r="C867" s="4" t="str">
        <f>IF(D867="","Unknown",IF(D867&lt;20,"Teen",IF(D867&lt;40,"Adult","Senior")))</f>
        <v>Adult</v>
      </c>
      <c r="D867" s="3">
        <v>22</v>
      </c>
      <c r="E867" s="3" t="s">
        <v>250</v>
      </c>
      <c r="F867" s="4" t="s">
        <v>40</v>
      </c>
      <c r="G867" s="4" t="s">
        <v>41</v>
      </c>
      <c r="H867" t="s">
        <v>36</v>
      </c>
      <c r="I867" s="3">
        <v>1</v>
      </c>
      <c r="J867" s="5">
        <v>1000</v>
      </c>
      <c r="K867" s="7">
        <v>1000</v>
      </c>
      <c r="L867" s="6">
        <v>45332</v>
      </c>
      <c r="M867" s="8" t="str">
        <f>IF(K867&gt;10000,"High",IF(K867&gt;5000,"Medium","Low"))</f>
        <v>Low</v>
      </c>
      <c r="N867" s="4" t="s">
        <v>240</v>
      </c>
      <c r="O867" s="3">
        <v>2</v>
      </c>
      <c r="P867" s="3">
        <v>2024</v>
      </c>
      <c r="T867" s="4"/>
      <c r="X867"/>
      <c r="Y867" s="3"/>
      <c r="AA867"/>
    </row>
    <row r="868" spans="1:27" x14ac:dyDescent="0.3">
      <c r="A868" s="3">
        <v>1749</v>
      </c>
      <c r="B868" s="4" t="s">
        <v>35</v>
      </c>
      <c r="C868" s="4" t="str">
        <f>IF(D868="","Unknown",IF(D868&lt;20,"Teen",IF(D868&lt;40,"Adult","Senior")))</f>
        <v>Adult</v>
      </c>
      <c r="D868" s="3">
        <v>28</v>
      </c>
      <c r="E868" s="3" t="s">
        <v>250</v>
      </c>
      <c r="F868" s="4" t="s">
        <v>17</v>
      </c>
      <c r="G868" s="4" t="s">
        <v>55</v>
      </c>
      <c r="H868" t="s">
        <v>36</v>
      </c>
      <c r="I868" s="3">
        <v>1</v>
      </c>
      <c r="J868" s="5">
        <v>1000</v>
      </c>
      <c r="K868" s="7">
        <v>1000</v>
      </c>
      <c r="L868" s="6">
        <v>45350</v>
      </c>
      <c r="M868" s="8" t="str">
        <f>IF(K868&gt;10000,"High",IF(K868&gt;5000,"Medium","Low"))</f>
        <v>Low</v>
      </c>
      <c r="N868" s="4" t="s">
        <v>241</v>
      </c>
      <c r="O868" s="3">
        <v>2</v>
      </c>
      <c r="P868" s="3">
        <v>2024</v>
      </c>
      <c r="T868" s="4"/>
      <c r="X868"/>
      <c r="Y868" s="3"/>
      <c r="AA868"/>
    </row>
    <row r="869" spans="1:27" x14ac:dyDescent="0.3">
      <c r="A869" s="3">
        <v>1751</v>
      </c>
      <c r="B869" s="4" t="s">
        <v>48</v>
      </c>
      <c r="C869" s="4" t="str">
        <f>IF(D869="","Unknown",IF(D869&lt;20,"Teen",IF(D869&lt;40,"Adult","Senior")))</f>
        <v>Adult</v>
      </c>
      <c r="D869" s="3">
        <v>30</v>
      </c>
      <c r="E869" s="3" t="s">
        <v>250</v>
      </c>
      <c r="F869" s="4" t="s">
        <v>17</v>
      </c>
      <c r="G869" s="4" t="s">
        <v>27</v>
      </c>
      <c r="H869" t="s">
        <v>13</v>
      </c>
      <c r="I869" s="3">
        <v>1</v>
      </c>
      <c r="J869" s="5">
        <v>1000</v>
      </c>
      <c r="K869" s="7">
        <v>1000</v>
      </c>
      <c r="L869" s="6">
        <v>45329</v>
      </c>
      <c r="M869" s="8" t="str">
        <f>IF(K869&gt;10000,"High",IF(K869&gt;5000,"Medium","Low"))</f>
        <v>Low</v>
      </c>
      <c r="N869" s="4" t="s">
        <v>240</v>
      </c>
      <c r="O869" s="3">
        <v>2</v>
      </c>
      <c r="P869" s="3">
        <v>2024</v>
      </c>
      <c r="T869" s="4"/>
      <c r="X869"/>
      <c r="Y869" s="3"/>
      <c r="AA869"/>
    </row>
    <row r="870" spans="1:27" x14ac:dyDescent="0.3">
      <c r="A870" s="3">
        <v>1757</v>
      </c>
      <c r="B870" s="4" t="s">
        <v>32</v>
      </c>
      <c r="C870" s="4" t="str">
        <f>IF(D870="","Unknown",IF(D870&lt;20,"Teen",IF(D870&lt;40,"Adult","Senior")))</f>
        <v>Senior</v>
      </c>
      <c r="D870" s="3">
        <v>49</v>
      </c>
      <c r="E870" s="3" t="s">
        <v>249</v>
      </c>
      <c r="F870" s="4" t="s">
        <v>17</v>
      </c>
      <c r="G870" s="4" t="s">
        <v>41</v>
      </c>
      <c r="H870" t="s">
        <v>36</v>
      </c>
      <c r="I870" s="3">
        <v>5</v>
      </c>
      <c r="J870" s="5">
        <v>1000</v>
      </c>
      <c r="K870" s="7">
        <v>5000</v>
      </c>
      <c r="L870" s="6">
        <v>45343</v>
      </c>
      <c r="M870" s="8" t="str">
        <f>IF(K870&gt;10000,"High",IF(K870&gt;5000,"Medium","Low"))</f>
        <v>Low</v>
      </c>
      <c r="N870" s="4" t="s">
        <v>240</v>
      </c>
      <c r="O870" s="3">
        <v>2</v>
      </c>
      <c r="P870" s="3">
        <v>2024</v>
      </c>
      <c r="T870" s="4"/>
      <c r="X870"/>
      <c r="Y870" s="3"/>
      <c r="AA870"/>
    </row>
    <row r="871" spans="1:27" x14ac:dyDescent="0.3">
      <c r="A871" s="3">
        <v>1758</v>
      </c>
      <c r="B871" s="4" t="s">
        <v>16</v>
      </c>
      <c r="C871" s="4" t="str">
        <f>IF(D871="","Unknown",IF(D871&lt;20,"Teen",IF(D871&lt;40,"Adult","Senior")))</f>
        <v>Adult</v>
      </c>
      <c r="D871" s="3">
        <v>30</v>
      </c>
      <c r="E871" s="3" t="s">
        <v>250</v>
      </c>
      <c r="F871" s="4" t="s">
        <v>17</v>
      </c>
      <c r="G871" s="4" t="s">
        <v>27</v>
      </c>
      <c r="H871" t="s">
        <v>13</v>
      </c>
      <c r="I871" s="3">
        <v>4</v>
      </c>
      <c r="J871" s="5">
        <v>8876</v>
      </c>
      <c r="K871" s="7">
        <v>35504</v>
      </c>
      <c r="L871" s="6">
        <v>45336</v>
      </c>
      <c r="M871" s="8" t="str">
        <f>IF(K871&gt;10000,"High",IF(K871&gt;5000,"Medium","Low"))</f>
        <v>High</v>
      </c>
      <c r="N871" s="4" t="s">
        <v>243</v>
      </c>
      <c r="O871" s="3">
        <v>2</v>
      </c>
      <c r="P871" s="3">
        <v>2024</v>
      </c>
      <c r="T871" s="4"/>
      <c r="X871"/>
      <c r="Y871" s="3"/>
      <c r="AA871"/>
    </row>
    <row r="872" spans="1:27" x14ac:dyDescent="0.3">
      <c r="A872" s="3">
        <v>1765</v>
      </c>
      <c r="B872" s="4" t="s">
        <v>68</v>
      </c>
      <c r="C872" s="4" t="str">
        <f>IF(D872="","Unknown",IF(D872&lt;20,"Teen",IF(D872&lt;40,"Adult","Senior")))</f>
        <v>Senior</v>
      </c>
      <c r="D872" s="3">
        <v>48</v>
      </c>
      <c r="E872" s="3" t="s">
        <v>249</v>
      </c>
      <c r="F872" s="4" t="s">
        <v>40</v>
      </c>
      <c r="G872" s="4" t="s">
        <v>51</v>
      </c>
      <c r="H872" t="s">
        <v>13</v>
      </c>
      <c r="I872" s="3">
        <v>2</v>
      </c>
      <c r="J872" s="5">
        <v>5959</v>
      </c>
      <c r="K872" s="7">
        <v>11918</v>
      </c>
      <c r="L872" s="6">
        <v>45347</v>
      </c>
      <c r="M872" s="8" t="str">
        <f>IF(K872&gt;10000,"High",IF(K872&gt;5000,"Medium","Low"))</f>
        <v>High</v>
      </c>
      <c r="N872" s="4" t="s">
        <v>241</v>
      </c>
      <c r="O872" s="3">
        <v>2</v>
      </c>
      <c r="P872" s="3">
        <v>2024</v>
      </c>
      <c r="T872" s="4"/>
      <c r="X872"/>
      <c r="Y872" s="3"/>
      <c r="AA872"/>
    </row>
    <row r="873" spans="1:27" x14ac:dyDescent="0.3">
      <c r="A873" s="3">
        <v>1766</v>
      </c>
      <c r="B873" s="4" t="s">
        <v>38</v>
      </c>
      <c r="C873" s="4" t="str">
        <f>IF(D873="","Unknown",IF(D873&lt;20,"Teen",IF(D873&lt;40,"Adult","Senior")))</f>
        <v>Adult</v>
      </c>
      <c r="D873" s="3">
        <v>32</v>
      </c>
      <c r="E873" s="3" t="s">
        <v>249</v>
      </c>
      <c r="F873" s="4" t="s">
        <v>40</v>
      </c>
      <c r="G873" s="4" t="s">
        <v>12</v>
      </c>
      <c r="H873" t="s">
        <v>13</v>
      </c>
      <c r="I873" s="3">
        <v>4</v>
      </c>
      <c r="J873" s="5">
        <v>1000</v>
      </c>
      <c r="K873" s="7">
        <v>4000</v>
      </c>
      <c r="L873" s="6">
        <v>45324</v>
      </c>
      <c r="M873" s="8" t="str">
        <f>IF(K873&gt;10000,"High",IF(K873&gt;5000,"Medium","Low"))</f>
        <v>Low</v>
      </c>
      <c r="N873" s="4" t="s">
        <v>241</v>
      </c>
      <c r="O873" s="3">
        <v>2</v>
      </c>
      <c r="P873" s="3">
        <v>2024</v>
      </c>
      <c r="T873" s="4"/>
      <c r="X873"/>
      <c r="Y873" s="3"/>
      <c r="AA873"/>
    </row>
    <row r="874" spans="1:27" x14ac:dyDescent="0.3">
      <c r="A874" s="3">
        <v>1767</v>
      </c>
      <c r="B874" s="4" t="s">
        <v>35</v>
      </c>
      <c r="C874" s="4" t="str">
        <f>IF(D874="","Unknown",IF(D874&lt;20,"Teen",IF(D874&lt;40,"Adult","Senior")))</f>
        <v>Adult</v>
      </c>
      <c r="D874" s="3">
        <v>30</v>
      </c>
      <c r="E874" s="3" t="s">
        <v>250</v>
      </c>
      <c r="F874" s="4" t="s">
        <v>17</v>
      </c>
      <c r="G874" s="4" t="s">
        <v>41</v>
      </c>
      <c r="H874" t="s">
        <v>36</v>
      </c>
      <c r="I874" s="3">
        <v>2</v>
      </c>
      <c r="J874" s="5">
        <v>1277</v>
      </c>
      <c r="K874" s="7">
        <v>2554</v>
      </c>
      <c r="L874" s="6">
        <v>45347</v>
      </c>
      <c r="M874" s="8" t="str">
        <f>IF(K874&gt;10000,"High",IF(K874&gt;5000,"Medium","Low"))</f>
        <v>Low</v>
      </c>
      <c r="N874" s="4" t="s">
        <v>243</v>
      </c>
      <c r="O874" s="3">
        <v>2</v>
      </c>
      <c r="P874" s="3">
        <v>2024</v>
      </c>
      <c r="T874" s="4"/>
      <c r="X874"/>
      <c r="Y874" s="3"/>
      <c r="AA874"/>
    </row>
    <row r="875" spans="1:27" x14ac:dyDescent="0.3">
      <c r="A875" s="3">
        <v>1768</v>
      </c>
      <c r="B875" s="4" t="s">
        <v>16</v>
      </c>
      <c r="C875" s="4" t="str">
        <f>IF(D875="","Unknown",IF(D875&lt;20,"Teen",IF(D875&lt;40,"Adult","Senior")))</f>
        <v>Adult</v>
      </c>
      <c r="D875" s="3">
        <v>31</v>
      </c>
      <c r="E875" s="3" t="s">
        <v>249</v>
      </c>
      <c r="F875" s="4" t="s">
        <v>17</v>
      </c>
      <c r="G875" s="4" t="s">
        <v>27</v>
      </c>
      <c r="H875" t="s">
        <v>13</v>
      </c>
      <c r="I875" s="3">
        <v>3</v>
      </c>
      <c r="J875" s="5">
        <v>1000</v>
      </c>
      <c r="K875" s="7">
        <v>3000</v>
      </c>
      <c r="L875" s="6">
        <v>45336</v>
      </c>
      <c r="M875" s="8" t="str">
        <f>IF(K875&gt;10000,"High",IF(K875&gt;5000,"Medium","Low"))</f>
        <v>Low</v>
      </c>
      <c r="N875" s="4" t="s">
        <v>244</v>
      </c>
      <c r="O875" s="3">
        <v>2</v>
      </c>
      <c r="P875" s="3">
        <v>2024</v>
      </c>
      <c r="T875" s="4"/>
      <c r="X875"/>
      <c r="Y875" s="3"/>
      <c r="AA875"/>
    </row>
    <row r="876" spans="1:27" x14ac:dyDescent="0.3">
      <c r="A876" s="3">
        <v>1769</v>
      </c>
      <c r="B876" s="4" t="s">
        <v>57</v>
      </c>
      <c r="C876" s="4" t="str">
        <f>IF(D876="","Unknown",IF(D876&lt;20,"Teen",IF(D876&lt;40,"Adult","Senior")))</f>
        <v>Adult</v>
      </c>
      <c r="D876" s="3">
        <v>30</v>
      </c>
      <c r="E876" s="3" t="s">
        <v>250</v>
      </c>
      <c r="F876" s="4" t="s">
        <v>17</v>
      </c>
      <c r="G876" s="4" t="s">
        <v>12</v>
      </c>
      <c r="H876" t="s">
        <v>13</v>
      </c>
      <c r="I876" s="3">
        <v>4</v>
      </c>
      <c r="J876" s="5">
        <v>1000</v>
      </c>
      <c r="K876" s="7">
        <v>4000</v>
      </c>
      <c r="L876" s="6">
        <v>45350</v>
      </c>
      <c r="M876" s="8" t="str">
        <f>IF(K876&gt;10000,"High",IF(K876&gt;5000,"Medium","Low"))</f>
        <v>Low</v>
      </c>
      <c r="N876" s="4" t="s">
        <v>243</v>
      </c>
      <c r="O876" s="3">
        <v>2</v>
      </c>
      <c r="P876" s="3">
        <v>2024</v>
      </c>
      <c r="T876" s="4"/>
      <c r="X876"/>
      <c r="Y876" s="3"/>
      <c r="AA876"/>
    </row>
    <row r="877" spans="1:27" x14ac:dyDescent="0.3">
      <c r="A877" s="3">
        <v>1771</v>
      </c>
      <c r="B877" s="4" t="s">
        <v>57</v>
      </c>
      <c r="C877" s="4" t="str">
        <f>IF(D877="","Unknown",IF(D877&lt;20,"Teen",IF(D877&lt;40,"Adult","Senior")))</f>
        <v>Adult</v>
      </c>
      <c r="D877" s="3">
        <v>39</v>
      </c>
      <c r="E877" s="3" t="s">
        <v>249</v>
      </c>
      <c r="F877" s="4" t="s">
        <v>17</v>
      </c>
      <c r="G877" s="4" t="s">
        <v>44</v>
      </c>
      <c r="H877" t="s">
        <v>36</v>
      </c>
      <c r="I877" s="3">
        <v>2</v>
      </c>
      <c r="J877" s="5">
        <v>1000</v>
      </c>
      <c r="K877" s="7">
        <v>2000</v>
      </c>
      <c r="L877" s="6">
        <v>45324</v>
      </c>
      <c r="M877" s="8" t="str">
        <f>IF(K877&gt;10000,"High",IF(K877&gt;5000,"Medium","Low"))</f>
        <v>Low</v>
      </c>
      <c r="N877" s="4" t="s">
        <v>241</v>
      </c>
      <c r="O877" s="3">
        <v>2</v>
      </c>
      <c r="P877" s="3">
        <v>2024</v>
      </c>
      <c r="T877" s="4"/>
      <c r="X877"/>
      <c r="Y877" s="3"/>
      <c r="AA877"/>
    </row>
    <row r="878" spans="1:27" x14ac:dyDescent="0.3">
      <c r="A878" s="3">
        <v>1772</v>
      </c>
      <c r="B878" s="4" t="s">
        <v>68</v>
      </c>
      <c r="C878" s="4" t="str">
        <f>IF(D878="","Unknown",IF(D878&lt;20,"Teen",IF(D878&lt;40,"Adult","Senior")))</f>
        <v>Teen</v>
      </c>
      <c r="D878" s="3">
        <v>19</v>
      </c>
      <c r="E878" s="3" t="s">
        <v>251</v>
      </c>
      <c r="F878" s="4" t="s">
        <v>40</v>
      </c>
      <c r="G878" s="4" t="s">
        <v>12</v>
      </c>
      <c r="H878" t="s">
        <v>13</v>
      </c>
      <c r="I878" s="3">
        <v>2</v>
      </c>
      <c r="J878" s="5">
        <v>1000</v>
      </c>
      <c r="K878" s="7">
        <v>2000</v>
      </c>
      <c r="L878" s="6">
        <v>45332</v>
      </c>
      <c r="M878" s="8" t="str">
        <f>IF(K878&gt;10000,"High",IF(K878&gt;5000,"Medium","Low"))</f>
        <v>Low</v>
      </c>
      <c r="N878" s="4" t="s">
        <v>240</v>
      </c>
      <c r="O878" s="3">
        <v>2</v>
      </c>
      <c r="P878" s="3">
        <v>2024</v>
      </c>
      <c r="T878" s="4"/>
      <c r="X878"/>
      <c r="Y878" s="3"/>
      <c r="AA878"/>
    </row>
    <row r="879" spans="1:27" x14ac:dyDescent="0.3">
      <c r="A879" s="3">
        <v>1775</v>
      </c>
      <c r="B879" s="4" t="s">
        <v>21</v>
      </c>
      <c r="C879" s="4" t="str">
        <f>IF(D879="","Unknown",IF(D879&lt;20,"Teen",IF(D879&lt;40,"Adult","Senior")))</f>
        <v>Adult</v>
      </c>
      <c r="D879" s="3">
        <v>25</v>
      </c>
      <c r="E879" s="3" t="s">
        <v>250</v>
      </c>
      <c r="F879" s="4" t="s">
        <v>40</v>
      </c>
      <c r="G879" s="4" t="s">
        <v>51</v>
      </c>
      <c r="H879" t="s">
        <v>13</v>
      </c>
      <c r="I879" s="3">
        <v>2</v>
      </c>
      <c r="J879" s="5">
        <v>1000</v>
      </c>
      <c r="K879" s="7">
        <v>2000</v>
      </c>
      <c r="L879" s="6">
        <v>45328</v>
      </c>
      <c r="M879" s="8" t="str">
        <f>IF(K879&gt;10000,"High",IF(K879&gt;5000,"Medium","Low"))</f>
        <v>Low</v>
      </c>
      <c r="N879" s="4" t="s">
        <v>241</v>
      </c>
      <c r="O879" s="3">
        <v>2</v>
      </c>
      <c r="P879" s="3">
        <v>2024</v>
      </c>
      <c r="T879" s="4"/>
      <c r="X879"/>
      <c r="Y879" s="3"/>
      <c r="AA879"/>
    </row>
    <row r="880" spans="1:27" x14ac:dyDescent="0.3">
      <c r="A880" s="3">
        <v>1783</v>
      </c>
      <c r="B880" s="4" t="s">
        <v>21</v>
      </c>
      <c r="C880" s="4" t="str">
        <f>IF(D880="","Unknown",IF(D880&lt;20,"Teen",IF(D880&lt;40,"Adult","Senior")))</f>
        <v>Adult</v>
      </c>
      <c r="D880" s="3">
        <v>39</v>
      </c>
      <c r="E880" s="3" t="s">
        <v>249</v>
      </c>
      <c r="F880" s="4" t="s">
        <v>17</v>
      </c>
      <c r="G880" s="4" t="s">
        <v>23</v>
      </c>
      <c r="H880" t="s">
        <v>30</v>
      </c>
      <c r="I880" s="3">
        <v>2</v>
      </c>
      <c r="J880" s="5">
        <v>25716</v>
      </c>
      <c r="K880" s="7">
        <v>51432</v>
      </c>
      <c r="L880" s="6">
        <v>45339</v>
      </c>
      <c r="M880" s="8" t="str">
        <f>IF(K880&gt;10000,"High",IF(K880&gt;5000,"Medium","Low"))</f>
        <v>High</v>
      </c>
      <c r="N880" s="4" t="s">
        <v>242</v>
      </c>
      <c r="O880" s="3">
        <v>2</v>
      </c>
      <c r="P880" s="3">
        <v>2024</v>
      </c>
      <c r="T880" s="4"/>
      <c r="X880"/>
      <c r="Y880" s="3"/>
      <c r="AA880"/>
    </row>
    <row r="881" spans="1:27" x14ac:dyDescent="0.3">
      <c r="A881" s="3">
        <v>1786</v>
      </c>
      <c r="B881" s="4" t="s">
        <v>46</v>
      </c>
      <c r="C881" s="4" t="str">
        <f>IF(D881="","Unknown",IF(D881&lt;20,"Teen",IF(D881&lt;40,"Adult","Senior")))</f>
        <v>Senior</v>
      </c>
      <c r="D881" s="3">
        <v>45</v>
      </c>
      <c r="E881" s="3" t="s">
        <v>249</v>
      </c>
      <c r="F881" s="4" t="s">
        <v>40</v>
      </c>
      <c r="G881" s="4" t="s">
        <v>41</v>
      </c>
      <c r="H881" t="s">
        <v>36</v>
      </c>
      <c r="I881" s="3">
        <v>2</v>
      </c>
      <c r="J881" s="5">
        <v>1000</v>
      </c>
      <c r="K881" s="7">
        <v>2000</v>
      </c>
      <c r="L881" s="6">
        <v>45328</v>
      </c>
      <c r="M881" s="8" t="str">
        <f>IF(K881&gt;10000,"High",IF(K881&gt;5000,"Medium","Low"))</f>
        <v>Low</v>
      </c>
      <c r="N881" s="4" t="s">
        <v>243</v>
      </c>
      <c r="O881" s="3">
        <v>2</v>
      </c>
      <c r="P881" s="3">
        <v>2024</v>
      </c>
      <c r="T881" s="4"/>
      <c r="X881"/>
      <c r="Y881" s="3"/>
      <c r="AA881"/>
    </row>
    <row r="882" spans="1:27" x14ac:dyDescent="0.3">
      <c r="A882" s="3">
        <v>1787</v>
      </c>
      <c r="B882" s="4" t="s">
        <v>21</v>
      </c>
      <c r="C882" s="4" t="str">
        <f>IF(D882="","Unknown",IF(D882&lt;20,"Teen",IF(D882&lt;40,"Adult","Senior")))</f>
        <v>Adult</v>
      </c>
      <c r="D882" s="3">
        <v>33</v>
      </c>
      <c r="E882" s="3" t="s">
        <v>249</v>
      </c>
      <c r="F882" s="4" t="s">
        <v>40</v>
      </c>
      <c r="G882" s="4" t="s">
        <v>51</v>
      </c>
      <c r="H882" t="s">
        <v>13</v>
      </c>
      <c r="I882" s="3">
        <v>2</v>
      </c>
      <c r="J882" s="5">
        <v>1000</v>
      </c>
      <c r="K882" s="7">
        <v>2000</v>
      </c>
      <c r="L882" s="6">
        <v>45327</v>
      </c>
      <c r="M882" s="8" t="str">
        <f>IF(K882&gt;10000,"High",IF(K882&gt;5000,"Medium","Low"))</f>
        <v>Low</v>
      </c>
      <c r="N882" s="4" t="s">
        <v>244</v>
      </c>
      <c r="O882" s="3">
        <v>2</v>
      </c>
      <c r="P882" s="3">
        <v>2024</v>
      </c>
      <c r="T882" s="4"/>
      <c r="X882"/>
      <c r="Y882" s="3"/>
      <c r="AA882"/>
    </row>
    <row r="883" spans="1:27" x14ac:dyDescent="0.3">
      <c r="A883" s="3">
        <v>1789</v>
      </c>
      <c r="B883" s="4" t="s">
        <v>16</v>
      </c>
      <c r="C883" s="4" t="str">
        <f>IF(D883="","Unknown",IF(D883&lt;20,"Teen",IF(D883&lt;40,"Adult","Senior")))</f>
        <v>Senior</v>
      </c>
      <c r="D883" s="3">
        <v>43</v>
      </c>
      <c r="E883" s="3" t="s">
        <v>249</v>
      </c>
      <c r="F883" s="4" t="s">
        <v>40</v>
      </c>
      <c r="G883" s="4" t="s">
        <v>23</v>
      </c>
      <c r="H883" t="s">
        <v>30</v>
      </c>
      <c r="I883" s="3">
        <v>3</v>
      </c>
      <c r="J883" s="5">
        <v>9565</v>
      </c>
      <c r="K883" s="7">
        <v>28695</v>
      </c>
      <c r="L883" s="6">
        <v>45328</v>
      </c>
      <c r="M883" s="8" t="str">
        <f>IF(K883&gt;10000,"High",IF(K883&gt;5000,"Medium","Low"))</f>
        <v>High</v>
      </c>
      <c r="N883" s="4" t="s">
        <v>243</v>
      </c>
      <c r="O883" s="3">
        <v>2</v>
      </c>
      <c r="P883" s="3">
        <v>2024</v>
      </c>
      <c r="T883" s="4"/>
      <c r="X883"/>
      <c r="Y883" s="3"/>
      <c r="AA883"/>
    </row>
    <row r="884" spans="1:27" x14ac:dyDescent="0.3">
      <c r="A884" s="3">
        <v>1790</v>
      </c>
      <c r="B884" s="4" t="s">
        <v>16</v>
      </c>
      <c r="C884" s="4" t="str">
        <f>IF(D884="","Unknown",IF(D884&lt;20,"Teen",IF(D884&lt;40,"Adult","Senior")))</f>
        <v>Adult</v>
      </c>
      <c r="D884" s="3">
        <v>30</v>
      </c>
      <c r="E884" s="3" t="s">
        <v>250</v>
      </c>
      <c r="F884" s="4" t="s">
        <v>40</v>
      </c>
      <c r="G884" s="4" t="s">
        <v>55</v>
      </c>
      <c r="H884" t="s">
        <v>36</v>
      </c>
      <c r="I884" s="3">
        <v>2</v>
      </c>
      <c r="J884" s="5">
        <v>1000</v>
      </c>
      <c r="K884" s="7">
        <v>2000</v>
      </c>
      <c r="L884" s="6">
        <v>45331</v>
      </c>
      <c r="M884" s="8" t="str">
        <f>IF(K884&gt;10000,"High",IF(K884&gt;5000,"Medium","Low"))</f>
        <v>Low</v>
      </c>
      <c r="N884" s="4" t="s">
        <v>241</v>
      </c>
      <c r="O884" s="3">
        <v>2</v>
      </c>
      <c r="P884" s="3">
        <v>2024</v>
      </c>
      <c r="T884" s="4"/>
      <c r="X884"/>
      <c r="Y884" s="3"/>
      <c r="AA884"/>
    </row>
    <row r="885" spans="1:27" x14ac:dyDescent="0.3">
      <c r="A885" s="3">
        <v>1796</v>
      </c>
      <c r="B885" s="4" t="s">
        <v>48</v>
      </c>
      <c r="C885" s="4" t="str">
        <f>IF(D885="","Unknown",IF(D885&lt;20,"Teen",IF(D885&lt;40,"Adult","Senior")))</f>
        <v>Adult</v>
      </c>
      <c r="D885" s="3">
        <v>30</v>
      </c>
      <c r="E885" s="3" t="s">
        <v>250</v>
      </c>
      <c r="F885" s="4" t="s">
        <v>17</v>
      </c>
      <c r="G885" s="4" t="s">
        <v>44</v>
      </c>
      <c r="H885" t="s">
        <v>36</v>
      </c>
      <c r="I885" s="3">
        <v>2</v>
      </c>
      <c r="J885" s="5">
        <v>3949</v>
      </c>
      <c r="K885" s="7">
        <v>7898</v>
      </c>
      <c r="L885" s="6">
        <v>45335</v>
      </c>
      <c r="M885" s="8" t="str">
        <f>IF(K885&gt;10000,"High",IF(K885&gt;5000,"Medium","Low"))</f>
        <v>Medium</v>
      </c>
      <c r="N885" s="4" t="s">
        <v>240</v>
      </c>
      <c r="O885" s="3">
        <v>2</v>
      </c>
      <c r="P885" s="3">
        <v>2024</v>
      </c>
      <c r="T885" s="4"/>
      <c r="X885"/>
      <c r="Y885" s="3"/>
      <c r="AA885"/>
    </row>
    <row r="886" spans="1:27" x14ac:dyDescent="0.3">
      <c r="A886" s="3">
        <v>1801</v>
      </c>
      <c r="B886" s="4" t="s">
        <v>21</v>
      </c>
      <c r="C886" s="4" t="str">
        <f>IF(D886="","Unknown",IF(D886&lt;20,"Teen",IF(D886&lt;40,"Adult","Senior")))</f>
        <v>Adult</v>
      </c>
      <c r="D886" s="3">
        <v>30</v>
      </c>
      <c r="E886" s="3" t="s">
        <v>250</v>
      </c>
      <c r="F886" s="4" t="s">
        <v>40</v>
      </c>
      <c r="G886" s="4" t="s">
        <v>18</v>
      </c>
      <c r="H886" t="s">
        <v>30</v>
      </c>
      <c r="I886" s="3">
        <v>4</v>
      </c>
      <c r="J886" s="5">
        <v>45321</v>
      </c>
      <c r="K886" s="7">
        <v>181284</v>
      </c>
      <c r="L886" s="6">
        <v>45351</v>
      </c>
      <c r="M886" s="8" t="str">
        <f>IF(K886&gt;10000,"High",IF(K886&gt;5000,"Medium","Low"))</f>
        <v>High</v>
      </c>
      <c r="N886" s="4" t="s">
        <v>244</v>
      </c>
      <c r="O886" s="3">
        <v>2</v>
      </c>
      <c r="P886" s="3">
        <v>2024</v>
      </c>
      <c r="T886" s="4"/>
      <c r="X886"/>
      <c r="Y886" s="3"/>
      <c r="AA886"/>
    </row>
    <row r="887" spans="1:27" x14ac:dyDescent="0.3">
      <c r="A887" s="3">
        <v>1803</v>
      </c>
      <c r="B887" s="4" t="s">
        <v>25</v>
      </c>
      <c r="C887" s="4" t="str">
        <f>IF(D887="","Unknown",IF(D887&lt;20,"Teen",IF(D887&lt;40,"Adult","Senior")))</f>
        <v>Adult</v>
      </c>
      <c r="D887" s="3">
        <v>30</v>
      </c>
      <c r="E887" s="3" t="s">
        <v>250</v>
      </c>
      <c r="F887" s="4" t="s">
        <v>40</v>
      </c>
      <c r="G887" s="4" t="s">
        <v>55</v>
      </c>
      <c r="H887" t="s">
        <v>36</v>
      </c>
      <c r="I887" s="3">
        <v>2</v>
      </c>
      <c r="J887" s="5">
        <v>1000</v>
      </c>
      <c r="K887" s="7">
        <v>2000</v>
      </c>
      <c r="L887" s="6">
        <v>45327</v>
      </c>
      <c r="M887" s="8" t="str">
        <f>IF(K887&gt;10000,"High",IF(K887&gt;5000,"Medium","Low"))</f>
        <v>Low</v>
      </c>
      <c r="N887" s="4" t="s">
        <v>243</v>
      </c>
      <c r="O887" s="3">
        <v>2</v>
      </c>
      <c r="P887" s="3">
        <v>2024</v>
      </c>
      <c r="T887" s="4"/>
      <c r="X887"/>
      <c r="Y887" s="3"/>
      <c r="AA887"/>
    </row>
    <row r="888" spans="1:27" x14ac:dyDescent="0.3">
      <c r="A888" s="3">
        <v>1804</v>
      </c>
      <c r="B888" s="4" t="s">
        <v>73</v>
      </c>
      <c r="C888" s="4" t="str">
        <f>IF(D888="","Unknown",IF(D888&lt;20,"Teen",IF(D888&lt;40,"Adult","Senior")))</f>
        <v>Adult</v>
      </c>
      <c r="D888" s="3">
        <v>36</v>
      </c>
      <c r="E888" s="3" t="s">
        <v>249</v>
      </c>
      <c r="F888" s="4" t="s">
        <v>40</v>
      </c>
      <c r="G888" s="4" t="s">
        <v>27</v>
      </c>
      <c r="H888" t="s">
        <v>13</v>
      </c>
      <c r="I888" s="3">
        <v>4</v>
      </c>
      <c r="J888" s="5">
        <v>1000</v>
      </c>
      <c r="K888" s="7">
        <v>4000</v>
      </c>
      <c r="L888" s="6">
        <v>45328</v>
      </c>
      <c r="M888" s="8" t="str">
        <f>IF(K888&gt;10000,"High",IF(K888&gt;5000,"Medium","Low"))</f>
        <v>Low</v>
      </c>
      <c r="N888" s="4" t="s">
        <v>240</v>
      </c>
      <c r="O888" s="3">
        <v>2</v>
      </c>
      <c r="P888" s="3">
        <v>2024</v>
      </c>
      <c r="T888" s="4"/>
      <c r="X888"/>
      <c r="Y888" s="3"/>
      <c r="AA888"/>
    </row>
    <row r="889" spans="1:27" x14ac:dyDescent="0.3">
      <c r="A889" s="3">
        <v>1805</v>
      </c>
      <c r="B889" s="4" t="s">
        <v>25</v>
      </c>
      <c r="C889" s="4" t="str">
        <f>IF(D889="","Unknown",IF(D889&lt;20,"Teen",IF(D889&lt;40,"Adult","Senior")))</f>
        <v>Adult</v>
      </c>
      <c r="D889" s="3">
        <v>30</v>
      </c>
      <c r="E889" s="3" t="s">
        <v>250</v>
      </c>
      <c r="F889" s="4" t="s">
        <v>17</v>
      </c>
      <c r="G889" s="4" t="s">
        <v>44</v>
      </c>
      <c r="H889" t="s">
        <v>36</v>
      </c>
      <c r="I889" s="3">
        <v>2</v>
      </c>
      <c r="J889" s="5">
        <v>1000</v>
      </c>
      <c r="K889" s="7">
        <v>2000</v>
      </c>
      <c r="L889" s="6">
        <v>45347</v>
      </c>
      <c r="M889" s="8" t="str">
        <f>IF(K889&gt;10000,"High",IF(K889&gt;5000,"Medium","Low"))</f>
        <v>Low</v>
      </c>
      <c r="N889" s="4" t="s">
        <v>241</v>
      </c>
      <c r="O889" s="3">
        <v>2</v>
      </c>
      <c r="P889" s="3">
        <v>2024</v>
      </c>
      <c r="T889" s="4"/>
      <c r="X889"/>
      <c r="Y889" s="3"/>
      <c r="AA889"/>
    </row>
    <row r="890" spans="1:27" x14ac:dyDescent="0.3">
      <c r="A890" s="3">
        <v>1806</v>
      </c>
      <c r="B890" s="4" t="s">
        <v>64</v>
      </c>
      <c r="C890" s="4" t="str">
        <f>IF(D890="","Unknown",IF(D890&lt;20,"Teen",IF(D890&lt;40,"Adult","Senior")))</f>
        <v>Adult</v>
      </c>
      <c r="D890" s="3">
        <v>23</v>
      </c>
      <c r="E890" s="3" t="s">
        <v>250</v>
      </c>
      <c r="F890" s="4" t="s">
        <v>17</v>
      </c>
      <c r="G890" s="4" t="s">
        <v>51</v>
      </c>
      <c r="H890" t="s">
        <v>13</v>
      </c>
      <c r="I890" s="3">
        <v>2</v>
      </c>
      <c r="J890" s="5">
        <v>1000</v>
      </c>
      <c r="K890" s="7">
        <v>2000</v>
      </c>
      <c r="L890" s="6">
        <v>45332</v>
      </c>
      <c r="M890" s="8" t="str">
        <f>IF(K890&gt;10000,"High",IF(K890&gt;5000,"Medium","Low"))</f>
        <v>Low</v>
      </c>
      <c r="N890" s="4" t="s">
        <v>243</v>
      </c>
      <c r="O890" s="3">
        <v>2</v>
      </c>
      <c r="P890" s="3">
        <v>2024</v>
      </c>
      <c r="T890" s="4"/>
      <c r="X890"/>
      <c r="Y890" s="3"/>
      <c r="AA890"/>
    </row>
    <row r="891" spans="1:27" x14ac:dyDescent="0.3">
      <c r="A891" s="3">
        <v>1807</v>
      </c>
      <c r="B891" s="4" t="s">
        <v>54</v>
      </c>
      <c r="C891" s="4" t="str">
        <f>IF(D891="","Unknown",IF(D891&lt;20,"Teen",IF(D891&lt;40,"Adult","Senior")))</f>
        <v>Senior</v>
      </c>
      <c r="D891" s="3">
        <v>43</v>
      </c>
      <c r="E891" s="3" t="s">
        <v>249</v>
      </c>
      <c r="F891" s="4" t="s">
        <v>40</v>
      </c>
      <c r="G891" s="4" t="s">
        <v>44</v>
      </c>
      <c r="H891" t="s">
        <v>36</v>
      </c>
      <c r="I891" s="3">
        <v>2</v>
      </c>
      <c r="J891" s="5">
        <v>1000</v>
      </c>
      <c r="K891" s="7">
        <v>2000</v>
      </c>
      <c r="L891" s="6">
        <v>45334</v>
      </c>
      <c r="M891" s="8" t="str">
        <f>IF(K891&gt;10000,"High",IF(K891&gt;5000,"Medium","Low"))</f>
        <v>Low</v>
      </c>
      <c r="N891" s="4" t="s">
        <v>244</v>
      </c>
      <c r="O891" s="3">
        <v>2</v>
      </c>
      <c r="P891" s="3">
        <v>2024</v>
      </c>
      <c r="T891" s="4"/>
      <c r="X891"/>
      <c r="Y891" s="3"/>
      <c r="AA891"/>
    </row>
    <row r="892" spans="1:27" x14ac:dyDescent="0.3">
      <c r="A892" s="3">
        <v>1810</v>
      </c>
      <c r="B892" s="4" t="s">
        <v>35</v>
      </c>
      <c r="C892" s="4" t="str">
        <f>IF(D892="","Unknown",IF(D892&lt;20,"Teen",IF(D892&lt;40,"Adult","Senior")))</f>
        <v>Senior</v>
      </c>
      <c r="D892" s="3">
        <v>49</v>
      </c>
      <c r="E892" s="3" t="s">
        <v>249</v>
      </c>
      <c r="F892" s="4" t="s">
        <v>40</v>
      </c>
      <c r="G892" s="4" t="s">
        <v>12</v>
      </c>
      <c r="H892" t="s">
        <v>13</v>
      </c>
      <c r="I892" s="3">
        <v>2</v>
      </c>
      <c r="J892" s="5">
        <v>1000</v>
      </c>
      <c r="K892" s="7">
        <v>2000</v>
      </c>
      <c r="L892" s="6">
        <v>45341</v>
      </c>
      <c r="M892" s="8" t="str">
        <f>IF(K892&gt;10000,"High",IF(K892&gt;5000,"Medium","Low"))</f>
        <v>Low</v>
      </c>
      <c r="N892" s="4" t="s">
        <v>240</v>
      </c>
      <c r="O892" s="3">
        <v>2</v>
      </c>
      <c r="P892" s="3">
        <v>2024</v>
      </c>
      <c r="T892" s="4"/>
      <c r="X892"/>
      <c r="Y892" s="3"/>
      <c r="AA892"/>
    </row>
    <row r="893" spans="1:27" x14ac:dyDescent="0.3">
      <c r="A893" s="3">
        <v>1811</v>
      </c>
      <c r="B893" s="4" t="s">
        <v>10</v>
      </c>
      <c r="C893" s="4" t="str">
        <f>IF(D893="","Unknown",IF(D893&lt;20,"Teen",IF(D893&lt;40,"Adult","Senior")))</f>
        <v>Adult</v>
      </c>
      <c r="D893" s="3">
        <v>20</v>
      </c>
      <c r="E893" s="3" t="s">
        <v>251</v>
      </c>
      <c r="F893" s="4" t="s">
        <v>17</v>
      </c>
      <c r="G893" s="4" t="s">
        <v>12</v>
      </c>
      <c r="H893" t="s">
        <v>13</v>
      </c>
      <c r="I893" s="3">
        <v>1</v>
      </c>
      <c r="J893" s="5">
        <v>1000</v>
      </c>
      <c r="K893" s="7">
        <v>1000</v>
      </c>
      <c r="L893" s="6">
        <v>45347</v>
      </c>
      <c r="M893" s="8" t="str">
        <f>IF(K893&gt;10000,"High",IF(K893&gt;5000,"Medium","Low"))</f>
        <v>Low</v>
      </c>
      <c r="N893" s="4" t="s">
        <v>242</v>
      </c>
      <c r="O893" s="3">
        <v>2</v>
      </c>
      <c r="P893" s="3">
        <v>2024</v>
      </c>
      <c r="T893" s="4"/>
      <c r="X893"/>
      <c r="Y893" s="3"/>
      <c r="AA893"/>
    </row>
    <row r="894" spans="1:27" x14ac:dyDescent="0.3">
      <c r="A894" s="3">
        <v>1812</v>
      </c>
      <c r="B894" s="4" t="s">
        <v>73</v>
      </c>
      <c r="C894" s="4" t="str">
        <f>IF(D894="","Unknown",IF(D894&lt;20,"Teen",IF(D894&lt;40,"Adult","Senior")))</f>
        <v>Adult</v>
      </c>
      <c r="D894" s="3">
        <v>20</v>
      </c>
      <c r="E894" s="3" t="s">
        <v>251</v>
      </c>
      <c r="F894" s="4" t="s">
        <v>40</v>
      </c>
      <c r="G894" s="4" t="s">
        <v>44</v>
      </c>
      <c r="H894" t="s">
        <v>36</v>
      </c>
      <c r="I894" s="3">
        <v>2</v>
      </c>
      <c r="J894" s="5">
        <v>1000</v>
      </c>
      <c r="K894" s="7">
        <v>2000</v>
      </c>
      <c r="L894" s="6">
        <v>45335</v>
      </c>
      <c r="M894" s="8" t="str">
        <f>IF(K894&gt;10000,"High",IF(K894&gt;5000,"Medium","Low"))</f>
        <v>Low</v>
      </c>
      <c r="N894" s="4" t="s">
        <v>241</v>
      </c>
      <c r="O894" s="3">
        <v>2</v>
      </c>
      <c r="P894" s="3">
        <v>2024</v>
      </c>
      <c r="T894" s="4"/>
      <c r="X894"/>
      <c r="Y894" s="3"/>
      <c r="AA894"/>
    </row>
    <row r="895" spans="1:27" x14ac:dyDescent="0.3">
      <c r="A895" s="3">
        <v>1814</v>
      </c>
      <c r="B895" s="4" t="s">
        <v>16</v>
      </c>
      <c r="C895" s="4" t="str">
        <f>IF(D895="","Unknown",IF(D895&lt;20,"Teen",IF(D895&lt;40,"Adult","Senior")))</f>
        <v>Adult</v>
      </c>
      <c r="D895" s="3">
        <v>30</v>
      </c>
      <c r="E895" s="3" t="s">
        <v>250</v>
      </c>
      <c r="F895" s="4" t="s">
        <v>17</v>
      </c>
      <c r="G895" s="4" t="s">
        <v>23</v>
      </c>
      <c r="H895" t="s">
        <v>30</v>
      </c>
      <c r="I895" s="3">
        <v>2</v>
      </c>
      <c r="J895" s="5">
        <v>1000</v>
      </c>
      <c r="K895" s="7">
        <v>2000</v>
      </c>
      <c r="L895" s="6">
        <v>45347</v>
      </c>
      <c r="M895" s="8" t="str">
        <f>IF(K895&gt;10000,"High",IF(K895&gt;5000,"Medium","Low"))</f>
        <v>Low</v>
      </c>
      <c r="N895" s="4" t="s">
        <v>243</v>
      </c>
      <c r="O895" s="3">
        <v>2</v>
      </c>
      <c r="P895" s="3">
        <v>2024</v>
      </c>
      <c r="T895" s="4"/>
      <c r="X895"/>
      <c r="Y895" s="3"/>
      <c r="AA895"/>
    </row>
    <row r="896" spans="1:27" x14ac:dyDescent="0.3">
      <c r="A896" s="3">
        <v>1815</v>
      </c>
      <c r="B896" s="4" t="s">
        <v>10</v>
      </c>
      <c r="C896" s="4" t="str">
        <f>IF(D896="","Unknown",IF(D896&lt;20,"Teen",IF(D896&lt;40,"Adult","Senior")))</f>
        <v>Teen</v>
      </c>
      <c r="D896" s="3">
        <v>19</v>
      </c>
      <c r="E896" s="3" t="s">
        <v>251</v>
      </c>
      <c r="F896" s="4" t="s">
        <v>40</v>
      </c>
      <c r="G896" s="4" t="s">
        <v>18</v>
      </c>
      <c r="H896" t="s">
        <v>30</v>
      </c>
      <c r="I896" s="3">
        <v>5</v>
      </c>
      <c r="J896" s="5">
        <v>1000</v>
      </c>
      <c r="K896" s="7">
        <v>5000</v>
      </c>
      <c r="L896" s="6">
        <v>45323</v>
      </c>
      <c r="M896" s="8" t="str">
        <f>IF(K896&gt;10000,"High",IF(K896&gt;5000,"Medium","Low"))</f>
        <v>Low</v>
      </c>
      <c r="N896" s="4" t="s">
        <v>243</v>
      </c>
      <c r="O896" s="3">
        <v>2</v>
      </c>
      <c r="P896" s="3">
        <v>2024</v>
      </c>
      <c r="T896" s="4"/>
      <c r="X896"/>
      <c r="Y896" s="3"/>
      <c r="AA896"/>
    </row>
    <row r="897" spans="1:27" x14ac:dyDescent="0.3">
      <c r="A897" s="3">
        <v>1816</v>
      </c>
      <c r="B897" s="4" t="s">
        <v>59</v>
      </c>
      <c r="C897" s="4" t="str">
        <f>IF(D897="","Unknown",IF(D897&lt;20,"Teen",IF(D897&lt;40,"Adult","Senior")))</f>
        <v>Adult</v>
      </c>
      <c r="D897" s="3">
        <v>33</v>
      </c>
      <c r="E897" s="3" t="s">
        <v>249</v>
      </c>
      <c r="F897" s="4" t="s">
        <v>17</v>
      </c>
      <c r="G897" s="4" t="s">
        <v>51</v>
      </c>
      <c r="H897" t="s">
        <v>13</v>
      </c>
      <c r="I897" s="3">
        <v>4</v>
      </c>
      <c r="J897" s="5">
        <v>1000</v>
      </c>
      <c r="K897" s="7">
        <v>4000</v>
      </c>
      <c r="L897" s="6">
        <v>45351</v>
      </c>
      <c r="M897" s="8" t="str">
        <f>IF(K897&gt;10000,"High",IF(K897&gt;5000,"Medium","Low"))</f>
        <v>Low</v>
      </c>
      <c r="N897" s="4" t="s">
        <v>244</v>
      </c>
      <c r="O897" s="3">
        <v>2</v>
      </c>
      <c r="P897" s="3">
        <v>2024</v>
      </c>
      <c r="T897" s="4"/>
      <c r="X897"/>
      <c r="Y897" s="3"/>
      <c r="AA897"/>
    </row>
    <row r="898" spans="1:27" x14ac:dyDescent="0.3">
      <c r="A898" s="3">
        <v>1817</v>
      </c>
      <c r="B898" s="4" t="s">
        <v>32</v>
      </c>
      <c r="C898" s="4" t="str">
        <f>IF(D898="","Unknown",IF(D898&lt;20,"Teen",IF(D898&lt;40,"Adult","Senior")))</f>
        <v>Adult</v>
      </c>
      <c r="D898" s="3">
        <v>37</v>
      </c>
      <c r="E898" s="3" t="s">
        <v>249</v>
      </c>
      <c r="F898" s="4" t="s">
        <v>17</v>
      </c>
      <c r="G898" s="4" t="s">
        <v>41</v>
      </c>
      <c r="H898" t="s">
        <v>36</v>
      </c>
      <c r="I898" s="3">
        <v>5</v>
      </c>
      <c r="J898" s="5">
        <v>2673</v>
      </c>
      <c r="K898" s="7">
        <v>13365</v>
      </c>
      <c r="L898" s="6">
        <v>45346</v>
      </c>
      <c r="M898" s="8" t="str">
        <f>IF(K898&gt;10000,"High",IF(K898&gt;5000,"Medium","Low"))</f>
        <v>High</v>
      </c>
      <c r="N898" s="4" t="s">
        <v>241</v>
      </c>
      <c r="O898" s="3">
        <v>2</v>
      </c>
      <c r="P898" s="3">
        <v>2024</v>
      </c>
      <c r="T898" s="4"/>
      <c r="X898"/>
      <c r="Y898" s="3"/>
      <c r="AA898"/>
    </row>
    <row r="899" spans="1:27" x14ac:dyDescent="0.3">
      <c r="A899" s="3">
        <v>1820</v>
      </c>
      <c r="B899" s="4" t="s">
        <v>68</v>
      </c>
      <c r="C899" s="4" t="str">
        <f>IF(D899="","Unknown",IF(D899&lt;20,"Teen",IF(D899&lt;40,"Adult","Senior")))</f>
        <v>Adult</v>
      </c>
      <c r="D899" s="3">
        <v>37</v>
      </c>
      <c r="E899" s="3" t="s">
        <v>249</v>
      </c>
      <c r="F899" s="4" t="s">
        <v>40</v>
      </c>
      <c r="G899" s="4" t="s">
        <v>51</v>
      </c>
      <c r="H899" t="s">
        <v>13</v>
      </c>
      <c r="I899" s="3">
        <v>2</v>
      </c>
      <c r="J899" s="5">
        <v>1000</v>
      </c>
      <c r="K899" s="7">
        <v>2000</v>
      </c>
      <c r="L899" s="6">
        <v>45333</v>
      </c>
      <c r="M899" s="8" t="str">
        <f>IF(K899&gt;10000,"High",IF(K899&gt;5000,"Medium","Low"))</f>
        <v>Low</v>
      </c>
      <c r="N899" s="4" t="s">
        <v>244</v>
      </c>
      <c r="O899" s="3">
        <v>2</v>
      </c>
      <c r="P899" s="3">
        <v>2024</v>
      </c>
      <c r="T899" s="4"/>
      <c r="X899"/>
      <c r="Y899" s="3"/>
      <c r="AA899"/>
    </row>
    <row r="900" spans="1:27" x14ac:dyDescent="0.3">
      <c r="A900" s="3">
        <v>1821</v>
      </c>
      <c r="B900" s="4" t="s">
        <v>25</v>
      </c>
      <c r="C900" s="4" t="str">
        <f>IF(D900="","Unknown",IF(D900&lt;20,"Teen",IF(D900&lt;40,"Adult","Senior")))</f>
        <v>Senior</v>
      </c>
      <c r="D900" s="3">
        <v>50</v>
      </c>
      <c r="E900" s="3" t="s">
        <v>249</v>
      </c>
      <c r="F900" s="4" t="s">
        <v>17</v>
      </c>
      <c r="G900" s="4" t="s">
        <v>51</v>
      </c>
      <c r="H900" t="s">
        <v>13</v>
      </c>
      <c r="I900" s="3">
        <v>2</v>
      </c>
      <c r="J900" s="5">
        <v>1000</v>
      </c>
      <c r="K900" s="7">
        <v>2000</v>
      </c>
      <c r="L900" s="6">
        <v>45338</v>
      </c>
      <c r="M900" s="8" t="str">
        <f>IF(K900&gt;10000,"High",IF(K900&gt;5000,"Medium","Low"))</f>
        <v>Low</v>
      </c>
      <c r="N900" s="4" t="s">
        <v>241</v>
      </c>
      <c r="O900" s="3">
        <v>2</v>
      </c>
      <c r="P900" s="3">
        <v>2024</v>
      </c>
      <c r="T900" s="4"/>
      <c r="X900"/>
      <c r="Y900" s="3"/>
      <c r="AA900"/>
    </row>
    <row r="901" spans="1:27" x14ac:dyDescent="0.3">
      <c r="A901" s="3">
        <v>1822</v>
      </c>
      <c r="B901" s="4" t="s">
        <v>57</v>
      </c>
      <c r="C901" s="4" t="str">
        <f>IF(D901="","Unknown",IF(D901&lt;20,"Teen",IF(D901&lt;40,"Adult","Senior")))</f>
        <v>Adult</v>
      </c>
      <c r="D901" s="3">
        <v>34</v>
      </c>
      <c r="E901" s="3" t="s">
        <v>249</v>
      </c>
      <c r="F901" s="4" t="s">
        <v>17</v>
      </c>
      <c r="G901" s="4" t="s">
        <v>44</v>
      </c>
      <c r="H901" t="s">
        <v>36</v>
      </c>
      <c r="I901" s="3">
        <v>2</v>
      </c>
      <c r="J901" s="5">
        <v>1000</v>
      </c>
      <c r="K901" s="7">
        <v>2000</v>
      </c>
      <c r="L901" s="6">
        <v>45348</v>
      </c>
      <c r="M901" s="8" t="str">
        <f>IF(K901&gt;10000,"High",IF(K901&gt;5000,"Medium","Low"))</f>
        <v>Low</v>
      </c>
      <c r="N901" s="4" t="s">
        <v>242</v>
      </c>
      <c r="O901" s="3">
        <v>2</v>
      </c>
      <c r="P901" s="3">
        <v>2024</v>
      </c>
      <c r="T901" s="4"/>
      <c r="X901"/>
      <c r="Y901" s="3"/>
      <c r="AA901"/>
    </row>
    <row r="902" spans="1:27" x14ac:dyDescent="0.3">
      <c r="A902" s="3">
        <v>1825</v>
      </c>
      <c r="B902" s="4" t="s">
        <v>32</v>
      </c>
      <c r="C902" s="4" t="str">
        <f>IF(D902="","Unknown",IF(D902&lt;20,"Teen",IF(D902&lt;40,"Adult","Senior")))</f>
        <v>Senior</v>
      </c>
      <c r="D902" s="3">
        <v>42</v>
      </c>
      <c r="E902" s="3" t="s">
        <v>249</v>
      </c>
      <c r="F902" s="4" t="s">
        <v>40</v>
      </c>
      <c r="G902" s="4" t="s">
        <v>27</v>
      </c>
      <c r="H902" t="s">
        <v>13</v>
      </c>
      <c r="I902" s="3">
        <v>2</v>
      </c>
      <c r="J902" s="5">
        <v>1000</v>
      </c>
      <c r="K902" s="7">
        <v>2000</v>
      </c>
      <c r="L902" s="6">
        <v>45351</v>
      </c>
      <c r="M902" s="8" t="str">
        <f>IF(K902&gt;10000,"High",IF(K902&gt;5000,"Medium","Low"))</f>
        <v>Low</v>
      </c>
      <c r="N902" s="4" t="s">
        <v>242</v>
      </c>
      <c r="O902" s="3">
        <v>2</v>
      </c>
      <c r="P902" s="3">
        <v>2024</v>
      </c>
      <c r="T902" s="4"/>
      <c r="X902"/>
      <c r="Y902" s="3"/>
      <c r="AA902"/>
    </row>
    <row r="903" spans="1:27" x14ac:dyDescent="0.3">
      <c r="A903" s="3">
        <v>1826</v>
      </c>
      <c r="B903" s="4" t="s">
        <v>59</v>
      </c>
      <c r="C903" s="4" t="str">
        <f>IF(D903="","Unknown",IF(D903&lt;20,"Teen",IF(D903&lt;40,"Adult","Senior")))</f>
        <v>Adult</v>
      </c>
      <c r="D903" s="3">
        <v>29</v>
      </c>
      <c r="E903" s="3" t="s">
        <v>250</v>
      </c>
      <c r="F903" s="4" t="s">
        <v>17</v>
      </c>
      <c r="G903" s="4" t="s">
        <v>41</v>
      </c>
      <c r="H903" t="s">
        <v>36</v>
      </c>
      <c r="I903" s="3">
        <v>2</v>
      </c>
      <c r="J903" s="5">
        <v>1000</v>
      </c>
      <c r="K903" s="7">
        <v>2000</v>
      </c>
      <c r="L903" s="6">
        <v>45342</v>
      </c>
      <c r="M903" s="8" t="str">
        <f>IF(K903&gt;10000,"High",IF(K903&gt;5000,"Medium","Low"))</f>
        <v>Low</v>
      </c>
      <c r="N903" s="4" t="s">
        <v>240</v>
      </c>
      <c r="O903" s="3">
        <v>2</v>
      </c>
      <c r="P903" s="3">
        <v>2024</v>
      </c>
      <c r="T903" s="4"/>
      <c r="X903"/>
      <c r="Y903" s="3"/>
      <c r="AA903"/>
    </row>
    <row r="904" spans="1:27" x14ac:dyDescent="0.3">
      <c r="A904" s="3">
        <v>1827</v>
      </c>
      <c r="B904" s="4" t="s">
        <v>78</v>
      </c>
      <c r="C904" s="4" t="str">
        <f>IF(D904="","Unknown",IF(D904&lt;20,"Teen",IF(D904&lt;40,"Adult","Senior")))</f>
        <v>Adult</v>
      </c>
      <c r="D904" s="3">
        <v>34</v>
      </c>
      <c r="E904" s="3" t="s">
        <v>249</v>
      </c>
      <c r="F904" s="4" t="s">
        <v>17</v>
      </c>
      <c r="G904" s="4" t="s">
        <v>55</v>
      </c>
      <c r="H904" t="s">
        <v>36</v>
      </c>
      <c r="I904" s="3">
        <v>2</v>
      </c>
      <c r="J904" s="5">
        <v>1000</v>
      </c>
      <c r="K904" s="7">
        <v>2000</v>
      </c>
      <c r="L904" s="6">
        <v>45324</v>
      </c>
      <c r="M904" s="8" t="str">
        <f>IF(K904&gt;10000,"High",IF(K904&gt;5000,"Medium","Low"))</f>
        <v>Low</v>
      </c>
      <c r="N904" s="4" t="s">
        <v>243</v>
      </c>
      <c r="O904" s="3">
        <v>2</v>
      </c>
      <c r="P904" s="3">
        <v>2024</v>
      </c>
      <c r="T904" s="4"/>
      <c r="X904"/>
      <c r="Y904" s="3"/>
      <c r="AA904"/>
    </row>
    <row r="905" spans="1:27" x14ac:dyDescent="0.3">
      <c r="A905" s="3">
        <v>1828</v>
      </c>
      <c r="B905" s="4" t="s">
        <v>54</v>
      </c>
      <c r="C905" s="4" t="str">
        <f>IF(D905="","Unknown",IF(D905&lt;20,"Teen",IF(D905&lt;40,"Adult","Senior")))</f>
        <v>Adult</v>
      </c>
      <c r="D905" s="3">
        <v>30</v>
      </c>
      <c r="E905" s="3" t="s">
        <v>250</v>
      </c>
      <c r="F905" s="4" t="s">
        <v>40</v>
      </c>
      <c r="G905" s="4" t="s">
        <v>51</v>
      </c>
      <c r="H905" t="s">
        <v>13</v>
      </c>
      <c r="I905" s="3">
        <v>2</v>
      </c>
      <c r="J905" s="5">
        <v>6820</v>
      </c>
      <c r="K905" s="7">
        <v>13640</v>
      </c>
      <c r="L905" s="6">
        <v>45328</v>
      </c>
      <c r="M905" s="8" t="str">
        <f>IF(K905&gt;10000,"High",IF(K905&gt;5000,"Medium","Low"))</f>
        <v>High</v>
      </c>
      <c r="N905" s="4" t="s">
        <v>242</v>
      </c>
      <c r="O905" s="3">
        <v>2</v>
      </c>
      <c r="P905" s="3">
        <v>2024</v>
      </c>
      <c r="T905" s="4"/>
      <c r="X905"/>
      <c r="Y905" s="3"/>
      <c r="AA905"/>
    </row>
    <row r="906" spans="1:27" x14ac:dyDescent="0.3">
      <c r="A906" s="3">
        <v>1830</v>
      </c>
      <c r="B906" s="4" t="s">
        <v>46</v>
      </c>
      <c r="C906" s="4" t="str">
        <f>IF(D906="","Unknown",IF(D906&lt;20,"Teen",IF(D906&lt;40,"Adult","Senior")))</f>
        <v>Senior</v>
      </c>
      <c r="D906" s="3">
        <v>47</v>
      </c>
      <c r="E906" s="3" t="s">
        <v>249</v>
      </c>
      <c r="F906" s="4" t="s">
        <v>40</v>
      </c>
      <c r="G906" s="4" t="s">
        <v>23</v>
      </c>
      <c r="H906" t="s">
        <v>30</v>
      </c>
      <c r="I906" s="3">
        <v>2</v>
      </c>
      <c r="J906" s="5">
        <v>1000</v>
      </c>
      <c r="K906" s="7">
        <v>2000</v>
      </c>
      <c r="L906" s="6">
        <v>45349</v>
      </c>
      <c r="M906" s="8" t="str">
        <f>IF(K906&gt;10000,"High",IF(K906&gt;5000,"Medium","Low"))</f>
        <v>Low</v>
      </c>
      <c r="N906" s="4" t="s">
        <v>241</v>
      </c>
      <c r="O906" s="3">
        <v>2</v>
      </c>
      <c r="P906" s="3">
        <v>2024</v>
      </c>
      <c r="T906" s="4"/>
      <c r="X906"/>
      <c r="Y906" s="3"/>
      <c r="AA906"/>
    </row>
    <row r="907" spans="1:27" x14ac:dyDescent="0.3">
      <c r="A907" s="3">
        <v>1832</v>
      </c>
      <c r="B907" s="4" t="s">
        <v>54</v>
      </c>
      <c r="C907" s="4" t="str">
        <f>IF(D907="","Unknown",IF(D907&lt;20,"Teen",IF(D907&lt;40,"Adult","Senior")))</f>
        <v>Adult</v>
      </c>
      <c r="D907" s="3">
        <v>30</v>
      </c>
      <c r="E907" s="3" t="s">
        <v>250</v>
      </c>
      <c r="F907" s="4" t="s">
        <v>40</v>
      </c>
      <c r="G907" s="4" t="s">
        <v>23</v>
      </c>
      <c r="H907" t="s">
        <v>30</v>
      </c>
      <c r="I907" s="3">
        <v>2</v>
      </c>
      <c r="J907" s="5">
        <v>43953</v>
      </c>
      <c r="K907" s="7">
        <v>87906</v>
      </c>
      <c r="L907" s="6">
        <v>45339</v>
      </c>
      <c r="M907" s="8" t="str">
        <f>IF(K907&gt;10000,"High",IF(K907&gt;5000,"Medium","Low"))</f>
        <v>High</v>
      </c>
      <c r="N907" s="4" t="s">
        <v>243</v>
      </c>
      <c r="O907" s="3">
        <v>2</v>
      </c>
      <c r="P907" s="3">
        <v>2024</v>
      </c>
      <c r="T907" s="4"/>
      <c r="X907"/>
      <c r="Y907" s="3"/>
      <c r="AA907"/>
    </row>
    <row r="908" spans="1:27" x14ac:dyDescent="0.3">
      <c r="A908" s="3">
        <v>1835</v>
      </c>
      <c r="B908" s="4" t="s">
        <v>68</v>
      </c>
      <c r="C908" s="4" t="str">
        <f>IF(D908="","Unknown",IF(D908&lt;20,"Teen",IF(D908&lt;40,"Adult","Senior")))</f>
        <v>Adult</v>
      </c>
      <c r="D908" s="3">
        <v>37</v>
      </c>
      <c r="E908" s="3" t="s">
        <v>249</v>
      </c>
      <c r="F908" s="4" t="s">
        <v>40</v>
      </c>
      <c r="G908" s="4" t="s">
        <v>51</v>
      </c>
      <c r="H908" t="s">
        <v>13</v>
      </c>
      <c r="I908" s="3">
        <v>2</v>
      </c>
      <c r="J908" s="5">
        <v>1000</v>
      </c>
      <c r="K908" s="7">
        <v>2000</v>
      </c>
      <c r="L908" s="6">
        <v>45336</v>
      </c>
      <c r="M908" s="8" t="str">
        <f>IF(K908&gt;10000,"High",IF(K908&gt;5000,"Medium","Low"))</f>
        <v>Low</v>
      </c>
      <c r="N908" s="4" t="s">
        <v>244</v>
      </c>
      <c r="O908" s="3">
        <v>2</v>
      </c>
      <c r="P908" s="3">
        <v>2024</v>
      </c>
      <c r="T908" s="4"/>
      <c r="X908"/>
      <c r="Y908" s="3"/>
      <c r="AA908"/>
    </row>
    <row r="909" spans="1:27" x14ac:dyDescent="0.3">
      <c r="A909" s="3">
        <v>1836</v>
      </c>
      <c r="B909" s="4" t="s">
        <v>57</v>
      </c>
      <c r="C909" s="4" t="str">
        <f>IF(D909="","Unknown",IF(D909&lt;20,"Teen",IF(D909&lt;40,"Adult","Senior")))</f>
        <v>Adult</v>
      </c>
      <c r="D909" s="3">
        <v>30</v>
      </c>
      <c r="E909" s="3" t="s">
        <v>250</v>
      </c>
      <c r="F909" s="4" t="s">
        <v>17</v>
      </c>
      <c r="G909" s="4" t="s">
        <v>18</v>
      </c>
      <c r="H909" t="s">
        <v>30</v>
      </c>
      <c r="I909" s="3">
        <v>1</v>
      </c>
      <c r="J909" s="5">
        <v>1000</v>
      </c>
      <c r="K909" s="7">
        <v>1000</v>
      </c>
      <c r="L909" s="6">
        <v>45332</v>
      </c>
      <c r="M909" s="8" t="str">
        <f>IF(K909&gt;10000,"High",IF(K909&gt;5000,"Medium","Low"))</f>
        <v>Low</v>
      </c>
      <c r="N909" s="4" t="s">
        <v>241</v>
      </c>
      <c r="O909" s="3">
        <v>2</v>
      </c>
      <c r="P909" s="3">
        <v>2024</v>
      </c>
      <c r="T909" s="4"/>
      <c r="X909"/>
      <c r="Y909" s="3"/>
      <c r="AA909"/>
    </row>
    <row r="910" spans="1:27" x14ac:dyDescent="0.3">
      <c r="A910" s="3">
        <v>1839</v>
      </c>
      <c r="B910" s="4" t="s">
        <v>46</v>
      </c>
      <c r="C910" s="4" t="str">
        <f>IF(D910="","Unknown",IF(D910&lt;20,"Teen",IF(D910&lt;40,"Adult","Senior")))</f>
        <v>Senior</v>
      </c>
      <c r="D910" s="3">
        <v>50</v>
      </c>
      <c r="E910" s="3" t="s">
        <v>249</v>
      </c>
      <c r="F910" s="4" t="s">
        <v>40</v>
      </c>
      <c r="G910" s="4" t="s">
        <v>41</v>
      </c>
      <c r="H910" t="s">
        <v>36</v>
      </c>
      <c r="I910" s="3">
        <v>5</v>
      </c>
      <c r="J910" s="5">
        <v>1000</v>
      </c>
      <c r="K910" s="7">
        <v>5000</v>
      </c>
      <c r="L910" s="6">
        <v>45327</v>
      </c>
      <c r="M910" s="8" t="str">
        <f>IF(K910&gt;10000,"High",IF(K910&gt;5000,"Medium","Low"))</f>
        <v>Low</v>
      </c>
      <c r="N910" s="4" t="s">
        <v>243</v>
      </c>
      <c r="O910" s="3">
        <v>2</v>
      </c>
      <c r="P910" s="3">
        <v>2024</v>
      </c>
      <c r="T910" s="4"/>
      <c r="X910"/>
      <c r="Y910" s="3"/>
      <c r="AA910"/>
    </row>
    <row r="911" spans="1:27" x14ac:dyDescent="0.3">
      <c r="A911" s="3">
        <v>1840</v>
      </c>
      <c r="B911" s="4" t="s">
        <v>73</v>
      </c>
      <c r="C911" s="4" t="str">
        <f>IF(D911="","Unknown",IF(D911&lt;20,"Teen",IF(D911&lt;40,"Adult","Senior")))</f>
        <v>Adult</v>
      </c>
      <c r="D911" s="3">
        <v>30</v>
      </c>
      <c r="E911" s="3" t="s">
        <v>250</v>
      </c>
      <c r="F911" s="4" t="s">
        <v>40</v>
      </c>
      <c r="G911" s="4" t="s">
        <v>41</v>
      </c>
      <c r="H911" t="s">
        <v>36</v>
      </c>
      <c r="I911" s="3">
        <v>2</v>
      </c>
      <c r="J911" s="5">
        <v>1000</v>
      </c>
      <c r="K911" s="7">
        <v>2000</v>
      </c>
      <c r="L911" s="6">
        <v>45324</v>
      </c>
      <c r="M911" s="8" t="str">
        <f>IF(K911&gt;10000,"High",IF(K911&gt;5000,"Medium","Low"))</f>
        <v>Low</v>
      </c>
      <c r="N911" s="4" t="s">
        <v>244</v>
      </c>
      <c r="O911" s="3">
        <v>2</v>
      </c>
      <c r="P911" s="3">
        <v>2024</v>
      </c>
      <c r="T911" s="4"/>
      <c r="X911"/>
      <c r="Y911" s="3"/>
      <c r="AA911"/>
    </row>
    <row r="912" spans="1:27" x14ac:dyDescent="0.3">
      <c r="A912" s="3">
        <v>1842</v>
      </c>
      <c r="B912" s="4" t="s">
        <v>21</v>
      </c>
      <c r="C912" s="4" t="str">
        <f>IF(D912="","Unknown",IF(D912&lt;20,"Teen",IF(D912&lt;40,"Adult","Senior")))</f>
        <v>Adult</v>
      </c>
      <c r="D912" s="3">
        <v>20</v>
      </c>
      <c r="E912" s="3" t="s">
        <v>251</v>
      </c>
      <c r="F912" s="4" t="s">
        <v>40</v>
      </c>
      <c r="G912" s="4" t="s">
        <v>51</v>
      </c>
      <c r="H912" t="s">
        <v>13</v>
      </c>
      <c r="I912" s="3">
        <v>2</v>
      </c>
      <c r="J912" s="5">
        <v>1000</v>
      </c>
      <c r="K912" s="7">
        <v>2000</v>
      </c>
      <c r="L912" s="6">
        <v>45351</v>
      </c>
      <c r="M912" s="8" t="str">
        <f>IF(K912&gt;10000,"High",IF(K912&gt;5000,"Medium","Low"))</f>
        <v>Low</v>
      </c>
      <c r="N912" s="4" t="s">
        <v>243</v>
      </c>
      <c r="O912" s="3">
        <v>2</v>
      </c>
      <c r="P912" s="3">
        <v>2024</v>
      </c>
      <c r="T912" s="4"/>
      <c r="X912"/>
      <c r="Y912" s="3"/>
      <c r="AA912"/>
    </row>
    <row r="913" spans="1:27" x14ac:dyDescent="0.3">
      <c r="A913" s="3">
        <v>1848</v>
      </c>
      <c r="B913" s="4" t="s">
        <v>25</v>
      </c>
      <c r="C913" s="4" t="str">
        <f>IF(D913="","Unknown",IF(D913&lt;20,"Teen",IF(D913&lt;40,"Adult","Senior")))</f>
        <v>Adult</v>
      </c>
      <c r="D913" s="3">
        <v>30</v>
      </c>
      <c r="E913" s="3" t="s">
        <v>250</v>
      </c>
      <c r="F913" s="4" t="s">
        <v>40</v>
      </c>
      <c r="G913" s="4" t="s">
        <v>41</v>
      </c>
      <c r="H913" t="s">
        <v>36</v>
      </c>
      <c r="I913" s="3">
        <v>2</v>
      </c>
      <c r="J913" s="5">
        <v>16126</v>
      </c>
      <c r="K913" s="7">
        <v>32252</v>
      </c>
      <c r="L913" s="6">
        <v>45341</v>
      </c>
      <c r="M913" s="8" t="str">
        <f>IF(K913&gt;10000,"High",IF(K913&gt;5000,"Medium","Low"))</f>
        <v>High</v>
      </c>
      <c r="N913" s="4" t="s">
        <v>241</v>
      </c>
      <c r="O913" s="3">
        <v>2</v>
      </c>
      <c r="P913" s="3">
        <v>2024</v>
      </c>
      <c r="T913" s="4"/>
      <c r="X913"/>
      <c r="Y913" s="3"/>
      <c r="AA913"/>
    </row>
    <row r="914" spans="1:27" x14ac:dyDescent="0.3">
      <c r="A914" s="3">
        <v>1849</v>
      </c>
      <c r="B914" s="4" t="s">
        <v>78</v>
      </c>
      <c r="C914" s="4" t="str">
        <f>IF(D914="","Unknown",IF(D914&lt;20,"Teen",IF(D914&lt;40,"Adult","Senior")))</f>
        <v>Adult</v>
      </c>
      <c r="D914" s="3">
        <v>36</v>
      </c>
      <c r="E914" s="3" t="s">
        <v>249</v>
      </c>
      <c r="F914" s="4" t="s">
        <v>40</v>
      </c>
      <c r="G914" s="4" t="s">
        <v>23</v>
      </c>
      <c r="H914" t="s">
        <v>30</v>
      </c>
      <c r="I914" s="3">
        <v>4</v>
      </c>
      <c r="J914" s="5">
        <v>1000</v>
      </c>
      <c r="K914" s="7">
        <v>4000</v>
      </c>
      <c r="L914" s="6">
        <v>45349</v>
      </c>
      <c r="M914" s="8" t="str">
        <f>IF(K914&gt;10000,"High",IF(K914&gt;5000,"Medium","Low"))</f>
        <v>Low</v>
      </c>
      <c r="N914" s="4" t="s">
        <v>242</v>
      </c>
      <c r="O914" s="3">
        <v>2</v>
      </c>
      <c r="P914" s="3">
        <v>2024</v>
      </c>
      <c r="T914" s="4"/>
      <c r="X914"/>
      <c r="Y914" s="3"/>
      <c r="AA914"/>
    </row>
    <row r="915" spans="1:27" x14ac:dyDescent="0.3">
      <c r="A915" s="3">
        <v>1855</v>
      </c>
      <c r="B915" s="4" t="s">
        <v>69</v>
      </c>
      <c r="C915" s="4" t="str">
        <f>IF(D915="","Unknown",IF(D915&lt;20,"Teen",IF(D915&lt;40,"Adult","Senior")))</f>
        <v>Adult</v>
      </c>
      <c r="D915" s="3">
        <v>30</v>
      </c>
      <c r="E915" s="3" t="s">
        <v>250</v>
      </c>
      <c r="F915" s="4" t="s">
        <v>17</v>
      </c>
      <c r="G915" s="4" t="s">
        <v>41</v>
      </c>
      <c r="H915" t="s">
        <v>36</v>
      </c>
      <c r="I915" s="3">
        <v>2</v>
      </c>
      <c r="J915" s="5">
        <v>1000</v>
      </c>
      <c r="K915" s="7">
        <v>2000</v>
      </c>
      <c r="L915" s="6">
        <v>45336</v>
      </c>
      <c r="M915" s="8" t="str">
        <f>IF(K915&gt;10000,"High",IF(K915&gt;5000,"Medium","Low"))</f>
        <v>Low</v>
      </c>
      <c r="N915" s="4" t="s">
        <v>241</v>
      </c>
      <c r="O915" s="3">
        <v>2</v>
      </c>
      <c r="P915" s="3">
        <v>2024</v>
      </c>
      <c r="T915" s="4"/>
      <c r="X915"/>
      <c r="Y915" s="3"/>
      <c r="AA915"/>
    </row>
    <row r="916" spans="1:27" x14ac:dyDescent="0.3">
      <c r="A916" s="3">
        <v>1856</v>
      </c>
      <c r="B916" s="4" t="s">
        <v>46</v>
      </c>
      <c r="C916" s="4" t="str">
        <f>IF(D916="","Unknown",IF(D916&lt;20,"Teen",IF(D916&lt;40,"Adult","Senior")))</f>
        <v>Adult</v>
      </c>
      <c r="D916" s="3">
        <v>29</v>
      </c>
      <c r="E916" s="3" t="s">
        <v>250</v>
      </c>
      <c r="F916" s="4" t="s">
        <v>40</v>
      </c>
      <c r="G916" s="4" t="s">
        <v>41</v>
      </c>
      <c r="H916" t="s">
        <v>36</v>
      </c>
      <c r="I916" s="3">
        <v>4</v>
      </c>
      <c r="J916" s="5">
        <v>39084</v>
      </c>
      <c r="K916" s="7">
        <v>156336</v>
      </c>
      <c r="L916" s="6">
        <v>45338</v>
      </c>
      <c r="M916" s="8" t="str">
        <f>IF(K916&gt;10000,"High",IF(K916&gt;5000,"Medium","Low"))</f>
        <v>High</v>
      </c>
      <c r="N916" s="4" t="s">
        <v>240</v>
      </c>
      <c r="O916" s="3">
        <v>2</v>
      </c>
      <c r="P916" s="3">
        <v>2024</v>
      </c>
      <c r="T916" s="4"/>
      <c r="X916"/>
      <c r="Y916" s="3"/>
      <c r="AA916"/>
    </row>
    <row r="917" spans="1:27" x14ac:dyDescent="0.3">
      <c r="A917" s="3">
        <v>1858</v>
      </c>
      <c r="B917" s="4" t="s">
        <v>16</v>
      </c>
      <c r="C917" s="4" t="str">
        <f>IF(D917="","Unknown",IF(D917&lt;20,"Teen",IF(D917&lt;40,"Adult","Senior")))</f>
        <v>Adult</v>
      </c>
      <c r="D917" s="3">
        <v>30</v>
      </c>
      <c r="E917" s="3" t="s">
        <v>250</v>
      </c>
      <c r="F917" s="4" t="s">
        <v>17</v>
      </c>
      <c r="G917" s="4" t="s">
        <v>27</v>
      </c>
      <c r="H917" t="s">
        <v>13</v>
      </c>
      <c r="I917" s="3">
        <v>2</v>
      </c>
      <c r="J917" s="5">
        <v>1000</v>
      </c>
      <c r="K917" s="7">
        <v>2000</v>
      </c>
      <c r="L917" s="6">
        <v>45340</v>
      </c>
      <c r="M917" s="8" t="str">
        <f>IF(K917&gt;10000,"High",IF(K917&gt;5000,"Medium","Low"))</f>
        <v>Low</v>
      </c>
      <c r="N917" s="4" t="s">
        <v>240</v>
      </c>
      <c r="O917" s="3">
        <v>2</v>
      </c>
      <c r="P917" s="3">
        <v>2024</v>
      </c>
      <c r="T917" s="4"/>
      <c r="X917"/>
      <c r="Y917" s="3"/>
      <c r="AA917"/>
    </row>
    <row r="918" spans="1:27" x14ac:dyDescent="0.3">
      <c r="A918" s="3">
        <v>1859</v>
      </c>
      <c r="B918" s="4" t="s">
        <v>78</v>
      </c>
      <c r="C918" s="4" t="str">
        <f>IF(D918="","Unknown",IF(D918&lt;20,"Teen",IF(D918&lt;40,"Adult","Senior")))</f>
        <v>Adult</v>
      </c>
      <c r="D918" s="3">
        <v>30</v>
      </c>
      <c r="E918" s="3" t="s">
        <v>250</v>
      </c>
      <c r="F918" s="4" t="s">
        <v>40</v>
      </c>
      <c r="G918" s="4" t="s">
        <v>12</v>
      </c>
      <c r="H918" t="s">
        <v>13</v>
      </c>
      <c r="I918" s="3">
        <v>4</v>
      </c>
      <c r="J918" s="5">
        <v>1000</v>
      </c>
      <c r="K918" s="7">
        <v>4000</v>
      </c>
      <c r="L918" s="6">
        <v>45344</v>
      </c>
      <c r="M918" s="8" t="str">
        <f>IF(K918&gt;10000,"High",IF(K918&gt;5000,"Medium","Low"))</f>
        <v>Low</v>
      </c>
      <c r="N918" s="4" t="s">
        <v>243</v>
      </c>
      <c r="O918" s="3">
        <v>2</v>
      </c>
      <c r="P918" s="3">
        <v>2024</v>
      </c>
      <c r="T918" s="4"/>
      <c r="X918"/>
      <c r="Y918" s="3"/>
      <c r="AA918"/>
    </row>
    <row r="919" spans="1:27" x14ac:dyDescent="0.3">
      <c r="A919" s="3">
        <v>1860</v>
      </c>
      <c r="B919" s="4" t="s">
        <v>73</v>
      </c>
      <c r="C919" s="4" t="str">
        <f>IF(D919="","Unknown",IF(D919&lt;20,"Teen",IF(D919&lt;40,"Adult","Senior")))</f>
        <v>Adult</v>
      </c>
      <c r="D919" s="3">
        <v>25</v>
      </c>
      <c r="E919" s="3" t="s">
        <v>250</v>
      </c>
      <c r="F919" s="4" t="s">
        <v>40</v>
      </c>
      <c r="G919" s="4" t="s">
        <v>55</v>
      </c>
      <c r="H919" t="s">
        <v>36</v>
      </c>
      <c r="I919" s="3">
        <v>2</v>
      </c>
      <c r="J919" s="5">
        <v>1000</v>
      </c>
      <c r="K919" s="7">
        <v>2000</v>
      </c>
      <c r="L919" s="6">
        <v>45336</v>
      </c>
      <c r="M919" s="8" t="str">
        <f>IF(K919&gt;10000,"High",IF(K919&gt;5000,"Medium","Low"))</f>
        <v>Low</v>
      </c>
      <c r="N919" s="4" t="s">
        <v>242</v>
      </c>
      <c r="O919" s="3">
        <v>2</v>
      </c>
      <c r="P919" s="3">
        <v>2024</v>
      </c>
      <c r="T919" s="4"/>
      <c r="X919"/>
      <c r="Y919" s="3"/>
      <c r="AA919"/>
    </row>
    <row r="920" spans="1:27" x14ac:dyDescent="0.3">
      <c r="A920" s="3">
        <v>1862</v>
      </c>
      <c r="B920" s="4" t="s">
        <v>38</v>
      </c>
      <c r="C920" s="4" t="str">
        <f>IF(D920="","Unknown",IF(D920&lt;20,"Teen",IF(D920&lt;40,"Adult","Senior")))</f>
        <v>Adult</v>
      </c>
      <c r="D920" s="3">
        <v>30</v>
      </c>
      <c r="E920" s="3" t="s">
        <v>250</v>
      </c>
      <c r="F920" s="4" t="s">
        <v>40</v>
      </c>
      <c r="G920" s="4" t="s">
        <v>27</v>
      </c>
      <c r="H920" t="s">
        <v>13</v>
      </c>
      <c r="I920" s="3">
        <v>5</v>
      </c>
      <c r="J920" s="5">
        <v>1000</v>
      </c>
      <c r="K920" s="7">
        <v>5000</v>
      </c>
      <c r="L920" s="6">
        <v>45340</v>
      </c>
      <c r="M920" s="8" t="str">
        <f>IF(K920&gt;10000,"High",IF(K920&gt;5000,"Medium","Low"))</f>
        <v>Low</v>
      </c>
      <c r="N920" s="4" t="s">
        <v>241</v>
      </c>
      <c r="O920" s="3">
        <v>2</v>
      </c>
      <c r="P920" s="3">
        <v>2024</v>
      </c>
      <c r="T920" s="4"/>
      <c r="X920"/>
      <c r="Y920" s="3"/>
      <c r="AA920"/>
    </row>
    <row r="921" spans="1:27" x14ac:dyDescent="0.3">
      <c r="A921" s="3">
        <v>1863</v>
      </c>
      <c r="B921" s="4" t="s">
        <v>68</v>
      </c>
      <c r="C921" s="4" t="str">
        <f>IF(D921="","Unknown",IF(D921&lt;20,"Teen",IF(D921&lt;40,"Adult","Senior")))</f>
        <v>Adult</v>
      </c>
      <c r="D921" s="3">
        <v>30</v>
      </c>
      <c r="E921" s="3" t="s">
        <v>250</v>
      </c>
      <c r="F921" s="4" t="s">
        <v>40</v>
      </c>
      <c r="G921" s="4" t="s">
        <v>27</v>
      </c>
      <c r="H921" t="s">
        <v>13</v>
      </c>
      <c r="I921" s="3">
        <v>2</v>
      </c>
      <c r="J921" s="5">
        <v>1000</v>
      </c>
      <c r="K921" s="7">
        <v>2000</v>
      </c>
      <c r="L921" s="6">
        <v>45338</v>
      </c>
      <c r="M921" s="8" t="str">
        <f>IF(K921&gt;10000,"High",IF(K921&gt;5000,"Medium","Low"))</f>
        <v>Low</v>
      </c>
      <c r="N921" s="4" t="s">
        <v>242</v>
      </c>
      <c r="O921" s="3">
        <v>2</v>
      </c>
      <c r="P921" s="3">
        <v>2024</v>
      </c>
      <c r="T921" s="4"/>
      <c r="X921"/>
      <c r="Y921" s="3"/>
      <c r="AA921"/>
    </row>
    <row r="922" spans="1:27" x14ac:dyDescent="0.3">
      <c r="A922" s="3">
        <v>1866</v>
      </c>
      <c r="B922" s="4" t="s">
        <v>35</v>
      </c>
      <c r="C922" s="4" t="str">
        <f>IF(D922="","Unknown",IF(D922&lt;20,"Teen",IF(D922&lt;40,"Adult","Senior")))</f>
        <v>Adult</v>
      </c>
      <c r="D922" s="3">
        <v>30</v>
      </c>
      <c r="E922" s="3" t="s">
        <v>250</v>
      </c>
      <c r="F922" s="4" t="s">
        <v>40</v>
      </c>
      <c r="G922" s="4" t="s">
        <v>23</v>
      </c>
      <c r="H922" t="s">
        <v>30</v>
      </c>
      <c r="I922" s="3">
        <v>4</v>
      </c>
      <c r="J922" s="5">
        <v>1000</v>
      </c>
      <c r="K922" s="7">
        <v>4000</v>
      </c>
      <c r="L922" s="6">
        <v>45325</v>
      </c>
      <c r="M922" s="8" t="str">
        <f>IF(K922&gt;10000,"High",IF(K922&gt;5000,"Medium","Low"))</f>
        <v>Low</v>
      </c>
      <c r="N922" s="4" t="s">
        <v>240</v>
      </c>
      <c r="O922" s="3">
        <v>2</v>
      </c>
      <c r="P922" s="3">
        <v>2024</v>
      </c>
      <c r="T922" s="4"/>
      <c r="X922"/>
      <c r="Y922" s="3"/>
      <c r="AA922"/>
    </row>
    <row r="923" spans="1:27" x14ac:dyDescent="0.3">
      <c r="A923" s="3">
        <v>1871</v>
      </c>
      <c r="B923" s="4" t="s">
        <v>54</v>
      </c>
      <c r="C923" s="4" t="str">
        <f>IF(D923="","Unknown",IF(D923&lt;20,"Teen",IF(D923&lt;40,"Adult","Senior")))</f>
        <v>Adult</v>
      </c>
      <c r="D923" s="3">
        <v>30</v>
      </c>
      <c r="E923" s="3" t="s">
        <v>250</v>
      </c>
      <c r="F923" s="4" t="s">
        <v>40</v>
      </c>
      <c r="G923" s="4" t="s">
        <v>55</v>
      </c>
      <c r="H923" t="s">
        <v>36</v>
      </c>
      <c r="I923" s="3">
        <v>3</v>
      </c>
      <c r="J923" s="5">
        <v>1000</v>
      </c>
      <c r="K923" s="7">
        <v>3000</v>
      </c>
      <c r="L923" s="6">
        <v>45330</v>
      </c>
      <c r="M923" s="8" t="str">
        <f>IF(K923&gt;10000,"High",IF(K923&gt;5000,"Medium","Low"))</f>
        <v>Low</v>
      </c>
      <c r="N923" s="4" t="s">
        <v>240</v>
      </c>
      <c r="O923" s="3">
        <v>2</v>
      </c>
      <c r="P923" s="3">
        <v>2024</v>
      </c>
      <c r="T923" s="4"/>
      <c r="X923"/>
      <c r="Y923" s="3"/>
      <c r="AA923"/>
    </row>
    <row r="924" spans="1:27" x14ac:dyDescent="0.3">
      <c r="A924" s="3">
        <v>1873</v>
      </c>
      <c r="B924" s="4" t="s">
        <v>64</v>
      </c>
      <c r="C924" s="4" t="str">
        <f>IF(D924="","Unknown",IF(D924&lt;20,"Teen",IF(D924&lt;40,"Adult","Senior")))</f>
        <v>Adult</v>
      </c>
      <c r="D924" s="3">
        <v>30</v>
      </c>
      <c r="E924" s="3" t="s">
        <v>250</v>
      </c>
      <c r="F924" s="4" t="s">
        <v>17</v>
      </c>
      <c r="G924" s="4" t="s">
        <v>51</v>
      </c>
      <c r="H924" t="s">
        <v>13</v>
      </c>
      <c r="I924" s="3">
        <v>2</v>
      </c>
      <c r="J924" s="5">
        <v>1000</v>
      </c>
      <c r="K924" s="7">
        <v>2000</v>
      </c>
      <c r="L924" s="6">
        <v>45351</v>
      </c>
      <c r="M924" s="8" t="str">
        <f>IF(K924&gt;10000,"High",IF(K924&gt;5000,"Medium","Low"))</f>
        <v>Low</v>
      </c>
      <c r="N924" s="4" t="s">
        <v>243</v>
      </c>
      <c r="O924" s="3">
        <v>2</v>
      </c>
      <c r="P924" s="3">
        <v>2024</v>
      </c>
      <c r="T924" s="4"/>
      <c r="X924"/>
      <c r="Y924" s="3"/>
      <c r="AA924"/>
    </row>
    <row r="925" spans="1:27" x14ac:dyDescent="0.3">
      <c r="A925" s="3">
        <v>1875</v>
      </c>
      <c r="B925" s="4" t="s">
        <v>32</v>
      </c>
      <c r="C925" s="4" t="str">
        <f>IF(D925="","Unknown",IF(D925&lt;20,"Teen",IF(D925&lt;40,"Adult","Senior")))</f>
        <v>Adult</v>
      </c>
      <c r="D925" s="3">
        <v>30</v>
      </c>
      <c r="E925" s="3" t="s">
        <v>250</v>
      </c>
      <c r="F925" s="4" t="s">
        <v>17</v>
      </c>
      <c r="G925" s="4" t="s">
        <v>55</v>
      </c>
      <c r="H925" t="s">
        <v>36</v>
      </c>
      <c r="I925" s="3">
        <v>5</v>
      </c>
      <c r="J925" s="5">
        <v>1000</v>
      </c>
      <c r="K925" s="7">
        <v>5000</v>
      </c>
      <c r="L925" s="6">
        <v>45351</v>
      </c>
      <c r="M925" s="8" t="str">
        <f>IF(K925&gt;10000,"High",IF(K925&gt;5000,"Medium","Low"))</f>
        <v>Low</v>
      </c>
      <c r="N925" s="4" t="s">
        <v>243</v>
      </c>
      <c r="O925" s="3">
        <v>2</v>
      </c>
      <c r="P925" s="3">
        <v>2024</v>
      </c>
      <c r="T925" s="4"/>
      <c r="X925"/>
      <c r="Y925" s="3"/>
      <c r="AA925"/>
    </row>
    <row r="926" spans="1:27" x14ac:dyDescent="0.3">
      <c r="A926" s="3">
        <v>1877</v>
      </c>
      <c r="B926" s="4" t="s">
        <v>59</v>
      </c>
      <c r="C926" s="4" t="str">
        <f>IF(D926="","Unknown",IF(D926&lt;20,"Teen",IF(D926&lt;40,"Adult","Senior")))</f>
        <v>Senior</v>
      </c>
      <c r="D926" s="3">
        <v>45</v>
      </c>
      <c r="E926" s="3" t="s">
        <v>249</v>
      </c>
      <c r="F926" s="4" t="s">
        <v>40</v>
      </c>
      <c r="G926" s="4" t="s">
        <v>41</v>
      </c>
      <c r="H926" t="s">
        <v>36</v>
      </c>
      <c r="I926" s="3">
        <v>3</v>
      </c>
      <c r="J926" s="5">
        <v>1000</v>
      </c>
      <c r="K926" s="7">
        <v>3000</v>
      </c>
      <c r="L926" s="6">
        <v>45349</v>
      </c>
      <c r="M926" s="8" t="str">
        <f>IF(K926&gt;10000,"High",IF(K926&gt;5000,"Medium","Low"))</f>
        <v>Low</v>
      </c>
      <c r="N926" s="4" t="s">
        <v>241</v>
      </c>
      <c r="O926" s="3">
        <v>2</v>
      </c>
      <c r="P926" s="3">
        <v>2024</v>
      </c>
      <c r="T926" s="4"/>
      <c r="X926"/>
      <c r="Y926" s="3"/>
      <c r="AA926"/>
    </row>
    <row r="927" spans="1:27" x14ac:dyDescent="0.3">
      <c r="A927" s="3">
        <v>1878</v>
      </c>
      <c r="B927" s="4" t="s">
        <v>16</v>
      </c>
      <c r="C927" s="4" t="str">
        <f>IF(D927="","Unknown",IF(D927&lt;20,"Teen",IF(D927&lt;40,"Adult","Senior")))</f>
        <v>Adult</v>
      </c>
      <c r="D927" s="3">
        <v>32</v>
      </c>
      <c r="E927" s="3" t="s">
        <v>249</v>
      </c>
      <c r="F927" s="4" t="s">
        <v>17</v>
      </c>
      <c r="G927" s="4" t="s">
        <v>12</v>
      </c>
      <c r="H927" t="s">
        <v>13</v>
      </c>
      <c r="I927" s="3">
        <v>1</v>
      </c>
      <c r="J927" s="5">
        <v>1000</v>
      </c>
      <c r="K927" s="7">
        <v>1000</v>
      </c>
      <c r="L927" s="6">
        <v>45326</v>
      </c>
      <c r="M927" s="8" t="str">
        <f>IF(K927&gt;10000,"High",IF(K927&gt;5000,"Medium","Low"))</f>
        <v>Low</v>
      </c>
      <c r="N927" s="4" t="s">
        <v>242</v>
      </c>
      <c r="O927" s="3">
        <v>2</v>
      </c>
      <c r="P927" s="3">
        <v>2024</v>
      </c>
      <c r="T927" s="4"/>
      <c r="X927"/>
      <c r="Y927" s="3"/>
      <c r="AA927"/>
    </row>
    <row r="928" spans="1:27" x14ac:dyDescent="0.3">
      <c r="A928" s="3">
        <v>1879</v>
      </c>
      <c r="B928" s="4" t="s">
        <v>59</v>
      </c>
      <c r="C928" s="4" t="str">
        <f>IF(D928="","Unknown",IF(D928&lt;20,"Teen",IF(D928&lt;40,"Adult","Senior")))</f>
        <v>Senior</v>
      </c>
      <c r="D928" s="3">
        <v>49</v>
      </c>
      <c r="E928" s="3" t="s">
        <v>249</v>
      </c>
      <c r="F928" s="4" t="s">
        <v>17</v>
      </c>
      <c r="G928" s="4" t="s">
        <v>18</v>
      </c>
      <c r="H928" t="s">
        <v>30</v>
      </c>
      <c r="I928" s="3">
        <v>2</v>
      </c>
      <c r="J928" s="5">
        <v>1000</v>
      </c>
      <c r="K928" s="7">
        <v>2000</v>
      </c>
      <c r="L928" s="6">
        <v>45339</v>
      </c>
      <c r="M928" s="8" t="str">
        <f>IF(K928&gt;10000,"High",IF(K928&gt;5000,"Medium","Low"))</f>
        <v>Low</v>
      </c>
      <c r="N928" s="4" t="s">
        <v>242</v>
      </c>
      <c r="O928" s="3">
        <v>2</v>
      </c>
      <c r="P928" s="3">
        <v>2024</v>
      </c>
      <c r="T928" s="4"/>
      <c r="X928"/>
      <c r="Y928" s="3"/>
      <c r="AA928"/>
    </row>
    <row r="929" spans="1:27" x14ac:dyDescent="0.3">
      <c r="A929" s="3">
        <v>1880</v>
      </c>
      <c r="B929" s="4" t="s">
        <v>57</v>
      </c>
      <c r="C929" s="4" t="str">
        <f>IF(D929="","Unknown",IF(D929&lt;20,"Teen",IF(D929&lt;40,"Adult","Senior")))</f>
        <v>Senior</v>
      </c>
      <c r="D929" s="3">
        <v>47</v>
      </c>
      <c r="E929" s="3" t="s">
        <v>249</v>
      </c>
      <c r="F929" s="4" t="s">
        <v>40</v>
      </c>
      <c r="G929" s="4" t="s">
        <v>12</v>
      </c>
      <c r="H929" t="s">
        <v>13</v>
      </c>
      <c r="I929" s="3">
        <v>4</v>
      </c>
      <c r="J929" s="5">
        <v>1000</v>
      </c>
      <c r="K929" s="7">
        <v>4000</v>
      </c>
      <c r="L929" s="6">
        <v>45333</v>
      </c>
      <c r="M929" s="8" t="str">
        <f>IF(K929&gt;10000,"High",IF(K929&gt;5000,"Medium","Low"))</f>
        <v>Low</v>
      </c>
      <c r="N929" s="4" t="s">
        <v>242</v>
      </c>
      <c r="O929" s="3">
        <v>2</v>
      </c>
      <c r="P929" s="3">
        <v>2024</v>
      </c>
      <c r="T929" s="4"/>
      <c r="X929"/>
      <c r="Y929" s="3"/>
      <c r="AA929"/>
    </row>
    <row r="930" spans="1:27" x14ac:dyDescent="0.3">
      <c r="A930" s="3">
        <v>1881</v>
      </c>
      <c r="B930" s="4" t="s">
        <v>46</v>
      </c>
      <c r="C930" s="4" t="str">
        <f>IF(D930="","Unknown",IF(D930&lt;20,"Teen",IF(D930&lt;40,"Adult","Senior")))</f>
        <v>Adult</v>
      </c>
      <c r="D930" s="3">
        <v>23</v>
      </c>
      <c r="E930" s="3" t="s">
        <v>250</v>
      </c>
      <c r="F930" s="4" t="s">
        <v>17</v>
      </c>
      <c r="G930" s="4" t="s">
        <v>23</v>
      </c>
      <c r="H930" t="s">
        <v>30</v>
      </c>
      <c r="I930" s="3">
        <v>4</v>
      </c>
      <c r="J930" s="5">
        <v>31358</v>
      </c>
      <c r="K930" s="7">
        <v>125432</v>
      </c>
      <c r="L930" s="6">
        <v>45346</v>
      </c>
      <c r="M930" s="8" t="str">
        <f>IF(K930&gt;10000,"High",IF(K930&gt;5000,"Medium","Low"))</f>
        <v>High</v>
      </c>
      <c r="N930" s="4" t="s">
        <v>241</v>
      </c>
      <c r="O930" s="3">
        <v>2</v>
      </c>
      <c r="P930" s="3">
        <v>2024</v>
      </c>
      <c r="T930" s="4"/>
      <c r="X930"/>
      <c r="Y930" s="3"/>
      <c r="AA930"/>
    </row>
    <row r="931" spans="1:27" x14ac:dyDescent="0.3">
      <c r="A931" s="3">
        <v>1882</v>
      </c>
      <c r="B931" s="4" t="s">
        <v>16</v>
      </c>
      <c r="C931" s="4" t="str">
        <f>IF(D931="","Unknown",IF(D931&lt;20,"Teen",IF(D931&lt;40,"Adult","Senior")))</f>
        <v>Adult</v>
      </c>
      <c r="D931" s="3">
        <v>30</v>
      </c>
      <c r="E931" s="3" t="s">
        <v>250</v>
      </c>
      <c r="F931" s="4" t="s">
        <v>40</v>
      </c>
      <c r="G931" s="4" t="s">
        <v>23</v>
      </c>
      <c r="H931" t="s">
        <v>30</v>
      </c>
      <c r="I931" s="3">
        <v>2</v>
      </c>
      <c r="J931" s="5">
        <v>34555</v>
      </c>
      <c r="K931" s="7">
        <v>69110</v>
      </c>
      <c r="L931" s="6">
        <v>45332</v>
      </c>
      <c r="M931" s="8" t="str">
        <f>IF(K931&gt;10000,"High",IF(K931&gt;5000,"Medium","Low"))</f>
        <v>High</v>
      </c>
      <c r="N931" s="4" t="s">
        <v>242</v>
      </c>
      <c r="O931" s="3">
        <v>2</v>
      </c>
      <c r="P931" s="3">
        <v>2024</v>
      </c>
      <c r="T931" s="4"/>
      <c r="X931"/>
      <c r="Y931" s="3"/>
      <c r="AA931"/>
    </row>
    <row r="932" spans="1:27" x14ac:dyDescent="0.3">
      <c r="A932" s="3">
        <v>1885</v>
      </c>
      <c r="B932" s="4" t="s">
        <v>38</v>
      </c>
      <c r="C932" s="4" t="str">
        <f>IF(D932="","Unknown",IF(D932&lt;20,"Teen",IF(D932&lt;40,"Adult","Senior")))</f>
        <v>Adult</v>
      </c>
      <c r="D932" s="3">
        <v>30</v>
      </c>
      <c r="E932" s="3" t="s">
        <v>250</v>
      </c>
      <c r="F932" s="4" t="s">
        <v>40</v>
      </c>
      <c r="G932" s="4" t="s">
        <v>23</v>
      </c>
      <c r="H932" t="s">
        <v>30</v>
      </c>
      <c r="I932" s="3">
        <v>1</v>
      </c>
      <c r="J932" s="5">
        <v>1000</v>
      </c>
      <c r="K932" s="7">
        <v>1000</v>
      </c>
      <c r="L932" s="6">
        <v>45330</v>
      </c>
      <c r="M932" s="8" t="str">
        <f>IF(K932&gt;10000,"High",IF(K932&gt;5000,"Medium","Low"))</f>
        <v>Low</v>
      </c>
      <c r="N932" s="4" t="s">
        <v>241</v>
      </c>
      <c r="O932" s="3">
        <v>2</v>
      </c>
      <c r="P932" s="3">
        <v>2024</v>
      </c>
      <c r="T932" s="4"/>
      <c r="X932"/>
      <c r="Y932" s="3"/>
      <c r="AA932"/>
    </row>
    <row r="933" spans="1:27" x14ac:dyDescent="0.3">
      <c r="A933" s="3">
        <v>1887</v>
      </c>
      <c r="B933" s="4" t="s">
        <v>25</v>
      </c>
      <c r="C933" s="4" t="str">
        <f>IF(D933="","Unknown",IF(D933&lt;20,"Teen",IF(D933&lt;40,"Adult","Senior")))</f>
        <v>Adult</v>
      </c>
      <c r="D933" s="3">
        <v>23</v>
      </c>
      <c r="E933" s="3" t="s">
        <v>250</v>
      </c>
      <c r="F933" s="4" t="s">
        <v>17</v>
      </c>
      <c r="G933" s="4" t="s">
        <v>27</v>
      </c>
      <c r="H933" t="s">
        <v>13</v>
      </c>
      <c r="I933" s="3">
        <v>2</v>
      </c>
      <c r="J933" s="5">
        <v>1000</v>
      </c>
      <c r="K933" s="7">
        <v>2000</v>
      </c>
      <c r="L933" s="6">
        <v>45346</v>
      </c>
      <c r="M933" s="8" t="str">
        <f>IF(K933&gt;10000,"High",IF(K933&gt;5000,"Medium","Low"))</f>
        <v>Low</v>
      </c>
      <c r="N933" s="4" t="s">
        <v>240</v>
      </c>
      <c r="O933" s="3">
        <v>2</v>
      </c>
      <c r="P933" s="3">
        <v>2024</v>
      </c>
      <c r="T933" s="4"/>
      <c r="X933"/>
      <c r="Y933" s="3"/>
      <c r="AA933"/>
    </row>
    <row r="934" spans="1:27" x14ac:dyDescent="0.3">
      <c r="A934" s="3">
        <v>1889</v>
      </c>
      <c r="B934" s="4" t="s">
        <v>10</v>
      </c>
      <c r="C934" s="4" t="str">
        <f>IF(D934="","Unknown",IF(D934&lt;20,"Teen",IF(D934&lt;40,"Adult","Senior")))</f>
        <v>Adult</v>
      </c>
      <c r="D934" s="3">
        <v>24</v>
      </c>
      <c r="E934" s="3" t="s">
        <v>250</v>
      </c>
      <c r="F934" s="4" t="s">
        <v>17</v>
      </c>
      <c r="G934" s="4" t="s">
        <v>23</v>
      </c>
      <c r="H934" t="s">
        <v>30</v>
      </c>
      <c r="I934" s="3">
        <v>2</v>
      </c>
      <c r="J934" s="5">
        <v>27457</v>
      </c>
      <c r="K934" s="7">
        <v>54914</v>
      </c>
      <c r="L934" s="6">
        <v>45326</v>
      </c>
      <c r="M934" s="8" t="str">
        <f>IF(K934&gt;10000,"High",IF(K934&gt;5000,"Medium","Low"))</f>
        <v>High</v>
      </c>
      <c r="N934" s="4" t="s">
        <v>244</v>
      </c>
      <c r="O934" s="3">
        <v>2</v>
      </c>
      <c r="P934" s="3">
        <v>2024</v>
      </c>
      <c r="T934" s="4"/>
      <c r="X934"/>
      <c r="Y934" s="3"/>
      <c r="AA934"/>
    </row>
    <row r="935" spans="1:27" x14ac:dyDescent="0.3">
      <c r="A935" s="3">
        <v>1891</v>
      </c>
      <c r="B935" s="4" t="s">
        <v>25</v>
      </c>
      <c r="C935" s="4" t="str">
        <f>IF(D935="","Unknown",IF(D935&lt;20,"Teen",IF(D935&lt;40,"Adult","Senior")))</f>
        <v>Adult</v>
      </c>
      <c r="D935" s="3">
        <v>30</v>
      </c>
      <c r="E935" s="3" t="s">
        <v>250</v>
      </c>
      <c r="F935" s="4" t="s">
        <v>40</v>
      </c>
      <c r="G935" s="4" t="s">
        <v>12</v>
      </c>
      <c r="H935" t="s">
        <v>13</v>
      </c>
      <c r="I935" s="3">
        <v>4</v>
      </c>
      <c r="J935" s="5">
        <v>1000</v>
      </c>
      <c r="K935" s="7">
        <v>4000</v>
      </c>
      <c r="L935" s="6">
        <v>45327</v>
      </c>
      <c r="M935" s="8" t="str">
        <f>IF(K935&gt;10000,"High",IF(K935&gt;5000,"Medium","Low"))</f>
        <v>Low</v>
      </c>
      <c r="N935" s="4" t="s">
        <v>240</v>
      </c>
      <c r="O935" s="3">
        <v>2</v>
      </c>
      <c r="P935" s="3">
        <v>2024</v>
      </c>
      <c r="T935" s="4"/>
      <c r="X935"/>
      <c r="Y935" s="3"/>
      <c r="AA935"/>
    </row>
    <row r="936" spans="1:27" x14ac:dyDescent="0.3">
      <c r="A936" s="3">
        <v>1892</v>
      </c>
      <c r="B936" s="4" t="s">
        <v>35</v>
      </c>
      <c r="C936" s="4" t="str">
        <f>IF(D936="","Unknown",IF(D936&lt;20,"Teen",IF(D936&lt;40,"Adult","Senior")))</f>
        <v>Adult</v>
      </c>
      <c r="D936" s="3">
        <v>26</v>
      </c>
      <c r="E936" s="3" t="s">
        <v>250</v>
      </c>
      <c r="F936" s="4" t="s">
        <v>17</v>
      </c>
      <c r="G936" s="4" t="s">
        <v>55</v>
      </c>
      <c r="H936" t="s">
        <v>36</v>
      </c>
      <c r="I936" s="3">
        <v>4</v>
      </c>
      <c r="J936" s="5">
        <v>27071</v>
      </c>
      <c r="K936" s="7">
        <v>108284</v>
      </c>
      <c r="L936" s="6">
        <v>45327</v>
      </c>
      <c r="M936" s="8" t="str">
        <f>IF(K936&gt;10000,"High",IF(K936&gt;5000,"Medium","Low"))</f>
        <v>High</v>
      </c>
      <c r="N936" s="4" t="s">
        <v>240</v>
      </c>
      <c r="O936" s="3">
        <v>2</v>
      </c>
      <c r="P936" s="3">
        <v>2024</v>
      </c>
      <c r="T936" s="4"/>
      <c r="X936"/>
      <c r="Y936" s="3"/>
      <c r="AA936"/>
    </row>
    <row r="937" spans="1:27" x14ac:dyDescent="0.3">
      <c r="A937" s="3">
        <v>1893</v>
      </c>
      <c r="B937" s="4" t="s">
        <v>57</v>
      </c>
      <c r="C937" s="4" t="str">
        <f>IF(D937="","Unknown",IF(D937&lt;20,"Teen",IF(D937&lt;40,"Adult","Senior")))</f>
        <v>Adult</v>
      </c>
      <c r="D937" s="3">
        <v>26</v>
      </c>
      <c r="E937" s="3" t="s">
        <v>250</v>
      </c>
      <c r="F937" s="4" t="s">
        <v>40</v>
      </c>
      <c r="G937" s="4" t="s">
        <v>55</v>
      </c>
      <c r="H937" t="s">
        <v>36</v>
      </c>
      <c r="I937" s="3">
        <v>3</v>
      </c>
      <c r="J937" s="5">
        <v>1000</v>
      </c>
      <c r="K937" s="7">
        <v>3000</v>
      </c>
      <c r="L937" s="6">
        <v>45339</v>
      </c>
      <c r="M937" s="8" t="str">
        <f>IF(K937&gt;10000,"High",IF(K937&gt;5000,"Medium","Low"))</f>
        <v>Low</v>
      </c>
      <c r="N937" s="4" t="s">
        <v>242</v>
      </c>
      <c r="O937" s="3">
        <v>2</v>
      </c>
      <c r="P937" s="3">
        <v>2024</v>
      </c>
      <c r="T937" s="4"/>
      <c r="X937"/>
      <c r="Y937" s="3"/>
      <c r="AA937"/>
    </row>
    <row r="938" spans="1:27" x14ac:dyDescent="0.3">
      <c r="A938" s="3">
        <v>1894</v>
      </c>
      <c r="B938" s="4" t="s">
        <v>48</v>
      </c>
      <c r="C938" s="4" t="str">
        <f>IF(D938="","Unknown",IF(D938&lt;20,"Teen",IF(D938&lt;40,"Adult","Senior")))</f>
        <v>Adult</v>
      </c>
      <c r="D938" s="3">
        <v>30</v>
      </c>
      <c r="E938" s="3" t="s">
        <v>250</v>
      </c>
      <c r="F938" s="4" t="s">
        <v>40</v>
      </c>
      <c r="G938" s="4" t="s">
        <v>18</v>
      </c>
      <c r="H938" t="s">
        <v>30</v>
      </c>
      <c r="I938" s="3">
        <v>2</v>
      </c>
      <c r="J938" s="5">
        <v>1000</v>
      </c>
      <c r="K938" s="7">
        <v>2000</v>
      </c>
      <c r="L938" s="6">
        <v>45328</v>
      </c>
      <c r="M938" s="8" t="str">
        <f>IF(K938&gt;10000,"High",IF(K938&gt;5000,"Medium","Low"))</f>
        <v>Low</v>
      </c>
      <c r="N938" s="4" t="s">
        <v>240</v>
      </c>
      <c r="O938" s="3">
        <v>2</v>
      </c>
      <c r="P938" s="3">
        <v>2024</v>
      </c>
      <c r="T938" s="4"/>
      <c r="X938"/>
      <c r="Y938" s="3"/>
      <c r="AA938"/>
    </row>
    <row r="939" spans="1:27" x14ac:dyDescent="0.3">
      <c r="A939" s="3">
        <v>1895</v>
      </c>
      <c r="B939" s="4" t="s">
        <v>38</v>
      </c>
      <c r="C939" s="4" t="str">
        <f>IF(D939="","Unknown",IF(D939&lt;20,"Teen",IF(D939&lt;40,"Adult","Senior")))</f>
        <v>Senior</v>
      </c>
      <c r="D939" s="3">
        <v>47</v>
      </c>
      <c r="E939" s="3" t="s">
        <v>249</v>
      </c>
      <c r="F939" s="4" t="s">
        <v>40</v>
      </c>
      <c r="G939" s="4" t="s">
        <v>18</v>
      </c>
      <c r="H939" t="s">
        <v>30</v>
      </c>
      <c r="I939" s="3">
        <v>2</v>
      </c>
      <c r="J939" s="5">
        <v>16538</v>
      </c>
      <c r="K939" s="7">
        <v>33076</v>
      </c>
      <c r="L939" s="6">
        <v>45349</v>
      </c>
      <c r="M939" s="8" t="str">
        <f>IF(K939&gt;10000,"High",IF(K939&gt;5000,"Medium","Low"))</f>
        <v>High</v>
      </c>
      <c r="N939" s="4" t="s">
        <v>242</v>
      </c>
      <c r="O939" s="3">
        <v>2</v>
      </c>
      <c r="P939" s="3">
        <v>2024</v>
      </c>
      <c r="T939" s="4"/>
      <c r="X939"/>
      <c r="Y939" s="3"/>
      <c r="AA939"/>
    </row>
    <row r="940" spans="1:27" x14ac:dyDescent="0.3">
      <c r="A940" s="3">
        <v>1896</v>
      </c>
      <c r="B940" s="4" t="s">
        <v>21</v>
      </c>
      <c r="C940" s="4" t="str">
        <f>IF(D940="","Unknown",IF(D940&lt;20,"Teen",IF(D940&lt;40,"Adult","Senior")))</f>
        <v>Adult</v>
      </c>
      <c r="D940" s="3">
        <v>30</v>
      </c>
      <c r="E940" s="3" t="s">
        <v>250</v>
      </c>
      <c r="F940" s="4" t="s">
        <v>40</v>
      </c>
      <c r="G940" s="4" t="s">
        <v>23</v>
      </c>
      <c r="H940" t="s">
        <v>30</v>
      </c>
      <c r="I940" s="3">
        <v>3</v>
      </c>
      <c r="J940" s="5">
        <v>1000</v>
      </c>
      <c r="K940" s="7">
        <v>3000</v>
      </c>
      <c r="L940" s="6">
        <v>45351</v>
      </c>
      <c r="M940" s="8" t="str">
        <f>IF(K940&gt;10000,"High",IF(K940&gt;5000,"Medium","Low"))</f>
        <v>Low</v>
      </c>
      <c r="N940" s="4" t="s">
        <v>241</v>
      </c>
      <c r="O940" s="3">
        <v>2</v>
      </c>
      <c r="P940" s="3">
        <v>2024</v>
      </c>
      <c r="T940" s="4"/>
      <c r="X940"/>
      <c r="Y940" s="3"/>
      <c r="AA940"/>
    </row>
    <row r="941" spans="1:27" x14ac:dyDescent="0.3">
      <c r="A941" s="3">
        <v>1904</v>
      </c>
      <c r="B941" s="4" t="s">
        <v>25</v>
      </c>
      <c r="C941" s="4" t="str">
        <f>IF(D941="","Unknown",IF(D941&lt;20,"Teen",IF(D941&lt;40,"Adult","Senior")))</f>
        <v>Adult</v>
      </c>
      <c r="D941" s="3">
        <v>37</v>
      </c>
      <c r="E941" s="3" t="s">
        <v>249</v>
      </c>
      <c r="F941" s="4" t="s">
        <v>40</v>
      </c>
      <c r="G941" s="4" t="s">
        <v>12</v>
      </c>
      <c r="H941" t="s">
        <v>13</v>
      </c>
      <c r="I941" s="3">
        <v>2</v>
      </c>
      <c r="J941" s="5">
        <v>30878</v>
      </c>
      <c r="K941" s="7">
        <v>61756</v>
      </c>
      <c r="L941" s="6">
        <v>45349</v>
      </c>
      <c r="M941" s="8" t="str">
        <f>IF(K941&gt;10000,"High",IF(K941&gt;5000,"Medium","Low"))</f>
        <v>High</v>
      </c>
      <c r="N941" s="4" t="s">
        <v>242</v>
      </c>
      <c r="O941" s="3">
        <v>2</v>
      </c>
      <c r="P941" s="3">
        <v>2024</v>
      </c>
      <c r="T941" s="4"/>
      <c r="X941"/>
      <c r="Y941" s="3"/>
      <c r="AA941"/>
    </row>
    <row r="942" spans="1:27" x14ac:dyDescent="0.3">
      <c r="A942" s="3">
        <v>1907</v>
      </c>
      <c r="B942" s="4" t="s">
        <v>10</v>
      </c>
      <c r="C942" s="4" t="str">
        <f>IF(D942="","Unknown",IF(D942&lt;20,"Teen",IF(D942&lt;40,"Adult","Senior")))</f>
        <v>Senior</v>
      </c>
      <c r="D942" s="3">
        <v>48</v>
      </c>
      <c r="E942" s="3" t="s">
        <v>249</v>
      </c>
      <c r="F942" s="4" t="s">
        <v>40</v>
      </c>
      <c r="G942" s="4" t="s">
        <v>55</v>
      </c>
      <c r="H942" t="s">
        <v>36</v>
      </c>
      <c r="I942" s="3">
        <v>2</v>
      </c>
      <c r="J942" s="5">
        <v>1000</v>
      </c>
      <c r="K942" s="7">
        <v>2000</v>
      </c>
      <c r="L942" s="6">
        <v>45341</v>
      </c>
      <c r="M942" s="8" t="str">
        <f>IF(K942&gt;10000,"High",IF(K942&gt;5000,"Medium","Low"))</f>
        <v>Low</v>
      </c>
      <c r="N942" s="4" t="s">
        <v>244</v>
      </c>
      <c r="O942" s="3">
        <v>2</v>
      </c>
      <c r="P942" s="3">
        <v>2024</v>
      </c>
      <c r="T942" s="4"/>
      <c r="X942"/>
      <c r="Y942" s="3"/>
      <c r="AA942"/>
    </row>
    <row r="943" spans="1:27" x14ac:dyDescent="0.3">
      <c r="A943" s="3">
        <v>1908</v>
      </c>
      <c r="B943" s="4" t="s">
        <v>16</v>
      </c>
      <c r="C943" s="4" t="str">
        <f>IF(D943="","Unknown",IF(D943&lt;20,"Teen",IF(D943&lt;40,"Adult","Senior")))</f>
        <v>Adult</v>
      </c>
      <c r="D943" s="3">
        <v>22</v>
      </c>
      <c r="E943" s="3" t="s">
        <v>250</v>
      </c>
      <c r="F943" s="4" t="s">
        <v>17</v>
      </c>
      <c r="G943" s="4" t="s">
        <v>18</v>
      </c>
      <c r="H943" t="s">
        <v>30</v>
      </c>
      <c r="I943" s="3">
        <v>2</v>
      </c>
      <c r="J943" s="5">
        <v>1000</v>
      </c>
      <c r="K943" s="7">
        <v>2000</v>
      </c>
      <c r="L943" s="6">
        <v>45342</v>
      </c>
      <c r="M943" s="8" t="str">
        <f>IF(K943&gt;10000,"High",IF(K943&gt;5000,"Medium","Low"))</f>
        <v>Low</v>
      </c>
      <c r="N943" s="4" t="s">
        <v>242</v>
      </c>
      <c r="O943" s="3">
        <v>2</v>
      </c>
      <c r="P943" s="3">
        <v>2024</v>
      </c>
      <c r="T943" s="4"/>
      <c r="X943"/>
      <c r="Y943" s="3"/>
      <c r="AA943"/>
    </row>
    <row r="944" spans="1:27" x14ac:dyDescent="0.3">
      <c r="A944" s="3">
        <v>1910</v>
      </c>
      <c r="B944" s="4" t="s">
        <v>25</v>
      </c>
      <c r="C944" s="4" t="str">
        <f>IF(D944="","Unknown",IF(D944&lt;20,"Teen",IF(D944&lt;40,"Adult","Senior")))</f>
        <v>Adult</v>
      </c>
      <c r="D944" s="3">
        <v>30</v>
      </c>
      <c r="E944" s="3" t="s">
        <v>250</v>
      </c>
      <c r="F944" s="4" t="s">
        <v>40</v>
      </c>
      <c r="G944" s="4" t="s">
        <v>27</v>
      </c>
      <c r="H944" t="s">
        <v>13</v>
      </c>
      <c r="I944" s="3">
        <v>1</v>
      </c>
      <c r="J944" s="5">
        <v>19029</v>
      </c>
      <c r="K944" s="7">
        <v>19029</v>
      </c>
      <c r="L944" s="6">
        <v>45327</v>
      </c>
      <c r="M944" s="8" t="str">
        <f>IF(K944&gt;10000,"High",IF(K944&gt;5000,"Medium","Low"))</f>
        <v>High</v>
      </c>
      <c r="N944" s="4" t="s">
        <v>242</v>
      </c>
      <c r="O944" s="3">
        <v>2</v>
      </c>
      <c r="P944" s="3">
        <v>2024</v>
      </c>
      <c r="T944" s="4"/>
      <c r="X944"/>
      <c r="Y944" s="3"/>
      <c r="AA944"/>
    </row>
    <row r="945" spans="1:27" x14ac:dyDescent="0.3">
      <c r="A945" s="3">
        <v>1911</v>
      </c>
      <c r="B945" s="4" t="s">
        <v>59</v>
      </c>
      <c r="C945" s="4" t="str">
        <f>IF(D945="","Unknown",IF(D945&lt;20,"Teen",IF(D945&lt;40,"Adult","Senior")))</f>
        <v>Adult</v>
      </c>
      <c r="D945" s="3">
        <v>38</v>
      </c>
      <c r="E945" s="3" t="s">
        <v>249</v>
      </c>
      <c r="F945" s="4" t="s">
        <v>40</v>
      </c>
      <c r="G945" s="4" t="s">
        <v>23</v>
      </c>
      <c r="H945" t="s">
        <v>30</v>
      </c>
      <c r="I945" s="3">
        <v>3</v>
      </c>
      <c r="J945" s="5">
        <v>11657</v>
      </c>
      <c r="K945" s="7">
        <v>34971</v>
      </c>
      <c r="L945" s="6">
        <v>45338</v>
      </c>
      <c r="M945" s="8" t="str">
        <f>IF(K945&gt;10000,"High",IF(K945&gt;5000,"Medium","Low"))</f>
        <v>High</v>
      </c>
      <c r="N945" s="4" t="s">
        <v>243</v>
      </c>
      <c r="O945" s="3">
        <v>2</v>
      </c>
      <c r="P945" s="3">
        <v>2024</v>
      </c>
      <c r="T945" s="4"/>
      <c r="X945"/>
      <c r="Y945" s="3"/>
      <c r="AA945"/>
    </row>
    <row r="946" spans="1:27" x14ac:dyDescent="0.3">
      <c r="A946" s="3">
        <v>1913</v>
      </c>
      <c r="B946" s="4" t="s">
        <v>59</v>
      </c>
      <c r="C946" s="4" t="str">
        <f>IF(D946="","Unknown",IF(D946&lt;20,"Teen",IF(D946&lt;40,"Adult","Senior")))</f>
        <v>Adult</v>
      </c>
      <c r="D946" s="3">
        <v>30</v>
      </c>
      <c r="E946" s="3" t="s">
        <v>250</v>
      </c>
      <c r="F946" s="4" t="s">
        <v>40</v>
      </c>
      <c r="G946" s="4" t="s">
        <v>18</v>
      </c>
      <c r="H946" t="s">
        <v>30</v>
      </c>
      <c r="I946" s="3">
        <v>5</v>
      </c>
      <c r="J946" s="5">
        <v>1000</v>
      </c>
      <c r="K946" s="7">
        <v>5000</v>
      </c>
      <c r="L946" s="6">
        <v>45327</v>
      </c>
      <c r="M946" s="8" t="str">
        <f>IF(K946&gt;10000,"High",IF(K946&gt;5000,"Medium","Low"))</f>
        <v>Low</v>
      </c>
      <c r="N946" s="4" t="s">
        <v>242</v>
      </c>
      <c r="O946" s="3">
        <v>2</v>
      </c>
      <c r="P946" s="3">
        <v>2024</v>
      </c>
      <c r="T946" s="4"/>
      <c r="X946"/>
      <c r="Y946" s="3"/>
      <c r="AA946"/>
    </row>
    <row r="947" spans="1:27" x14ac:dyDescent="0.3">
      <c r="A947" s="3">
        <v>1914</v>
      </c>
      <c r="B947" s="4" t="s">
        <v>25</v>
      </c>
      <c r="C947" s="4" t="str">
        <f>IF(D947="","Unknown",IF(D947&lt;20,"Teen",IF(D947&lt;40,"Adult","Senior")))</f>
        <v>Adult</v>
      </c>
      <c r="D947" s="3">
        <v>30</v>
      </c>
      <c r="E947" s="3" t="s">
        <v>250</v>
      </c>
      <c r="F947" s="4" t="s">
        <v>17</v>
      </c>
      <c r="G947" s="4" t="s">
        <v>27</v>
      </c>
      <c r="H947" t="s">
        <v>13</v>
      </c>
      <c r="I947" s="3">
        <v>2</v>
      </c>
      <c r="J947" s="5">
        <v>1227</v>
      </c>
      <c r="K947" s="7">
        <v>2454</v>
      </c>
      <c r="L947" s="6">
        <v>45326</v>
      </c>
      <c r="M947" s="8" t="str">
        <f>IF(K947&gt;10000,"High",IF(K947&gt;5000,"Medium","Low"))</f>
        <v>Low</v>
      </c>
      <c r="N947" s="4" t="s">
        <v>244</v>
      </c>
      <c r="O947" s="3">
        <v>2</v>
      </c>
      <c r="P947" s="3">
        <v>2024</v>
      </c>
      <c r="T947" s="4"/>
      <c r="X947"/>
      <c r="Y947" s="3"/>
      <c r="AA947"/>
    </row>
    <row r="948" spans="1:27" x14ac:dyDescent="0.3">
      <c r="A948" s="3">
        <v>1917</v>
      </c>
      <c r="B948" s="4" t="s">
        <v>62</v>
      </c>
      <c r="C948" s="4" t="str">
        <f>IF(D948="","Unknown",IF(D948&lt;20,"Teen",IF(D948&lt;40,"Adult","Senior")))</f>
        <v>Adult</v>
      </c>
      <c r="D948" s="3">
        <v>30</v>
      </c>
      <c r="E948" s="3" t="s">
        <v>250</v>
      </c>
      <c r="F948" s="4" t="s">
        <v>40</v>
      </c>
      <c r="G948" s="4" t="s">
        <v>44</v>
      </c>
      <c r="H948" t="s">
        <v>36</v>
      </c>
      <c r="I948" s="3">
        <v>2</v>
      </c>
      <c r="J948" s="5">
        <v>1000</v>
      </c>
      <c r="K948" s="7">
        <v>2000</v>
      </c>
      <c r="L948" s="6">
        <v>45342</v>
      </c>
      <c r="M948" s="8" t="str">
        <f>IF(K948&gt;10000,"High",IF(K948&gt;5000,"Medium","Low"))</f>
        <v>Low</v>
      </c>
      <c r="N948" s="4" t="s">
        <v>242</v>
      </c>
      <c r="O948" s="3">
        <v>2</v>
      </c>
      <c r="P948" s="3">
        <v>2024</v>
      </c>
      <c r="T948" s="4"/>
      <c r="X948"/>
      <c r="Y948" s="3"/>
      <c r="AA948"/>
    </row>
    <row r="949" spans="1:27" x14ac:dyDescent="0.3">
      <c r="A949" s="3">
        <v>1918</v>
      </c>
      <c r="B949" s="4" t="s">
        <v>68</v>
      </c>
      <c r="C949" s="4" t="str">
        <f>IF(D949="","Unknown",IF(D949&lt;20,"Teen",IF(D949&lt;40,"Adult","Senior")))</f>
        <v>Adult</v>
      </c>
      <c r="D949" s="3">
        <v>35</v>
      </c>
      <c r="E949" s="3" t="s">
        <v>249</v>
      </c>
      <c r="F949" s="4" t="s">
        <v>40</v>
      </c>
      <c r="G949" s="4" t="s">
        <v>55</v>
      </c>
      <c r="H949" t="s">
        <v>36</v>
      </c>
      <c r="I949" s="3">
        <v>2</v>
      </c>
      <c r="J949" s="5">
        <v>1000</v>
      </c>
      <c r="K949" s="7">
        <v>2000</v>
      </c>
      <c r="L949" s="6">
        <v>45335</v>
      </c>
      <c r="M949" s="8" t="str">
        <f>IF(K949&gt;10000,"High",IF(K949&gt;5000,"Medium","Low"))</f>
        <v>Low</v>
      </c>
      <c r="N949" s="4" t="s">
        <v>240</v>
      </c>
      <c r="O949" s="3">
        <v>2</v>
      </c>
      <c r="P949" s="3">
        <v>2024</v>
      </c>
      <c r="T949" s="4"/>
      <c r="X949"/>
      <c r="Y949" s="3"/>
      <c r="AA949"/>
    </row>
    <row r="950" spans="1:27" x14ac:dyDescent="0.3">
      <c r="A950" s="3">
        <v>1919</v>
      </c>
      <c r="B950" s="4" t="s">
        <v>16</v>
      </c>
      <c r="C950" s="4" t="str">
        <f>IF(D950="","Unknown",IF(D950&lt;20,"Teen",IF(D950&lt;40,"Adult","Senior")))</f>
        <v>Adult</v>
      </c>
      <c r="D950" s="3">
        <v>27</v>
      </c>
      <c r="E950" s="3" t="s">
        <v>250</v>
      </c>
      <c r="F950" s="4" t="s">
        <v>40</v>
      </c>
      <c r="G950" s="4" t="s">
        <v>55</v>
      </c>
      <c r="H950" t="s">
        <v>36</v>
      </c>
      <c r="I950" s="3">
        <v>4</v>
      </c>
      <c r="J950" s="5">
        <v>1000</v>
      </c>
      <c r="K950" s="7">
        <v>4000</v>
      </c>
      <c r="L950" s="6">
        <v>45332</v>
      </c>
      <c r="M950" s="8" t="str">
        <f>IF(K950&gt;10000,"High",IF(K950&gt;5000,"Medium","Low"))</f>
        <v>Low</v>
      </c>
      <c r="N950" s="4" t="s">
        <v>243</v>
      </c>
      <c r="O950" s="3">
        <v>2</v>
      </c>
      <c r="P950" s="3">
        <v>2024</v>
      </c>
      <c r="T950" s="4"/>
      <c r="X950"/>
      <c r="Y950" s="3"/>
      <c r="AA950"/>
    </row>
    <row r="951" spans="1:27" x14ac:dyDescent="0.3">
      <c r="A951" s="3">
        <v>1920</v>
      </c>
      <c r="B951" s="4" t="s">
        <v>62</v>
      </c>
      <c r="C951" s="4" t="str">
        <f>IF(D951="","Unknown",IF(D951&lt;20,"Teen",IF(D951&lt;40,"Adult","Senior")))</f>
        <v>Adult</v>
      </c>
      <c r="D951" s="3">
        <v>30</v>
      </c>
      <c r="E951" s="3" t="s">
        <v>250</v>
      </c>
      <c r="F951" s="4" t="s">
        <v>17</v>
      </c>
      <c r="G951" s="4" t="s">
        <v>41</v>
      </c>
      <c r="H951" t="s">
        <v>36</v>
      </c>
      <c r="I951" s="3">
        <v>2</v>
      </c>
      <c r="J951" s="5">
        <v>1000</v>
      </c>
      <c r="K951" s="7">
        <v>2000</v>
      </c>
      <c r="L951" s="6">
        <v>45323</v>
      </c>
      <c r="M951" s="8" t="str">
        <f>IF(K951&gt;10000,"High",IF(K951&gt;5000,"Medium","Low"))</f>
        <v>Low</v>
      </c>
      <c r="N951" s="4" t="s">
        <v>241</v>
      </c>
      <c r="O951" s="3">
        <v>2</v>
      </c>
      <c r="P951" s="3">
        <v>2024</v>
      </c>
      <c r="T951" s="4"/>
      <c r="X951"/>
      <c r="Y951" s="3"/>
      <c r="AA951"/>
    </row>
    <row r="952" spans="1:27" x14ac:dyDescent="0.3">
      <c r="A952" s="3">
        <v>1921</v>
      </c>
      <c r="B952" s="4" t="s">
        <v>57</v>
      </c>
      <c r="C952" s="4" t="str">
        <f>IF(D952="","Unknown",IF(D952&lt;20,"Teen",IF(D952&lt;40,"Adult","Senior")))</f>
        <v>Adult</v>
      </c>
      <c r="D952" s="3">
        <v>36</v>
      </c>
      <c r="E952" s="3" t="s">
        <v>249</v>
      </c>
      <c r="F952" s="4" t="s">
        <v>40</v>
      </c>
      <c r="G952" s="4" t="s">
        <v>27</v>
      </c>
      <c r="H952" t="s">
        <v>13</v>
      </c>
      <c r="I952" s="3">
        <v>4</v>
      </c>
      <c r="J952" s="5">
        <v>8036</v>
      </c>
      <c r="K952" s="7">
        <v>32144</v>
      </c>
      <c r="L952" s="6">
        <v>45327</v>
      </c>
      <c r="M952" s="8" t="str">
        <f>IF(K952&gt;10000,"High",IF(K952&gt;5000,"Medium","Low"))</f>
        <v>High</v>
      </c>
      <c r="N952" s="4" t="s">
        <v>244</v>
      </c>
      <c r="O952" s="3">
        <v>2</v>
      </c>
      <c r="P952" s="3">
        <v>2024</v>
      </c>
      <c r="T952" s="4"/>
      <c r="X952"/>
      <c r="Y952" s="3"/>
      <c r="AA952"/>
    </row>
    <row r="953" spans="1:27" x14ac:dyDescent="0.3">
      <c r="A953" s="3">
        <v>1922</v>
      </c>
      <c r="B953" s="4" t="s">
        <v>10</v>
      </c>
      <c r="C953" s="4" t="str">
        <f>IF(D953="","Unknown",IF(D953&lt;20,"Teen",IF(D953&lt;40,"Adult","Senior")))</f>
        <v>Adult</v>
      </c>
      <c r="D953" s="3">
        <v>30</v>
      </c>
      <c r="E953" s="3" t="s">
        <v>250</v>
      </c>
      <c r="F953" s="4" t="s">
        <v>40</v>
      </c>
      <c r="G953" s="4" t="s">
        <v>41</v>
      </c>
      <c r="H953" t="s">
        <v>36</v>
      </c>
      <c r="I953" s="3">
        <v>3</v>
      </c>
      <c r="J953" s="5">
        <v>2888</v>
      </c>
      <c r="K953" s="7">
        <v>8664</v>
      </c>
      <c r="L953" s="6">
        <v>45329</v>
      </c>
      <c r="M953" s="8" t="str">
        <f>IF(K953&gt;10000,"High",IF(K953&gt;5000,"Medium","Low"))</f>
        <v>Medium</v>
      </c>
      <c r="N953" s="4" t="s">
        <v>240</v>
      </c>
      <c r="O953" s="3">
        <v>2</v>
      </c>
      <c r="P953" s="3">
        <v>2024</v>
      </c>
      <c r="T953" s="4"/>
      <c r="X953"/>
      <c r="Y953" s="3"/>
      <c r="AA953"/>
    </row>
    <row r="954" spans="1:27" x14ac:dyDescent="0.3">
      <c r="A954" s="3">
        <v>1923</v>
      </c>
      <c r="B954" s="4" t="s">
        <v>21</v>
      </c>
      <c r="C954" s="4" t="str">
        <f>IF(D954="","Unknown",IF(D954&lt;20,"Teen",IF(D954&lt;40,"Adult","Senior")))</f>
        <v>Adult</v>
      </c>
      <c r="D954" s="3">
        <v>30</v>
      </c>
      <c r="E954" s="3" t="s">
        <v>250</v>
      </c>
      <c r="F954" s="4" t="s">
        <v>40</v>
      </c>
      <c r="G954" s="4" t="s">
        <v>44</v>
      </c>
      <c r="H954" t="s">
        <v>36</v>
      </c>
      <c r="I954" s="3">
        <v>5</v>
      </c>
      <c r="J954" s="5">
        <v>3265</v>
      </c>
      <c r="K954" s="7">
        <v>16325</v>
      </c>
      <c r="L954" s="6">
        <v>45325</v>
      </c>
      <c r="M954" s="8" t="str">
        <f>IF(K954&gt;10000,"High",IF(K954&gt;5000,"Medium","Low"))</f>
        <v>High</v>
      </c>
      <c r="N954" s="4" t="s">
        <v>240</v>
      </c>
      <c r="O954" s="3">
        <v>2</v>
      </c>
      <c r="P954" s="3">
        <v>2024</v>
      </c>
      <c r="T954" s="4"/>
      <c r="X954"/>
      <c r="Y954" s="3"/>
      <c r="AA954"/>
    </row>
    <row r="955" spans="1:27" x14ac:dyDescent="0.3">
      <c r="A955" s="3">
        <v>1925</v>
      </c>
      <c r="B955" s="4" t="s">
        <v>69</v>
      </c>
      <c r="C955" s="4" t="str">
        <f>IF(D955="","Unknown",IF(D955&lt;20,"Teen",IF(D955&lt;40,"Adult","Senior")))</f>
        <v>Adult</v>
      </c>
      <c r="D955" s="3">
        <v>30</v>
      </c>
      <c r="E955" s="3" t="s">
        <v>250</v>
      </c>
      <c r="F955" s="4" t="s">
        <v>40</v>
      </c>
      <c r="G955" s="4" t="s">
        <v>27</v>
      </c>
      <c r="H955" t="s">
        <v>13</v>
      </c>
      <c r="I955" s="3">
        <v>1</v>
      </c>
      <c r="J955" s="5">
        <v>1000</v>
      </c>
      <c r="K955" s="7">
        <v>1000</v>
      </c>
      <c r="L955" s="6">
        <v>45334</v>
      </c>
      <c r="M955" s="8" t="str">
        <f>IF(K955&gt;10000,"High",IF(K955&gt;5000,"Medium","Low"))</f>
        <v>Low</v>
      </c>
      <c r="N955" s="4" t="s">
        <v>240</v>
      </c>
      <c r="O955" s="3">
        <v>2</v>
      </c>
      <c r="P955" s="3">
        <v>2024</v>
      </c>
      <c r="T955" s="4"/>
      <c r="X955"/>
      <c r="Y955" s="3"/>
      <c r="AA955"/>
    </row>
    <row r="956" spans="1:27" x14ac:dyDescent="0.3">
      <c r="A956" s="3">
        <v>1926</v>
      </c>
      <c r="B956" s="4" t="s">
        <v>48</v>
      </c>
      <c r="C956" s="4" t="str">
        <f>IF(D956="","Unknown",IF(D956&lt;20,"Teen",IF(D956&lt;40,"Adult","Senior")))</f>
        <v>Adult</v>
      </c>
      <c r="D956" s="3">
        <v>30</v>
      </c>
      <c r="E956" s="3" t="s">
        <v>250</v>
      </c>
      <c r="F956" s="4" t="s">
        <v>17</v>
      </c>
      <c r="G956" s="4" t="s">
        <v>51</v>
      </c>
      <c r="H956" t="s">
        <v>13</v>
      </c>
      <c r="I956" s="3">
        <v>2</v>
      </c>
      <c r="J956" s="5">
        <v>1000</v>
      </c>
      <c r="K956" s="7">
        <v>2000</v>
      </c>
      <c r="L956" s="6">
        <v>45330</v>
      </c>
      <c r="M956" s="8" t="str">
        <f>IF(K956&gt;10000,"High",IF(K956&gt;5000,"Medium","Low"))</f>
        <v>Low</v>
      </c>
      <c r="N956" s="4" t="s">
        <v>243</v>
      </c>
      <c r="O956" s="3">
        <v>2</v>
      </c>
      <c r="P956" s="3">
        <v>2024</v>
      </c>
      <c r="T956" s="4"/>
      <c r="X956"/>
      <c r="Y956" s="3"/>
      <c r="AA956"/>
    </row>
    <row r="957" spans="1:27" x14ac:dyDescent="0.3">
      <c r="A957" s="3">
        <v>1927</v>
      </c>
      <c r="B957" s="4" t="s">
        <v>16</v>
      </c>
      <c r="C957" s="4" t="str">
        <f>IF(D957="","Unknown",IF(D957&lt;20,"Teen",IF(D957&lt;40,"Adult","Senior")))</f>
        <v>Adult</v>
      </c>
      <c r="D957" s="3">
        <v>30</v>
      </c>
      <c r="E957" s="3" t="s">
        <v>250</v>
      </c>
      <c r="F957" s="4" t="s">
        <v>17</v>
      </c>
      <c r="G957" s="4" t="s">
        <v>23</v>
      </c>
      <c r="H957" t="s">
        <v>30</v>
      </c>
      <c r="I957" s="3">
        <v>2</v>
      </c>
      <c r="J957" s="5">
        <v>1000</v>
      </c>
      <c r="K957" s="7">
        <v>2000</v>
      </c>
      <c r="L957" s="6">
        <v>45331</v>
      </c>
      <c r="M957" s="8" t="str">
        <f>IF(K957&gt;10000,"High",IF(K957&gt;5000,"Medium","Low"))</f>
        <v>Low</v>
      </c>
      <c r="N957" s="4" t="s">
        <v>240</v>
      </c>
      <c r="O957" s="3">
        <v>2</v>
      </c>
      <c r="P957" s="3">
        <v>2024</v>
      </c>
      <c r="T957" s="4"/>
      <c r="X957"/>
      <c r="Y957" s="3"/>
      <c r="AA957"/>
    </row>
    <row r="958" spans="1:27" x14ac:dyDescent="0.3">
      <c r="A958" s="3">
        <v>1932</v>
      </c>
      <c r="B958" s="4" t="s">
        <v>10</v>
      </c>
      <c r="C958" s="4" t="str">
        <f>IF(D958="","Unknown",IF(D958&lt;20,"Teen",IF(D958&lt;40,"Adult","Senior")))</f>
        <v>Adult</v>
      </c>
      <c r="D958" s="3">
        <v>21</v>
      </c>
      <c r="E958" s="3" t="s">
        <v>250</v>
      </c>
      <c r="F958" s="4" t="s">
        <v>40</v>
      </c>
      <c r="G958" s="4" t="s">
        <v>18</v>
      </c>
      <c r="H958" t="s">
        <v>30</v>
      </c>
      <c r="I958" s="3">
        <v>3</v>
      </c>
      <c r="J958" s="5">
        <v>1000</v>
      </c>
      <c r="K958" s="7">
        <v>3000</v>
      </c>
      <c r="L958" s="6">
        <v>45325</v>
      </c>
      <c r="M958" s="8" t="str">
        <f>IF(K958&gt;10000,"High",IF(K958&gt;5000,"Medium","Low"))</f>
        <v>Low</v>
      </c>
      <c r="N958" s="4" t="s">
        <v>243</v>
      </c>
      <c r="O958" s="3">
        <v>2</v>
      </c>
      <c r="P958" s="3">
        <v>2024</v>
      </c>
      <c r="T958" s="4"/>
      <c r="X958"/>
      <c r="Y958" s="3"/>
      <c r="AA958"/>
    </row>
    <row r="959" spans="1:27" x14ac:dyDescent="0.3">
      <c r="A959" s="3">
        <v>1933</v>
      </c>
      <c r="B959" s="4" t="s">
        <v>59</v>
      </c>
      <c r="C959" s="4" t="str">
        <f>IF(D959="","Unknown",IF(D959&lt;20,"Teen",IF(D959&lt;40,"Adult","Senior")))</f>
        <v>Adult</v>
      </c>
      <c r="D959" s="3">
        <v>32</v>
      </c>
      <c r="E959" s="3" t="s">
        <v>249</v>
      </c>
      <c r="F959" s="4" t="s">
        <v>17</v>
      </c>
      <c r="G959" s="4" t="s">
        <v>18</v>
      </c>
      <c r="H959" t="s">
        <v>30</v>
      </c>
      <c r="I959" s="3">
        <v>2</v>
      </c>
      <c r="J959" s="5">
        <v>1000</v>
      </c>
      <c r="K959" s="7">
        <v>2000</v>
      </c>
      <c r="L959" s="6">
        <v>45333</v>
      </c>
      <c r="M959" s="8" t="str">
        <f>IF(K959&gt;10000,"High",IF(K959&gt;5000,"Medium","Low"))</f>
        <v>Low</v>
      </c>
      <c r="N959" s="4" t="s">
        <v>244</v>
      </c>
      <c r="O959" s="3">
        <v>2</v>
      </c>
      <c r="P959" s="3">
        <v>2024</v>
      </c>
      <c r="T959" s="4"/>
      <c r="X959"/>
      <c r="Y959" s="3"/>
      <c r="AA959"/>
    </row>
    <row r="960" spans="1:27" x14ac:dyDescent="0.3">
      <c r="A960" s="3">
        <v>1937</v>
      </c>
      <c r="B960" s="4" t="s">
        <v>59</v>
      </c>
      <c r="C960" s="4" t="str">
        <f>IF(D960="","Unknown",IF(D960&lt;20,"Teen",IF(D960&lt;40,"Adult","Senior")))</f>
        <v>Adult</v>
      </c>
      <c r="D960" s="3">
        <v>26</v>
      </c>
      <c r="E960" s="3" t="s">
        <v>250</v>
      </c>
      <c r="F960" s="4" t="s">
        <v>40</v>
      </c>
      <c r="G960" s="4" t="s">
        <v>23</v>
      </c>
      <c r="H960" t="s">
        <v>30</v>
      </c>
      <c r="I960" s="3">
        <v>2</v>
      </c>
      <c r="J960" s="5">
        <v>1000</v>
      </c>
      <c r="K960" s="7">
        <v>2000</v>
      </c>
      <c r="L960" s="6">
        <v>45341</v>
      </c>
      <c r="M960" s="8" t="str">
        <f>IF(K960&gt;10000,"High",IF(K960&gt;5000,"Medium","Low"))</f>
        <v>Low</v>
      </c>
      <c r="N960" s="4" t="s">
        <v>241</v>
      </c>
      <c r="O960" s="3">
        <v>2</v>
      </c>
      <c r="P960" s="3">
        <v>2024</v>
      </c>
      <c r="T960" s="4"/>
      <c r="X960"/>
      <c r="Y960" s="3"/>
      <c r="AA960"/>
    </row>
    <row r="961" spans="1:27" x14ac:dyDescent="0.3">
      <c r="A961" s="3">
        <v>1939</v>
      </c>
      <c r="B961" s="4" t="s">
        <v>68</v>
      </c>
      <c r="C961" s="4" t="str">
        <f>IF(D961="","Unknown",IF(D961&lt;20,"Teen",IF(D961&lt;40,"Adult","Senior")))</f>
        <v>Adult</v>
      </c>
      <c r="D961" s="3">
        <v>30</v>
      </c>
      <c r="E961" s="3" t="s">
        <v>250</v>
      </c>
      <c r="F961" s="4" t="s">
        <v>40</v>
      </c>
      <c r="G961" s="4" t="s">
        <v>41</v>
      </c>
      <c r="H961" t="s">
        <v>36</v>
      </c>
      <c r="I961" s="3">
        <v>2</v>
      </c>
      <c r="J961" s="5">
        <v>1000</v>
      </c>
      <c r="K961" s="7">
        <v>2000</v>
      </c>
      <c r="L961" s="6">
        <v>45331</v>
      </c>
      <c r="M961" s="8" t="str">
        <f>IF(K961&gt;10000,"High",IF(K961&gt;5000,"Medium","Low"))</f>
        <v>Low</v>
      </c>
      <c r="N961" s="4" t="s">
        <v>240</v>
      </c>
      <c r="O961" s="3">
        <v>2</v>
      </c>
      <c r="P961" s="3">
        <v>2024</v>
      </c>
      <c r="T961" s="4"/>
      <c r="X961"/>
      <c r="Y961" s="3"/>
      <c r="AA961"/>
    </row>
    <row r="962" spans="1:27" x14ac:dyDescent="0.3">
      <c r="A962" s="3">
        <v>1941</v>
      </c>
      <c r="B962" s="4" t="s">
        <v>69</v>
      </c>
      <c r="C962" s="4" t="str">
        <f>IF(D962="","Unknown",IF(D962&lt;20,"Teen",IF(D962&lt;40,"Adult","Senior")))</f>
        <v>Senior</v>
      </c>
      <c r="D962" s="3">
        <v>43</v>
      </c>
      <c r="E962" s="3" t="s">
        <v>249</v>
      </c>
      <c r="F962" s="4" t="s">
        <v>40</v>
      </c>
      <c r="G962" s="4" t="s">
        <v>51</v>
      </c>
      <c r="H962" t="s">
        <v>13</v>
      </c>
      <c r="I962" s="3">
        <v>2</v>
      </c>
      <c r="J962" s="5">
        <v>18103</v>
      </c>
      <c r="K962" s="7">
        <v>36206</v>
      </c>
      <c r="L962" s="6">
        <v>45349</v>
      </c>
      <c r="M962" s="8" t="str">
        <f>IF(K962&gt;10000,"High",IF(K962&gt;5000,"Medium","Low"))</f>
        <v>High</v>
      </c>
      <c r="N962" s="4" t="s">
        <v>240</v>
      </c>
      <c r="O962" s="3">
        <v>2</v>
      </c>
      <c r="P962" s="3">
        <v>2024</v>
      </c>
      <c r="T962" s="4"/>
      <c r="X962"/>
      <c r="Y962" s="3"/>
      <c r="AA962"/>
    </row>
    <row r="963" spans="1:27" x14ac:dyDescent="0.3">
      <c r="A963" s="3">
        <v>1942</v>
      </c>
      <c r="B963" s="4" t="s">
        <v>78</v>
      </c>
      <c r="C963" s="4" t="str">
        <f>IF(D963="","Unknown",IF(D963&lt;20,"Teen",IF(D963&lt;40,"Adult","Senior")))</f>
        <v>Adult</v>
      </c>
      <c r="D963" s="3">
        <v>30</v>
      </c>
      <c r="E963" s="3" t="s">
        <v>250</v>
      </c>
      <c r="F963" s="4" t="s">
        <v>17</v>
      </c>
      <c r="G963" s="4" t="s">
        <v>27</v>
      </c>
      <c r="H963" t="s">
        <v>13</v>
      </c>
      <c r="I963" s="3">
        <v>4</v>
      </c>
      <c r="J963" s="5">
        <v>1000</v>
      </c>
      <c r="K963" s="7">
        <v>4000</v>
      </c>
      <c r="L963" s="6">
        <v>45323</v>
      </c>
      <c r="M963" s="8" t="str">
        <f>IF(K963&gt;10000,"High",IF(K963&gt;5000,"Medium","Low"))</f>
        <v>Low</v>
      </c>
      <c r="N963" s="4" t="s">
        <v>242</v>
      </c>
      <c r="O963" s="3">
        <v>2</v>
      </c>
      <c r="P963" s="3">
        <v>2024</v>
      </c>
      <c r="T963" s="4"/>
      <c r="X963"/>
      <c r="Y963" s="3"/>
      <c r="AA963"/>
    </row>
    <row r="964" spans="1:27" x14ac:dyDescent="0.3">
      <c r="A964" s="3">
        <v>1943</v>
      </c>
      <c r="B964" s="4" t="s">
        <v>62</v>
      </c>
      <c r="C964" s="4" t="str">
        <f>IF(D964="","Unknown",IF(D964&lt;20,"Teen",IF(D964&lt;40,"Adult","Senior")))</f>
        <v>Adult</v>
      </c>
      <c r="D964" s="3">
        <v>30</v>
      </c>
      <c r="E964" s="3" t="s">
        <v>250</v>
      </c>
      <c r="F964" s="4" t="s">
        <v>40</v>
      </c>
      <c r="G964" s="4" t="s">
        <v>55</v>
      </c>
      <c r="H964" t="s">
        <v>36</v>
      </c>
      <c r="I964" s="3">
        <v>2</v>
      </c>
      <c r="J964" s="5">
        <v>1000</v>
      </c>
      <c r="K964" s="7">
        <v>2000</v>
      </c>
      <c r="L964" s="6">
        <v>45330</v>
      </c>
      <c r="M964" s="8" t="str">
        <f>IF(K964&gt;10000,"High",IF(K964&gt;5000,"Medium","Low"))</f>
        <v>Low</v>
      </c>
      <c r="N964" s="4" t="s">
        <v>241</v>
      </c>
      <c r="O964" s="3">
        <v>2</v>
      </c>
      <c r="P964" s="3">
        <v>2024</v>
      </c>
      <c r="T964" s="4"/>
      <c r="X964"/>
      <c r="Y964" s="3"/>
      <c r="AA964"/>
    </row>
    <row r="965" spans="1:27" x14ac:dyDescent="0.3">
      <c r="A965" s="3">
        <v>1949</v>
      </c>
      <c r="B965" s="4" t="s">
        <v>68</v>
      </c>
      <c r="C965" s="4" t="str">
        <f>IF(D965="","Unknown",IF(D965&lt;20,"Teen",IF(D965&lt;40,"Adult","Senior")))</f>
        <v>Adult</v>
      </c>
      <c r="D965" s="3">
        <v>30</v>
      </c>
      <c r="E965" s="3" t="s">
        <v>250</v>
      </c>
      <c r="F965" s="4" t="s">
        <v>17</v>
      </c>
      <c r="G965" s="4" t="s">
        <v>12</v>
      </c>
      <c r="H965" t="s">
        <v>13</v>
      </c>
      <c r="I965" s="3">
        <v>2</v>
      </c>
      <c r="J965" s="5">
        <v>41664</v>
      </c>
      <c r="K965" s="7">
        <v>83328</v>
      </c>
      <c r="L965" s="6">
        <v>45331</v>
      </c>
      <c r="M965" s="8" t="str">
        <f>IF(K965&gt;10000,"High",IF(K965&gt;5000,"Medium","Low"))</f>
        <v>High</v>
      </c>
      <c r="N965" s="4" t="s">
        <v>242</v>
      </c>
      <c r="O965" s="3">
        <v>2</v>
      </c>
      <c r="P965" s="3">
        <v>2024</v>
      </c>
      <c r="T965" s="4"/>
      <c r="X965"/>
      <c r="Y965" s="3"/>
      <c r="AA965"/>
    </row>
    <row r="966" spans="1:27" x14ac:dyDescent="0.3">
      <c r="A966" s="3">
        <v>1952</v>
      </c>
      <c r="B966" s="4" t="s">
        <v>69</v>
      </c>
      <c r="C966" s="4" t="str">
        <f>IF(D966="","Unknown",IF(D966&lt;20,"Teen",IF(D966&lt;40,"Adult","Senior")))</f>
        <v>Adult</v>
      </c>
      <c r="D966" s="3">
        <v>24</v>
      </c>
      <c r="E966" s="3" t="s">
        <v>250</v>
      </c>
      <c r="F966" s="4" t="s">
        <v>17</v>
      </c>
      <c r="G966" s="4" t="s">
        <v>23</v>
      </c>
      <c r="H966" t="s">
        <v>30</v>
      </c>
      <c r="I966" s="3">
        <v>5</v>
      </c>
      <c r="J966" s="5">
        <v>44656</v>
      </c>
      <c r="K966" s="7">
        <v>223280</v>
      </c>
      <c r="L966" s="6">
        <v>45330</v>
      </c>
      <c r="M966" s="8" t="str">
        <f>IF(K966&gt;10000,"High",IF(K966&gt;5000,"Medium","Low"))</f>
        <v>High</v>
      </c>
      <c r="N966" s="4" t="s">
        <v>242</v>
      </c>
      <c r="O966" s="3">
        <v>2</v>
      </c>
      <c r="P966" s="3">
        <v>2024</v>
      </c>
      <c r="T966" s="4"/>
      <c r="X966"/>
      <c r="Y966" s="3"/>
      <c r="AA966"/>
    </row>
    <row r="967" spans="1:27" x14ac:dyDescent="0.3">
      <c r="A967" s="3">
        <v>1953</v>
      </c>
      <c r="B967" s="4" t="s">
        <v>62</v>
      </c>
      <c r="C967" s="4" t="str">
        <f>IF(D967="","Unknown",IF(D967&lt;20,"Teen",IF(D967&lt;40,"Adult","Senior")))</f>
        <v>Adult</v>
      </c>
      <c r="D967" s="3">
        <v>30</v>
      </c>
      <c r="E967" s="3" t="s">
        <v>250</v>
      </c>
      <c r="F967" s="4" t="s">
        <v>40</v>
      </c>
      <c r="G967" s="4" t="s">
        <v>55</v>
      </c>
      <c r="H967" t="s">
        <v>36</v>
      </c>
      <c r="I967" s="3">
        <v>2</v>
      </c>
      <c r="J967" s="5">
        <v>1000</v>
      </c>
      <c r="K967" s="7">
        <v>2000</v>
      </c>
      <c r="L967" s="6">
        <v>45343</v>
      </c>
      <c r="M967" s="8" t="str">
        <f>IF(K967&gt;10000,"High",IF(K967&gt;5000,"Medium","Low"))</f>
        <v>Low</v>
      </c>
      <c r="N967" s="4" t="s">
        <v>242</v>
      </c>
      <c r="O967" s="3">
        <v>2</v>
      </c>
      <c r="P967" s="3">
        <v>2024</v>
      </c>
      <c r="T967" s="4"/>
      <c r="X967"/>
      <c r="Y967" s="3"/>
      <c r="AA967"/>
    </row>
    <row r="968" spans="1:27" x14ac:dyDescent="0.3">
      <c r="A968" s="3">
        <v>1954</v>
      </c>
      <c r="B968" s="4" t="s">
        <v>69</v>
      </c>
      <c r="C968" s="4" t="str">
        <f>IF(D968="","Unknown",IF(D968&lt;20,"Teen",IF(D968&lt;40,"Adult","Senior")))</f>
        <v>Adult</v>
      </c>
      <c r="D968" s="3">
        <v>30</v>
      </c>
      <c r="E968" s="3" t="s">
        <v>250</v>
      </c>
      <c r="F968" s="4" t="s">
        <v>40</v>
      </c>
      <c r="G968" s="4" t="s">
        <v>44</v>
      </c>
      <c r="H968" t="s">
        <v>36</v>
      </c>
      <c r="I968" s="3">
        <v>2</v>
      </c>
      <c r="J968" s="5">
        <v>1000</v>
      </c>
      <c r="K968" s="7">
        <v>2000</v>
      </c>
      <c r="L968" s="6">
        <v>45331</v>
      </c>
      <c r="M968" s="8" t="str">
        <f>IF(K968&gt;10000,"High",IF(K968&gt;5000,"Medium","Low"))</f>
        <v>Low</v>
      </c>
      <c r="N968" s="4" t="s">
        <v>242</v>
      </c>
      <c r="O968" s="3">
        <v>2</v>
      </c>
      <c r="P968" s="3">
        <v>2024</v>
      </c>
      <c r="T968" s="4"/>
      <c r="X968"/>
      <c r="Y968" s="3"/>
      <c r="AA968"/>
    </row>
    <row r="969" spans="1:27" x14ac:dyDescent="0.3">
      <c r="A969" s="3">
        <v>1957</v>
      </c>
      <c r="B969" s="4" t="s">
        <v>68</v>
      </c>
      <c r="C969" s="4" t="str">
        <f>IF(D969="","Unknown",IF(D969&lt;20,"Teen",IF(D969&lt;40,"Adult","Senior")))</f>
        <v>Adult</v>
      </c>
      <c r="D969" s="3">
        <v>28</v>
      </c>
      <c r="E969" s="3" t="s">
        <v>250</v>
      </c>
      <c r="F969" s="4" t="s">
        <v>40</v>
      </c>
      <c r="G969" s="4" t="s">
        <v>23</v>
      </c>
      <c r="H969" t="s">
        <v>30</v>
      </c>
      <c r="I969" s="3">
        <v>2</v>
      </c>
      <c r="J969" s="5">
        <v>49627</v>
      </c>
      <c r="K969" s="7">
        <v>99254</v>
      </c>
      <c r="L969" s="6">
        <v>45323</v>
      </c>
      <c r="M969" s="8" t="str">
        <f>IF(K969&gt;10000,"High",IF(K969&gt;5000,"Medium","Low"))</f>
        <v>High</v>
      </c>
      <c r="N969" s="4" t="s">
        <v>242</v>
      </c>
      <c r="O969" s="3">
        <v>2</v>
      </c>
      <c r="P969" s="3">
        <v>2024</v>
      </c>
      <c r="T969" s="4"/>
      <c r="X969"/>
      <c r="Y969" s="3"/>
      <c r="AA969"/>
    </row>
    <row r="970" spans="1:27" x14ac:dyDescent="0.3">
      <c r="A970" s="3">
        <v>1960</v>
      </c>
      <c r="B970" s="4" t="s">
        <v>32</v>
      </c>
      <c r="C970" s="4" t="str">
        <f>IF(D970="","Unknown",IF(D970&lt;20,"Teen",IF(D970&lt;40,"Adult","Senior")))</f>
        <v>Senior</v>
      </c>
      <c r="D970" s="3">
        <v>41</v>
      </c>
      <c r="E970" s="3" t="s">
        <v>249</v>
      </c>
      <c r="F970" s="4" t="s">
        <v>40</v>
      </c>
      <c r="G970" s="4" t="s">
        <v>23</v>
      </c>
      <c r="H970" t="s">
        <v>30</v>
      </c>
      <c r="I970" s="3">
        <v>2</v>
      </c>
      <c r="J970" s="5">
        <v>23517</v>
      </c>
      <c r="K970" s="7">
        <v>47034</v>
      </c>
      <c r="L970" s="6">
        <v>45348</v>
      </c>
      <c r="M970" s="8" t="str">
        <f>IF(K970&gt;10000,"High",IF(K970&gt;5000,"Medium","Low"))</f>
        <v>High</v>
      </c>
      <c r="N970" s="4" t="s">
        <v>240</v>
      </c>
      <c r="O970" s="3">
        <v>2</v>
      </c>
      <c r="P970" s="3">
        <v>2024</v>
      </c>
      <c r="T970" s="4"/>
      <c r="X970"/>
      <c r="Y970" s="3"/>
      <c r="AA970"/>
    </row>
    <row r="971" spans="1:27" x14ac:dyDescent="0.3">
      <c r="A971" s="3">
        <v>1963</v>
      </c>
      <c r="B971" s="4" t="s">
        <v>35</v>
      </c>
      <c r="C971" s="4" t="str">
        <f>IF(D971="","Unknown",IF(D971&lt;20,"Teen",IF(D971&lt;40,"Adult","Senior")))</f>
        <v>Adult</v>
      </c>
      <c r="D971" s="3">
        <v>30</v>
      </c>
      <c r="E971" s="3" t="s">
        <v>250</v>
      </c>
      <c r="F971" s="4" t="s">
        <v>40</v>
      </c>
      <c r="G971" s="4" t="s">
        <v>41</v>
      </c>
      <c r="H971" t="s">
        <v>36</v>
      </c>
      <c r="I971" s="3">
        <v>4</v>
      </c>
      <c r="J971" s="5">
        <v>1000</v>
      </c>
      <c r="K971" s="7">
        <v>4000</v>
      </c>
      <c r="L971" s="6">
        <v>45335</v>
      </c>
      <c r="M971" s="8" t="str">
        <f>IF(K971&gt;10000,"High",IF(K971&gt;5000,"Medium","Low"))</f>
        <v>Low</v>
      </c>
      <c r="N971" s="4" t="s">
        <v>243</v>
      </c>
      <c r="O971" s="3">
        <v>2</v>
      </c>
      <c r="P971" s="3">
        <v>2024</v>
      </c>
      <c r="T971" s="4"/>
      <c r="X971"/>
      <c r="Y971" s="3"/>
      <c r="AA971"/>
    </row>
    <row r="972" spans="1:27" x14ac:dyDescent="0.3">
      <c r="A972" s="3">
        <v>1966</v>
      </c>
      <c r="B972" s="4" t="s">
        <v>46</v>
      </c>
      <c r="C972" s="4" t="str">
        <f>IF(D972="","Unknown",IF(D972&lt;20,"Teen",IF(D972&lt;40,"Adult","Senior")))</f>
        <v>Adult</v>
      </c>
      <c r="D972" s="3">
        <v>30</v>
      </c>
      <c r="E972" s="3" t="s">
        <v>250</v>
      </c>
      <c r="F972" s="4" t="s">
        <v>17</v>
      </c>
      <c r="G972" s="4" t="s">
        <v>44</v>
      </c>
      <c r="H972" t="s">
        <v>36</v>
      </c>
      <c r="I972" s="3">
        <v>3</v>
      </c>
      <c r="J972" s="5">
        <v>1000</v>
      </c>
      <c r="K972" s="7">
        <v>3000</v>
      </c>
      <c r="L972" s="6">
        <v>45334</v>
      </c>
      <c r="M972" s="8" t="str">
        <f>IF(K972&gt;10000,"High",IF(K972&gt;5000,"Medium","Low"))</f>
        <v>Low</v>
      </c>
      <c r="N972" s="4" t="s">
        <v>242</v>
      </c>
      <c r="O972" s="3">
        <v>2</v>
      </c>
      <c r="P972" s="3">
        <v>2024</v>
      </c>
      <c r="T972" s="4"/>
      <c r="X972"/>
      <c r="Y972" s="3"/>
      <c r="AA972"/>
    </row>
    <row r="973" spans="1:27" x14ac:dyDescent="0.3">
      <c r="A973" s="3">
        <v>1967</v>
      </c>
      <c r="B973" s="4" t="s">
        <v>25</v>
      </c>
      <c r="C973" s="4" t="str">
        <f>IF(D973="","Unknown",IF(D973&lt;20,"Teen",IF(D973&lt;40,"Adult","Senior")))</f>
        <v>Adult</v>
      </c>
      <c r="D973" s="3">
        <v>30</v>
      </c>
      <c r="E973" s="3" t="s">
        <v>250</v>
      </c>
      <c r="F973" s="4" t="s">
        <v>40</v>
      </c>
      <c r="G973" s="4" t="s">
        <v>18</v>
      </c>
      <c r="H973" t="s">
        <v>30</v>
      </c>
      <c r="I973" s="3">
        <v>2</v>
      </c>
      <c r="J973" s="5">
        <v>1000</v>
      </c>
      <c r="K973" s="7">
        <v>2000</v>
      </c>
      <c r="L973" s="6">
        <v>45333</v>
      </c>
      <c r="M973" s="8" t="str">
        <f>IF(K973&gt;10000,"High",IF(K973&gt;5000,"Medium","Low"))</f>
        <v>Low</v>
      </c>
      <c r="N973" s="4" t="s">
        <v>241</v>
      </c>
      <c r="O973" s="3">
        <v>2</v>
      </c>
      <c r="P973" s="3">
        <v>2024</v>
      </c>
      <c r="T973" s="4"/>
      <c r="X973"/>
      <c r="Y973" s="3"/>
      <c r="AA973"/>
    </row>
    <row r="974" spans="1:27" x14ac:dyDescent="0.3">
      <c r="A974" s="3">
        <v>1972</v>
      </c>
      <c r="B974" s="4" t="s">
        <v>48</v>
      </c>
      <c r="C974" s="4" t="str">
        <f>IF(D974="","Unknown",IF(D974&lt;20,"Teen",IF(D974&lt;40,"Adult","Senior")))</f>
        <v>Adult</v>
      </c>
      <c r="D974" s="3">
        <v>29</v>
      </c>
      <c r="E974" s="3" t="s">
        <v>250</v>
      </c>
      <c r="F974" s="4" t="s">
        <v>17</v>
      </c>
      <c r="G974" s="4" t="s">
        <v>41</v>
      </c>
      <c r="H974" t="s">
        <v>36</v>
      </c>
      <c r="I974" s="3">
        <v>2</v>
      </c>
      <c r="J974" s="5">
        <v>1000</v>
      </c>
      <c r="K974" s="7">
        <v>2000</v>
      </c>
      <c r="L974" s="6">
        <v>45350</v>
      </c>
      <c r="M974" s="8" t="str">
        <f>IF(K974&gt;10000,"High",IF(K974&gt;5000,"Medium","Low"))</f>
        <v>Low</v>
      </c>
      <c r="N974" s="4" t="s">
        <v>243</v>
      </c>
      <c r="O974" s="3">
        <v>2</v>
      </c>
      <c r="P974" s="3">
        <v>2024</v>
      </c>
      <c r="T974" s="4"/>
      <c r="X974"/>
      <c r="Y974" s="3"/>
      <c r="AA974"/>
    </row>
    <row r="975" spans="1:27" x14ac:dyDescent="0.3">
      <c r="A975" s="3">
        <v>1977</v>
      </c>
      <c r="B975" s="4" t="s">
        <v>21</v>
      </c>
      <c r="C975" s="4" t="str">
        <f>IF(D975="","Unknown",IF(D975&lt;20,"Teen",IF(D975&lt;40,"Adult","Senior")))</f>
        <v>Adult</v>
      </c>
      <c r="D975" s="3">
        <v>29</v>
      </c>
      <c r="E975" s="3" t="s">
        <v>250</v>
      </c>
      <c r="F975" s="4" t="s">
        <v>40</v>
      </c>
      <c r="G975" s="4" t="s">
        <v>18</v>
      </c>
      <c r="H975" t="s">
        <v>30</v>
      </c>
      <c r="I975" s="3">
        <v>2</v>
      </c>
      <c r="J975" s="5">
        <v>1000</v>
      </c>
      <c r="K975" s="7">
        <v>2000</v>
      </c>
      <c r="L975" s="6">
        <v>45335</v>
      </c>
      <c r="M975" s="8" t="str">
        <f>IF(K975&gt;10000,"High",IF(K975&gt;5000,"Medium","Low"))</f>
        <v>Low</v>
      </c>
      <c r="N975" s="4" t="s">
        <v>243</v>
      </c>
      <c r="O975" s="3">
        <v>2</v>
      </c>
      <c r="P975" s="3">
        <v>2024</v>
      </c>
      <c r="T975" s="4"/>
      <c r="X975"/>
      <c r="Y975" s="3"/>
      <c r="AA975"/>
    </row>
    <row r="976" spans="1:27" x14ac:dyDescent="0.3">
      <c r="A976" s="3">
        <v>1980</v>
      </c>
      <c r="B976" s="4" t="s">
        <v>10</v>
      </c>
      <c r="C976" s="4" t="str">
        <f>IF(D976="","Unknown",IF(D976&lt;20,"Teen",IF(D976&lt;40,"Adult","Senior")))</f>
        <v>Senior</v>
      </c>
      <c r="D976" s="3">
        <v>46</v>
      </c>
      <c r="E976" s="3" t="s">
        <v>249</v>
      </c>
      <c r="F976" s="4" t="s">
        <v>40</v>
      </c>
      <c r="G976" s="4" t="s">
        <v>41</v>
      </c>
      <c r="H976" t="s">
        <v>36</v>
      </c>
      <c r="I976" s="3">
        <v>2</v>
      </c>
      <c r="J976" s="5">
        <v>1000</v>
      </c>
      <c r="K976" s="7">
        <v>2000</v>
      </c>
      <c r="L976" s="6">
        <v>45350</v>
      </c>
      <c r="M976" s="8" t="str">
        <f>IF(K976&gt;10000,"High",IF(K976&gt;5000,"Medium","Low"))</f>
        <v>Low</v>
      </c>
      <c r="N976" s="4" t="s">
        <v>242</v>
      </c>
      <c r="O976" s="3">
        <v>2</v>
      </c>
      <c r="P976" s="3">
        <v>2024</v>
      </c>
      <c r="T976" s="4"/>
      <c r="X976"/>
      <c r="Y976" s="3"/>
      <c r="AA976"/>
    </row>
    <row r="977" spans="1:27" x14ac:dyDescent="0.3">
      <c r="A977" s="3">
        <v>1981</v>
      </c>
      <c r="B977" s="4" t="s">
        <v>38</v>
      </c>
      <c r="C977" s="4" t="str">
        <f>IF(D977="","Unknown",IF(D977&lt;20,"Teen",IF(D977&lt;40,"Adult","Senior")))</f>
        <v>Senior</v>
      </c>
      <c r="D977" s="3">
        <v>49</v>
      </c>
      <c r="E977" s="3" t="s">
        <v>249</v>
      </c>
      <c r="F977" s="4" t="s">
        <v>17</v>
      </c>
      <c r="G977" s="4" t="s">
        <v>55</v>
      </c>
      <c r="H977" t="s">
        <v>36</v>
      </c>
      <c r="I977" s="3">
        <v>2</v>
      </c>
      <c r="J977" s="5">
        <v>47472</v>
      </c>
      <c r="K977" s="7">
        <v>94944</v>
      </c>
      <c r="L977" s="6">
        <v>45332</v>
      </c>
      <c r="M977" s="8" t="str">
        <f>IF(K977&gt;10000,"High",IF(K977&gt;5000,"Medium","Low"))</f>
        <v>High</v>
      </c>
      <c r="N977" s="4" t="s">
        <v>244</v>
      </c>
      <c r="O977" s="3">
        <v>2</v>
      </c>
      <c r="P977" s="3">
        <v>2024</v>
      </c>
      <c r="T977" s="4"/>
      <c r="X977"/>
      <c r="Y977" s="3"/>
      <c r="AA977"/>
    </row>
    <row r="978" spans="1:27" x14ac:dyDescent="0.3">
      <c r="A978" s="3">
        <v>1984</v>
      </c>
      <c r="B978" s="4" t="s">
        <v>54</v>
      </c>
      <c r="C978" s="4" t="str">
        <f>IF(D978="","Unknown",IF(D978&lt;20,"Teen",IF(D978&lt;40,"Adult","Senior")))</f>
        <v>Adult</v>
      </c>
      <c r="D978" s="3">
        <v>30</v>
      </c>
      <c r="E978" s="3" t="s">
        <v>250</v>
      </c>
      <c r="F978" s="4" t="s">
        <v>40</v>
      </c>
      <c r="G978" s="4" t="s">
        <v>27</v>
      </c>
      <c r="H978" t="s">
        <v>13</v>
      </c>
      <c r="I978" s="3">
        <v>3</v>
      </c>
      <c r="J978" s="5">
        <v>1000</v>
      </c>
      <c r="K978" s="7">
        <v>3000</v>
      </c>
      <c r="L978" s="6">
        <v>45343</v>
      </c>
      <c r="M978" s="8" t="str">
        <f>IF(K978&gt;10000,"High",IF(K978&gt;5000,"Medium","Low"))</f>
        <v>Low</v>
      </c>
      <c r="N978" s="4" t="s">
        <v>244</v>
      </c>
      <c r="O978" s="3">
        <v>2</v>
      </c>
      <c r="P978" s="3">
        <v>2024</v>
      </c>
      <c r="T978" s="4"/>
      <c r="X978"/>
      <c r="Y978" s="3"/>
      <c r="AA978"/>
    </row>
    <row r="979" spans="1:27" x14ac:dyDescent="0.3">
      <c r="A979" s="3">
        <v>1986</v>
      </c>
      <c r="B979" s="4" t="s">
        <v>73</v>
      </c>
      <c r="C979" s="4" t="str">
        <f>IF(D979="","Unknown",IF(D979&lt;20,"Teen",IF(D979&lt;40,"Adult","Senior")))</f>
        <v>Adult</v>
      </c>
      <c r="D979" s="3">
        <v>30</v>
      </c>
      <c r="E979" s="3" t="s">
        <v>250</v>
      </c>
      <c r="F979" s="4" t="s">
        <v>17</v>
      </c>
      <c r="G979" s="4" t="s">
        <v>51</v>
      </c>
      <c r="H979" t="s">
        <v>13</v>
      </c>
      <c r="I979" s="3">
        <v>2</v>
      </c>
      <c r="J979" s="5">
        <v>1000</v>
      </c>
      <c r="K979" s="7">
        <v>2000</v>
      </c>
      <c r="L979" s="6">
        <v>45327</v>
      </c>
      <c r="M979" s="8" t="str">
        <f>IF(K979&gt;10000,"High",IF(K979&gt;5000,"Medium","Low"))</f>
        <v>Low</v>
      </c>
      <c r="N979" s="4" t="s">
        <v>243</v>
      </c>
      <c r="O979" s="3">
        <v>2</v>
      </c>
      <c r="P979" s="3">
        <v>2024</v>
      </c>
      <c r="T979" s="4"/>
      <c r="X979"/>
      <c r="Y979" s="3"/>
      <c r="AA979"/>
    </row>
    <row r="980" spans="1:27" x14ac:dyDescent="0.3">
      <c r="A980" s="3">
        <v>1996</v>
      </c>
      <c r="B980" s="4" t="s">
        <v>35</v>
      </c>
      <c r="C980" s="4" t="str">
        <f>IF(D980="","Unknown",IF(D980&lt;20,"Teen",IF(D980&lt;40,"Adult","Senior")))</f>
        <v>Adult</v>
      </c>
      <c r="D980" s="3">
        <v>30</v>
      </c>
      <c r="E980" s="3" t="s">
        <v>250</v>
      </c>
      <c r="F980" s="4" t="s">
        <v>40</v>
      </c>
      <c r="G980" s="4" t="s">
        <v>18</v>
      </c>
      <c r="H980" t="s">
        <v>30</v>
      </c>
      <c r="I980" s="3">
        <v>2</v>
      </c>
      <c r="J980" s="5">
        <v>1000</v>
      </c>
      <c r="K980" s="7">
        <v>2000</v>
      </c>
      <c r="L980" s="6">
        <v>45326</v>
      </c>
      <c r="M980" s="8" t="str">
        <f>IF(K980&gt;10000,"High",IF(K980&gt;5000,"Medium","Low"))</f>
        <v>Low</v>
      </c>
      <c r="N980" s="4" t="s">
        <v>244</v>
      </c>
      <c r="O980" s="3">
        <v>2</v>
      </c>
      <c r="P980" s="3">
        <v>2024</v>
      </c>
      <c r="T980" s="4"/>
      <c r="X980"/>
      <c r="Y980" s="3"/>
      <c r="AA980"/>
    </row>
    <row r="981" spans="1:27" x14ac:dyDescent="0.3">
      <c r="A981" s="3">
        <v>1997</v>
      </c>
      <c r="B981" s="4" t="s">
        <v>25</v>
      </c>
      <c r="C981" s="4" t="str">
        <f>IF(D981="","Unknown",IF(D981&lt;20,"Teen",IF(D981&lt;40,"Adult","Senior")))</f>
        <v>Adult</v>
      </c>
      <c r="D981" s="3">
        <v>27</v>
      </c>
      <c r="E981" s="3" t="s">
        <v>250</v>
      </c>
      <c r="F981" s="4" t="s">
        <v>17</v>
      </c>
      <c r="G981" s="4" t="s">
        <v>18</v>
      </c>
      <c r="H981" t="s">
        <v>30</v>
      </c>
      <c r="I981" s="3">
        <v>4</v>
      </c>
      <c r="J981" s="5">
        <v>14818</v>
      </c>
      <c r="K981" s="7">
        <v>59272</v>
      </c>
      <c r="L981" s="6">
        <v>45327</v>
      </c>
      <c r="M981" s="8" t="str">
        <f>IF(K981&gt;10000,"High",IF(K981&gt;5000,"Medium","Low"))</f>
        <v>High</v>
      </c>
      <c r="N981" s="4" t="s">
        <v>243</v>
      </c>
      <c r="O981" s="3">
        <v>2</v>
      </c>
      <c r="P981" s="3">
        <v>2024</v>
      </c>
      <c r="T981" s="4"/>
      <c r="X981"/>
      <c r="Y981" s="3"/>
      <c r="AA981"/>
    </row>
    <row r="982" spans="1:27" x14ac:dyDescent="0.3">
      <c r="A982" s="3">
        <v>1998</v>
      </c>
      <c r="B982" s="4" t="s">
        <v>38</v>
      </c>
      <c r="C982" s="4" t="str">
        <f>IF(D982="","Unknown",IF(D982&lt;20,"Teen",IF(D982&lt;40,"Adult","Senior")))</f>
        <v>Adult</v>
      </c>
      <c r="D982" s="3">
        <v>33</v>
      </c>
      <c r="E982" s="3" t="s">
        <v>249</v>
      </c>
      <c r="F982" s="4" t="s">
        <v>17</v>
      </c>
      <c r="G982" s="4" t="s">
        <v>18</v>
      </c>
      <c r="H982" t="s">
        <v>30</v>
      </c>
      <c r="I982" s="3">
        <v>3</v>
      </c>
      <c r="J982" s="5">
        <v>12470</v>
      </c>
      <c r="K982" s="7">
        <v>37410</v>
      </c>
      <c r="L982" s="6">
        <v>45329</v>
      </c>
      <c r="M982" s="8" t="str">
        <f>IF(K982&gt;10000,"High",IF(K982&gt;5000,"Medium","Low"))</f>
        <v>High</v>
      </c>
      <c r="N982" s="4" t="s">
        <v>241</v>
      </c>
      <c r="O982" s="3">
        <v>2</v>
      </c>
      <c r="P982" s="3">
        <v>2024</v>
      </c>
      <c r="T982" s="4"/>
      <c r="X982"/>
      <c r="Y982" s="3"/>
      <c r="AA982"/>
    </row>
    <row r="983" spans="1:27" x14ac:dyDescent="0.3">
      <c r="A983" s="3">
        <v>2000</v>
      </c>
      <c r="B983" s="4" t="s">
        <v>54</v>
      </c>
      <c r="C983" s="4" t="str">
        <f>IF(D983="","Unknown",IF(D983&lt;20,"Teen",IF(D983&lt;40,"Adult","Senior")))</f>
        <v>Adult</v>
      </c>
      <c r="D983" s="3">
        <v>30</v>
      </c>
      <c r="E983" s="3" t="s">
        <v>250</v>
      </c>
      <c r="F983" s="4" t="s">
        <v>17</v>
      </c>
      <c r="G983" s="4" t="s">
        <v>55</v>
      </c>
      <c r="H983" t="s">
        <v>36</v>
      </c>
      <c r="I983" s="3">
        <v>2</v>
      </c>
      <c r="J983" s="5">
        <v>21127</v>
      </c>
      <c r="K983" s="7">
        <v>42254</v>
      </c>
      <c r="L983" s="6">
        <v>45343</v>
      </c>
      <c r="M983" s="8" t="str">
        <f>IF(K983&gt;10000,"High",IF(K983&gt;5000,"Medium","Low"))</f>
        <v>High</v>
      </c>
      <c r="N983" s="4" t="s">
        <v>241</v>
      </c>
      <c r="O983" s="3">
        <v>2</v>
      </c>
      <c r="P983" s="3">
        <v>2024</v>
      </c>
      <c r="T983" s="4"/>
      <c r="X983"/>
      <c r="Y983" s="3"/>
      <c r="AA983"/>
    </row>
    <row r="984" spans="1:27" x14ac:dyDescent="0.3">
      <c r="A984" s="3">
        <v>1021</v>
      </c>
      <c r="B984" s="4" t="s">
        <v>64</v>
      </c>
      <c r="C984" s="4" t="str">
        <f>IF(D984="","Unknown",IF(D984&lt;20,"Teen",IF(D984&lt;40,"Adult","Senior")))</f>
        <v>Teen</v>
      </c>
      <c r="D984" s="3">
        <v>19</v>
      </c>
      <c r="E984" s="3" t="s">
        <v>251</v>
      </c>
      <c r="F984" s="4" t="s">
        <v>40</v>
      </c>
      <c r="G984" s="4" t="s">
        <v>23</v>
      </c>
      <c r="H984" t="s">
        <v>30</v>
      </c>
      <c r="I984" s="3">
        <v>2</v>
      </c>
      <c r="J984" s="5">
        <v>1000</v>
      </c>
      <c r="K984" s="7">
        <v>2000</v>
      </c>
      <c r="L984" s="6">
        <v>45352</v>
      </c>
      <c r="M984" s="8" t="str">
        <f>IF(K984&gt;10000,"High",IF(K984&gt;5000,"Medium","Low"))</f>
        <v>Low</v>
      </c>
      <c r="N984" s="4" t="s">
        <v>244</v>
      </c>
      <c r="O984" s="3">
        <v>3</v>
      </c>
      <c r="P984" s="3">
        <v>2024</v>
      </c>
      <c r="T984" s="4"/>
      <c r="X984"/>
      <c r="Y984" s="3"/>
      <c r="AA984"/>
    </row>
    <row r="985" spans="1:27" x14ac:dyDescent="0.3">
      <c r="A985" s="3">
        <v>1068</v>
      </c>
      <c r="B985" s="4" t="s">
        <v>46</v>
      </c>
      <c r="C985" s="4" t="str">
        <f>IF(D985="","Unknown",IF(D985&lt;20,"Teen",IF(D985&lt;40,"Adult","Senior")))</f>
        <v>Senior</v>
      </c>
      <c r="D985" s="3">
        <v>43</v>
      </c>
      <c r="E985" s="3" t="s">
        <v>249</v>
      </c>
      <c r="F985" s="4" t="s">
        <v>40</v>
      </c>
      <c r="G985" s="4" t="s">
        <v>55</v>
      </c>
      <c r="H985" t="s">
        <v>36</v>
      </c>
      <c r="I985" s="3">
        <v>2</v>
      </c>
      <c r="J985" s="5">
        <v>41430</v>
      </c>
      <c r="K985" s="7">
        <v>82860</v>
      </c>
      <c r="L985" s="6">
        <v>45352</v>
      </c>
      <c r="M985" s="8" t="str">
        <f>IF(K985&gt;10000,"High",IF(K985&gt;5000,"Medium","Low"))</f>
        <v>High</v>
      </c>
      <c r="N985" s="4" t="s">
        <v>241</v>
      </c>
      <c r="O985" s="3">
        <v>3</v>
      </c>
      <c r="P985" s="3">
        <v>2024</v>
      </c>
      <c r="T985" s="4"/>
      <c r="X985"/>
      <c r="Y985" s="3"/>
      <c r="AA985"/>
    </row>
    <row r="986" spans="1:27" x14ac:dyDescent="0.3">
      <c r="A986" s="3">
        <v>1122</v>
      </c>
      <c r="B986" s="4" t="s">
        <v>62</v>
      </c>
      <c r="C986" s="4" t="str">
        <f>IF(D986="","Unknown",IF(D986&lt;20,"Teen",IF(D986&lt;40,"Adult","Senior")))</f>
        <v>Adult</v>
      </c>
      <c r="D986" s="3">
        <v>30</v>
      </c>
      <c r="E986" s="3" t="s">
        <v>250</v>
      </c>
      <c r="F986" s="4" t="s">
        <v>17</v>
      </c>
      <c r="G986" s="4" t="s">
        <v>27</v>
      </c>
      <c r="H986" t="s">
        <v>13</v>
      </c>
      <c r="I986" s="3">
        <v>2</v>
      </c>
      <c r="J986" s="5">
        <v>43604</v>
      </c>
      <c r="K986" s="7">
        <v>87208</v>
      </c>
      <c r="L986" s="6">
        <v>45352</v>
      </c>
      <c r="M986" s="8" t="str">
        <f>IF(K986&gt;10000,"High",IF(K986&gt;5000,"Medium","Low"))</f>
        <v>High</v>
      </c>
      <c r="N986" s="4" t="s">
        <v>241</v>
      </c>
      <c r="O986" s="3">
        <v>3</v>
      </c>
      <c r="P986" s="3">
        <v>2024</v>
      </c>
      <c r="T986" s="4"/>
      <c r="X986"/>
      <c r="Y986" s="3"/>
      <c r="AA986"/>
    </row>
    <row r="987" spans="1:27" x14ac:dyDescent="0.3">
      <c r="A987" s="3">
        <v>1279</v>
      </c>
      <c r="B987" s="4" t="s">
        <v>78</v>
      </c>
      <c r="C987" s="4" t="str">
        <f>IF(D987="","Unknown",IF(D987&lt;20,"Teen",IF(D987&lt;40,"Adult","Senior")))</f>
        <v>Adult</v>
      </c>
      <c r="D987" s="3">
        <v>25</v>
      </c>
      <c r="E987" s="3" t="s">
        <v>250</v>
      </c>
      <c r="F987" s="4" t="s">
        <v>40</v>
      </c>
      <c r="G987" s="4" t="s">
        <v>44</v>
      </c>
      <c r="H987" t="s">
        <v>36</v>
      </c>
      <c r="I987" s="3">
        <v>2</v>
      </c>
      <c r="J987" s="5">
        <v>1000</v>
      </c>
      <c r="K987" s="7">
        <v>2000</v>
      </c>
      <c r="L987" s="6">
        <v>45352</v>
      </c>
      <c r="M987" s="8" t="str">
        <f>IF(K987&gt;10000,"High",IF(K987&gt;5000,"Medium","Low"))</f>
        <v>Low</v>
      </c>
      <c r="N987" s="4" t="s">
        <v>242</v>
      </c>
      <c r="O987" s="3">
        <v>3</v>
      </c>
      <c r="P987" s="3">
        <v>2024</v>
      </c>
      <c r="T987" s="4"/>
      <c r="X987"/>
      <c r="Y987" s="3"/>
      <c r="AA987"/>
    </row>
    <row r="988" spans="1:27" x14ac:dyDescent="0.3">
      <c r="A988" s="3">
        <v>1298</v>
      </c>
      <c r="B988" s="4" t="s">
        <v>64</v>
      </c>
      <c r="C988" s="4" t="str">
        <f>IF(D988="","Unknown",IF(D988&lt;20,"Teen",IF(D988&lt;40,"Adult","Senior")))</f>
        <v>Adult</v>
      </c>
      <c r="D988" s="3">
        <v>30</v>
      </c>
      <c r="E988" s="3" t="s">
        <v>250</v>
      </c>
      <c r="F988" s="4" t="s">
        <v>17</v>
      </c>
      <c r="G988" s="4" t="s">
        <v>27</v>
      </c>
      <c r="H988" t="s">
        <v>13</v>
      </c>
      <c r="I988" s="3">
        <v>5</v>
      </c>
      <c r="J988" s="5">
        <v>36826</v>
      </c>
      <c r="K988" s="7">
        <v>184130</v>
      </c>
      <c r="L988" s="6">
        <v>45352</v>
      </c>
      <c r="M988" s="8" t="str">
        <f>IF(K988&gt;10000,"High",IF(K988&gt;5000,"Medium","Low"))</f>
        <v>High</v>
      </c>
      <c r="N988" s="4" t="s">
        <v>243</v>
      </c>
      <c r="O988" s="3">
        <v>3</v>
      </c>
      <c r="P988" s="3">
        <v>2024</v>
      </c>
      <c r="T988" s="4"/>
      <c r="X988"/>
      <c r="Y988" s="3"/>
      <c r="AA988"/>
    </row>
    <row r="989" spans="1:27" x14ac:dyDescent="0.3">
      <c r="A989" s="3">
        <v>1413</v>
      </c>
      <c r="B989" s="4" t="s">
        <v>35</v>
      </c>
      <c r="C989" s="4" t="str">
        <f>IF(D989="","Unknown",IF(D989&lt;20,"Teen",IF(D989&lt;40,"Adult","Senior")))</f>
        <v>Senior</v>
      </c>
      <c r="D989" s="3">
        <v>43</v>
      </c>
      <c r="E989" s="3" t="s">
        <v>249</v>
      </c>
      <c r="F989" s="4" t="s">
        <v>40</v>
      </c>
      <c r="G989" s="4" t="s">
        <v>51</v>
      </c>
      <c r="H989" t="s">
        <v>13</v>
      </c>
      <c r="I989" s="3">
        <v>2</v>
      </c>
      <c r="J989" s="5">
        <v>1000</v>
      </c>
      <c r="K989" s="7">
        <v>2000</v>
      </c>
      <c r="L989" s="6">
        <v>45352</v>
      </c>
      <c r="M989" s="8" t="str">
        <f>IF(K989&gt;10000,"High",IF(K989&gt;5000,"Medium","Low"))</f>
        <v>Low</v>
      </c>
      <c r="N989" s="4" t="s">
        <v>242</v>
      </c>
      <c r="O989" s="3">
        <v>3</v>
      </c>
      <c r="P989" s="3">
        <v>2024</v>
      </c>
      <c r="T989" s="4"/>
      <c r="X989"/>
      <c r="Y989" s="3"/>
      <c r="AA989"/>
    </row>
    <row r="990" spans="1:27" x14ac:dyDescent="0.3">
      <c r="A990" s="3">
        <v>1448</v>
      </c>
      <c r="B990" s="4" t="s">
        <v>21</v>
      </c>
      <c r="C990" s="4" t="str">
        <f>IF(D990="","Unknown",IF(D990&lt;20,"Teen",IF(D990&lt;40,"Adult","Senior")))</f>
        <v>Adult</v>
      </c>
      <c r="D990" s="3">
        <v>30</v>
      </c>
      <c r="E990" s="3" t="s">
        <v>250</v>
      </c>
      <c r="F990" s="4" t="s">
        <v>17</v>
      </c>
      <c r="G990" s="4" t="s">
        <v>55</v>
      </c>
      <c r="H990" t="s">
        <v>36</v>
      </c>
      <c r="I990" s="3">
        <v>2</v>
      </c>
      <c r="J990" s="5">
        <v>1000</v>
      </c>
      <c r="K990" s="7">
        <v>2000</v>
      </c>
      <c r="L990" s="6">
        <v>45352</v>
      </c>
      <c r="M990" s="8" t="str">
        <f>IF(K990&gt;10000,"High",IF(K990&gt;5000,"Medium","Low"))</f>
        <v>Low</v>
      </c>
      <c r="N990" s="4" t="s">
        <v>242</v>
      </c>
      <c r="O990" s="3">
        <v>3</v>
      </c>
      <c r="P990" s="3">
        <v>2024</v>
      </c>
      <c r="T990" s="4"/>
      <c r="X990"/>
      <c r="Y990" s="3"/>
      <c r="AA990"/>
    </row>
    <row r="991" spans="1:27" x14ac:dyDescent="0.3">
      <c r="A991" s="3">
        <v>1472</v>
      </c>
      <c r="B991" s="4" t="s">
        <v>48</v>
      </c>
      <c r="C991" s="4" t="str">
        <f>IF(D991="","Unknown",IF(D991&lt;20,"Teen",IF(D991&lt;40,"Adult","Senior")))</f>
        <v>Adult</v>
      </c>
      <c r="D991" s="3">
        <v>30</v>
      </c>
      <c r="E991" s="3" t="s">
        <v>250</v>
      </c>
      <c r="F991" s="4" t="s">
        <v>17</v>
      </c>
      <c r="G991" s="4" t="s">
        <v>55</v>
      </c>
      <c r="H991" t="s">
        <v>36</v>
      </c>
      <c r="I991" s="3">
        <v>5</v>
      </c>
      <c r="J991" s="5">
        <v>1000</v>
      </c>
      <c r="K991" s="7">
        <v>5000</v>
      </c>
      <c r="L991" s="6">
        <v>45352</v>
      </c>
      <c r="M991" s="8" t="str">
        <f>IF(K991&gt;10000,"High",IF(K991&gt;5000,"Medium","Low"))</f>
        <v>Low</v>
      </c>
      <c r="N991" s="4" t="s">
        <v>240</v>
      </c>
      <c r="O991" s="3">
        <v>3</v>
      </c>
      <c r="P991" s="3">
        <v>2024</v>
      </c>
      <c r="T991" s="4"/>
      <c r="X991"/>
      <c r="Y991" s="3"/>
      <c r="AA991"/>
    </row>
    <row r="992" spans="1:27" x14ac:dyDescent="0.3">
      <c r="A992" s="3">
        <v>1643</v>
      </c>
      <c r="B992" s="4" t="s">
        <v>32</v>
      </c>
      <c r="C992" s="4" t="str">
        <f>IF(D992="","Unknown",IF(D992&lt;20,"Teen",IF(D992&lt;40,"Adult","Senior")))</f>
        <v>Adult</v>
      </c>
      <c r="D992" s="3">
        <v>30</v>
      </c>
      <c r="E992" s="3" t="s">
        <v>250</v>
      </c>
      <c r="F992" s="4" t="s">
        <v>40</v>
      </c>
      <c r="G992" s="4" t="s">
        <v>23</v>
      </c>
      <c r="H992" t="s">
        <v>30</v>
      </c>
      <c r="I992" s="3">
        <v>3</v>
      </c>
      <c r="J992" s="5">
        <v>1000</v>
      </c>
      <c r="K992" s="7">
        <v>3000</v>
      </c>
      <c r="L992" s="6">
        <v>45352</v>
      </c>
      <c r="M992" s="8" t="str">
        <f>IF(K992&gt;10000,"High",IF(K992&gt;5000,"Medium","Low"))</f>
        <v>Low</v>
      </c>
      <c r="N992" s="4" t="s">
        <v>243</v>
      </c>
      <c r="O992" s="3">
        <v>3</v>
      </c>
      <c r="P992" s="3">
        <v>2024</v>
      </c>
      <c r="T992" s="4"/>
      <c r="X992"/>
      <c r="Y992" s="3"/>
      <c r="AA992"/>
    </row>
    <row r="993" spans="1:27" x14ac:dyDescent="0.3">
      <c r="A993" s="3">
        <v>1755</v>
      </c>
      <c r="B993" s="4" t="s">
        <v>69</v>
      </c>
      <c r="C993" s="4" t="str">
        <f>IF(D993="","Unknown",IF(D993&lt;20,"Teen",IF(D993&lt;40,"Adult","Senior")))</f>
        <v>Adult</v>
      </c>
      <c r="D993" s="3">
        <v>30</v>
      </c>
      <c r="E993" s="3" t="s">
        <v>250</v>
      </c>
      <c r="F993" s="4" t="s">
        <v>17</v>
      </c>
      <c r="G993" s="4" t="s">
        <v>51</v>
      </c>
      <c r="H993" t="s">
        <v>13</v>
      </c>
      <c r="I993" s="3">
        <v>1</v>
      </c>
      <c r="J993" s="5">
        <v>1000</v>
      </c>
      <c r="K993" s="7">
        <v>1000</v>
      </c>
      <c r="L993" s="6">
        <v>45352</v>
      </c>
      <c r="M993" s="8" t="str">
        <f>IF(K993&gt;10000,"High",IF(K993&gt;5000,"Medium","Low"))</f>
        <v>Low</v>
      </c>
      <c r="N993" s="4" t="s">
        <v>244</v>
      </c>
      <c r="O993" s="3">
        <v>3</v>
      </c>
      <c r="P993" s="3">
        <v>2024</v>
      </c>
      <c r="T993" s="4"/>
      <c r="X993"/>
      <c r="Y993" s="3"/>
      <c r="AA993"/>
    </row>
    <row r="994" spans="1:27" x14ac:dyDescent="0.3">
      <c r="A994" s="3">
        <v>1759</v>
      </c>
      <c r="B994" s="4" t="s">
        <v>59</v>
      </c>
      <c r="C994" s="4" t="str">
        <f>IF(D994="","Unknown",IF(D994&lt;20,"Teen",IF(D994&lt;40,"Adult","Senior")))</f>
        <v>Adult</v>
      </c>
      <c r="D994" s="3">
        <v>30</v>
      </c>
      <c r="E994" s="3" t="s">
        <v>250</v>
      </c>
      <c r="F994" s="4" t="s">
        <v>17</v>
      </c>
      <c r="G994" s="4" t="s">
        <v>23</v>
      </c>
      <c r="H994" t="s">
        <v>30</v>
      </c>
      <c r="I994" s="3">
        <v>3</v>
      </c>
      <c r="J994" s="5">
        <v>37864</v>
      </c>
      <c r="K994" s="7">
        <v>113592</v>
      </c>
      <c r="L994" s="6">
        <v>45352</v>
      </c>
      <c r="M994" s="8" t="str">
        <f>IF(K994&gt;10000,"High",IF(K994&gt;5000,"Medium","Low"))</f>
        <v>High</v>
      </c>
      <c r="N994" s="4" t="s">
        <v>241</v>
      </c>
      <c r="O994" s="3">
        <v>3</v>
      </c>
      <c r="P994" s="3">
        <v>2024</v>
      </c>
      <c r="T994" s="4"/>
      <c r="X994"/>
      <c r="Y994" s="3"/>
      <c r="AA994"/>
    </row>
    <row r="995" spans="1:27" x14ac:dyDescent="0.3">
      <c r="A995" s="3">
        <v>1764</v>
      </c>
      <c r="B995" s="4" t="s">
        <v>62</v>
      </c>
      <c r="C995" s="4" t="str">
        <f>IF(D995="","Unknown",IF(D995&lt;20,"Teen",IF(D995&lt;40,"Adult","Senior")))</f>
        <v>Senior</v>
      </c>
      <c r="D995" s="3">
        <v>49</v>
      </c>
      <c r="E995" s="3" t="s">
        <v>249</v>
      </c>
      <c r="F995" s="4" t="s">
        <v>40</v>
      </c>
      <c r="G995" s="4" t="s">
        <v>12</v>
      </c>
      <c r="H995" t="s">
        <v>13</v>
      </c>
      <c r="I995" s="3">
        <v>2</v>
      </c>
      <c r="J995" s="5">
        <v>1000</v>
      </c>
      <c r="K995" s="7">
        <v>2000</v>
      </c>
      <c r="L995" s="6">
        <v>45352</v>
      </c>
      <c r="M995" s="8" t="str">
        <f>IF(K995&gt;10000,"High",IF(K995&gt;5000,"Medium","Low"))</f>
        <v>Low</v>
      </c>
      <c r="N995" s="4" t="s">
        <v>243</v>
      </c>
      <c r="O995" s="3">
        <v>3</v>
      </c>
      <c r="P995" s="3">
        <v>2024</v>
      </c>
      <c r="T995" s="4"/>
      <c r="X995"/>
      <c r="Y995" s="3"/>
      <c r="AA995"/>
    </row>
    <row r="996" spans="1:27" x14ac:dyDescent="0.3">
      <c r="A996" s="3">
        <v>1799</v>
      </c>
      <c r="B996" s="4" t="s">
        <v>78</v>
      </c>
      <c r="C996" s="4" t="str">
        <f>IF(D996="","Unknown",IF(D996&lt;20,"Teen",IF(D996&lt;40,"Adult","Senior")))</f>
        <v>Adult</v>
      </c>
      <c r="D996" s="3">
        <v>30</v>
      </c>
      <c r="E996" s="3" t="s">
        <v>250</v>
      </c>
      <c r="F996" s="4" t="s">
        <v>40</v>
      </c>
      <c r="G996" s="4" t="s">
        <v>51</v>
      </c>
      <c r="H996" t="s">
        <v>13</v>
      </c>
      <c r="I996" s="3">
        <v>2</v>
      </c>
      <c r="J996" s="5">
        <v>47345</v>
      </c>
      <c r="K996" s="7">
        <v>94690</v>
      </c>
      <c r="L996" s="6">
        <v>45352</v>
      </c>
      <c r="M996" s="8" t="str">
        <f>IF(K996&gt;10000,"High",IF(K996&gt;5000,"Medium","Low"))</f>
        <v>High</v>
      </c>
      <c r="N996" s="4" t="s">
        <v>241</v>
      </c>
      <c r="O996" s="3">
        <v>3</v>
      </c>
      <c r="P996" s="3">
        <v>2024</v>
      </c>
      <c r="T996" s="4"/>
      <c r="X996"/>
      <c r="Y996" s="3"/>
      <c r="AA996"/>
    </row>
    <row r="997" spans="1:27" x14ac:dyDescent="0.3">
      <c r="A997" s="3">
        <v>1838</v>
      </c>
      <c r="B997" s="4" t="s">
        <v>38</v>
      </c>
      <c r="C997" s="4" t="str">
        <f>IF(D997="","Unknown",IF(D997&lt;20,"Teen",IF(D997&lt;40,"Adult","Senior")))</f>
        <v>Senior</v>
      </c>
      <c r="D997" s="3">
        <v>44</v>
      </c>
      <c r="E997" s="3" t="s">
        <v>249</v>
      </c>
      <c r="F997" s="4" t="s">
        <v>40</v>
      </c>
      <c r="G997" s="4" t="s">
        <v>27</v>
      </c>
      <c r="H997" t="s">
        <v>13</v>
      </c>
      <c r="I997" s="3">
        <v>2</v>
      </c>
      <c r="J997" s="5">
        <v>1000</v>
      </c>
      <c r="K997" s="7">
        <v>2000</v>
      </c>
      <c r="L997" s="6">
        <v>45352</v>
      </c>
      <c r="M997" s="8" t="str">
        <f>IF(K997&gt;10000,"High",IF(K997&gt;5000,"Medium","Low"))</f>
        <v>Low</v>
      </c>
      <c r="N997" s="4" t="s">
        <v>243</v>
      </c>
      <c r="O997" s="3">
        <v>3</v>
      </c>
      <c r="P997" s="3">
        <v>2024</v>
      </c>
      <c r="T997" s="4"/>
      <c r="X997"/>
      <c r="Y997" s="3"/>
      <c r="AA997"/>
    </row>
    <row r="998" spans="1:27" x14ac:dyDescent="0.3">
      <c r="A998" s="3">
        <v>1886</v>
      </c>
      <c r="B998" s="4" t="s">
        <v>62</v>
      </c>
      <c r="C998" s="4" t="str">
        <f>IF(D998="","Unknown",IF(D998&lt;20,"Teen",IF(D998&lt;40,"Adult","Senior")))</f>
        <v>Adult</v>
      </c>
      <c r="D998" s="3">
        <v>30</v>
      </c>
      <c r="E998" s="3" t="s">
        <v>250</v>
      </c>
      <c r="F998" s="4" t="s">
        <v>40</v>
      </c>
      <c r="G998" s="4" t="s">
        <v>23</v>
      </c>
      <c r="H998" t="s">
        <v>30</v>
      </c>
      <c r="I998" s="3">
        <v>2</v>
      </c>
      <c r="J998" s="5">
        <v>1000</v>
      </c>
      <c r="K998" s="7">
        <v>2000</v>
      </c>
      <c r="L998" s="6">
        <v>45352</v>
      </c>
      <c r="M998" s="8" t="str">
        <f>IF(K998&gt;10000,"High",IF(K998&gt;5000,"Medium","Low"))</f>
        <v>Low</v>
      </c>
      <c r="N998" s="4" t="s">
        <v>240</v>
      </c>
      <c r="O998" s="3">
        <v>3</v>
      </c>
      <c r="P998" s="3">
        <v>2024</v>
      </c>
      <c r="T998" s="4"/>
      <c r="X998"/>
      <c r="Y998" s="3"/>
      <c r="AA998"/>
    </row>
    <row r="999" spans="1:27" x14ac:dyDescent="0.3">
      <c r="A999" s="3">
        <v>1929</v>
      </c>
      <c r="B999" s="4" t="s">
        <v>10</v>
      </c>
      <c r="C999" s="4" t="str">
        <f>IF(D999="","Unknown",IF(D999&lt;20,"Teen",IF(D999&lt;40,"Adult","Senior")))</f>
        <v>Adult</v>
      </c>
      <c r="D999" s="3">
        <v>30</v>
      </c>
      <c r="E999" s="3" t="s">
        <v>250</v>
      </c>
      <c r="F999" s="4" t="s">
        <v>17</v>
      </c>
      <c r="G999" s="4" t="s">
        <v>55</v>
      </c>
      <c r="H999" t="s">
        <v>36</v>
      </c>
      <c r="I999" s="3">
        <v>4</v>
      </c>
      <c r="J999" s="5">
        <v>1000</v>
      </c>
      <c r="K999" s="7">
        <v>4000</v>
      </c>
      <c r="L999" s="6">
        <v>45352</v>
      </c>
      <c r="M999" s="8" t="str">
        <f>IF(K999&gt;10000,"High",IF(K999&gt;5000,"Medium","Low"))</f>
        <v>Low</v>
      </c>
      <c r="N999" s="4" t="s">
        <v>240</v>
      </c>
      <c r="O999" s="3">
        <v>3</v>
      </c>
      <c r="P999" s="3">
        <v>2024</v>
      </c>
      <c r="T999" s="4"/>
      <c r="X999"/>
      <c r="Y999" s="3"/>
      <c r="AA999"/>
    </row>
    <row r="1000" spans="1:27" x14ac:dyDescent="0.3">
      <c r="A1000" s="3">
        <v>1962</v>
      </c>
      <c r="B1000" s="4" t="s">
        <v>62</v>
      </c>
      <c r="C1000" s="4" t="str">
        <f>IF(D1000="","Unknown",IF(D1000&lt;20,"Teen",IF(D1000&lt;40,"Adult","Senior")))</f>
        <v>Adult</v>
      </c>
      <c r="D1000" s="3">
        <v>30</v>
      </c>
      <c r="E1000" s="3" t="s">
        <v>250</v>
      </c>
      <c r="F1000" s="4" t="s">
        <v>40</v>
      </c>
      <c r="G1000" s="4" t="s">
        <v>55</v>
      </c>
      <c r="H1000" t="s">
        <v>36</v>
      </c>
      <c r="I1000" s="3">
        <v>3</v>
      </c>
      <c r="J1000" s="5">
        <v>1000</v>
      </c>
      <c r="K1000" s="7">
        <v>3000</v>
      </c>
      <c r="L1000" s="6">
        <v>45352</v>
      </c>
      <c r="M1000" s="8" t="str">
        <f>IF(K1000&gt;10000,"High",IF(K1000&gt;5000,"Medium","Low"))</f>
        <v>Low</v>
      </c>
      <c r="N1000" s="4" t="s">
        <v>242</v>
      </c>
      <c r="O1000" s="3">
        <v>3</v>
      </c>
      <c r="P1000" s="3">
        <v>2024</v>
      </c>
      <c r="T1000" s="4"/>
      <c r="X1000"/>
      <c r="Y1000" s="3"/>
      <c r="AA1000"/>
    </row>
    <row r="1001" spans="1:27" x14ac:dyDescent="0.3">
      <c r="A1001" s="3">
        <v>1987</v>
      </c>
      <c r="B1001" s="4" t="s">
        <v>38</v>
      </c>
      <c r="C1001" s="4" t="str">
        <f>IF(D1001="","Unknown",IF(D1001&lt;20,"Teen",IF(D1001&lt;40,"Adult","Senior")))</f>
        <v>Adult</v>
      </c>
      <c r="D1001" s="3">
        <v>30</v>
      </c>
      <c r="E1001" s="3" t="s">
        <v>250</v>
      </c>
      <c r="F1001" s="4" t="s">
        <v>17</v>
      </c>
      <c r="G1001" s="4" t="s">
        <v>55</v>
      </c>
      <c r="H1001" t="s">
        <v>36</v>
      </c>
      <c r="I1001" s="3">
        <v>2</v>
      </c>
      <c r="J1001" s="5">
        <v>1000</v>
      </c>
      <c r="K1001" s="7">
        <v>2000</v>
      </c>
      <c r="L1001" s="6">
        <v>45352</v>
      </c>
      <c r="M1001" s="8" t="str">
        <f>IF(K1001&gt;10000,"High",IF(K1001&gt;5000,"Medium","Low"))</f>
        <v>Low</v>
      </c>
      <c r="N1001" s="4" t="s">
        <v>240</v>
      </c>
      <c r="O1001" s="3">
        <v>3</v>
      </c>
      <c r="P1001" s="3">
        <v>2024</v>
      </c>
      <c r="T1001" s="4"/>
      <c r="X1001"/>
      <c r="Y1001" s="3"/>
      <c r="AA1001"/>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82C7A-7078-4AD5-B152-94C1BCCFED42}">
  <dimension ref="A1:H1001"/>
  <sheetViews>
    <sheetView topLeftCell="A892" workbookViewId="0">
      <selection activeCell="H915" sqref="H915"/>
    </sheetView>
  </sheetViews>
  <sheetFormatPr defaultRowHeight="14.4" x14ac:dyDescent="0.3"/>
  <cols>
    <col min="1" max="1" width="6.88671875" style="3" customWidth="1"/>
    <col min="2" max="2" width="13" style="3" bestFit="1" customWidth="1"/>
  </cols>
  <sheetData>
    <row r="1" spans="1:8" x14ac:dyDescent="0.3">
      <c r="A1" s="3" t="s">
        <v>4</v>
      </c>
      <c r="B1" s="3" t="s">
        <v>5</v>
      </c>
      <c r="G1" t="s">
        <v>1</v>
      </c>
    </row>
    <row r="2" spans="1:8" x14ac:dyDescent="0.3">
      <c r="A2" s="4" t="s">
        <v>12</v>
      </c>
      <c r="B2" s="4" t="str">
        <f>VLOOKUP(A2,Cleandata!G2:H1001,2,FALSE)</f>
        <v>Electronics</v>
      </c>
      <c r="G2" t="s">
        <v>10</v>
      </c>
      <c r="H2">
        <f>INDEX(Cleandata!D2:D1001,MATCH(G2,G2:G1001,0))</f>
        <v>50</v>
      </c>
    </row>
    <row r="3" spans="1:8" x14ac:dyDescent="0.3">
      <c r="A3" s="4" t="s">
        <v>18</v>
      </c>
      <c r="B3" s="4" t="str">
        <f>VLOOKUP(A3,Cleandata!G3:H1002,2,FALSE)</f>
        <v>Clothing</v>
      </c>
      <c r="G3" t="s">
        <v>16</v>
      </c>
      <c r="H3">
        <f>INDEX(Cleandata!D3:D1002,MATCH(G3,G3:G1002,0))</f>
        <v>30</v>
      </c>
    </row>
    <row r="4" spans="1:8" x14ac:dyDescent="0.3">
      <c r="A4" s="4" t="s">
        <v>23</v>
      </c>
      <c r="B4" s="4" t="str">
        <f>VLOOKUP(A4,Cleandata!G4:H1003,2,FALSE)</f>
        <v>Clothing</v>
      </c>
      <c r="G4" t="s">
        <v>21</v>
      </c>
      <c r="H4">
        <f>INDEX(Cleandata!D4:D1003,MATCH(G4,G4:G1003,0))</f>
        <v>40</v>
      </c>
    </row>
    <row r="5" spans="1:8" x14ac:dyDescent="0.3">
      <c r="A5" s="4" t="s">
        <v>27</v>
      </c>
      <c r="B5" s="4" t="str">
        <f>VLOOKUP(A5,Cleandata!G5:H1004,2,FALSE)</f>
        <v>Electronics</v>
      </c>
      <c r="G5" t="s">
        <v>25</v>
      </c>
      <c r="H5">
        <f>INDEX(Cleandata!D5:D1004,MATCH(G5,G5:G1004,0))</f>
        <v>30</v>
      </c>
    </row>
    <row r="6" spans="1:8" x14ac:dyDescent="0.3">
      <c r="A6" s="4" t="s">
        <v>27</v>
      </c>
      <c r="B6" s="4" t="str">
        <f>VLOOKUP(A6,Cleandata!G6:H1005,2,FALSE)</f>
        <v>Electronics</v>
      </c>
      <c r="G6" t="s">
        <v>16</v>
      </c>
      <c r="H6">
        <f>INDEX(Cleandata!D6:D1005,MATCH(G6,G6:G1005,0))</f>
        <v>32</v>
      </c>
    </row>
    <row r="7" spans="1:8" x14ac:dyDescent="0.3">
      <c r="A7" s="4" t="s">
        <v>27</v>
      </c>
      <c r="B7" s="4" t="str">
        <f>VLOOKUP(A7,Cleandata!G7:H1006,2,FALSE)</f>
        <v>Electronics</v>
      </c>
      <c r="G7" t="s">
        <v>32</v>
      </c>
      <c r="H7">
        <f>INDEX(Cleandata!D7:D1006,MATCH(G7,G7:G1006,0))</f>
        <v>30</v>
      </c>
    </row>
    <row r="8" spans="1:8" x14ac:dyDescent="0.3">
      <c r="A8" s="4" t="s">
        <v>27</v>
      </c>
      <c r="B8" s="4" t="str">
        <f>VLOOKUP(A8,Cleandata!G8:H1007,2,FALSE)</f>
        <v>Electronics</v>
      </c>
      <c r="G8" t="s">
        <v>35</v>
      </c>
      <c r="H8">
        <f>INDEX(Cleandata!D8:D1007,MATCH(G8,G8:G1007,0))</f>
        <v>28</v>
      </c>
    </row>
    <row r="9" spans="1:8" x14ac:dyDescent="0.3">
      <c r="A9" s="4" t="s">
        <v>27</v>
      </c>
      <c r="B9" s="4" t="str">
        <f>VLOOKUP(A9,Cleandata!G9:H1008,2,FALSE)</f>
        <v>Electronics</v>
      </c>
      <c r="G9" t="s">
        <v>38</v>
      </c>
      <c r="H9">
        <f>INDEX(Cleandata!D9:D1008,MATCH(G9,G9:G1008,0))</f>
        <v>30</v>
      </c>
    </row>
    <row r="10" spans="1:8" x14ac:dyDescent="0.3">
      <c r="A10" s="4" t="s">
        <v>41</v>
      </c>
      <c r="B10" s="4" t="str">
        <f>VLOOKUP(A10,Cleandata!G10:H1009,2,FALSE)</f>
        <v>Accessories</v>
      </c>
      <c r="G10" t="s">
        <v>35</v>
      </c>
      <c r="H10">
        <f>INDEX(Cleandata!D10:D1009,MATCH(G10,G10:G1009,0))</f>
        <v>30</v>
      </c>
    </row>
    <row r="11" spans="1:8" x14ac:dyDescent="0.3">
      <c r="A11" s="4" t="s">
        <v>44</v>
      </c>
      <c r="B11" s="4" t="str">
        <f>VLOOKUP(A11,Cleandata!G11:H1010,2,FALSE)</f>
        <v>Accessories</v>
      </c>
      <c r="G11" t="s">
        <v>35</v>
      </c>
      <c r="H11">
        <f>INDEX(Cleandata!D11:D1010,MATCH(G11,G11:G1010,0))</f>
        <v>30</v>
      </c>
    </row>
    <row r="12" spans="1:8" x14ac:dyDescent="0.3">
      <c r="A12" s="4" t="s">
        <v>41</v>
      </c>
      <c r="B12" s="4" t="str">
        <f>VLOOKUP(A12,Cleandata!G12:H1011,2,FALSE)</f>
        <v>Accessories</v>
      </c>
      <c r="G12" t="s">
        <v>46</v>
      </c>
      <c r="H12">
        <f>INDEX(Cleandata!D12:D1011,MATCH(G12,G12:G1011,0))</f>
        <v>48</v>
      </c>
    </row>
    <row r="13" spans="1:8" x14ac:dyDescent="0.3">
      <c r="A13" s="4" t="s">
        <v>27</v>
      </c>
      <c r="B13" s="4" t="str">
        <f>VLOOKUP(A13,Cleandata!G13:H1012,2,FALSE)</f>
        <v>Electronics</v>
      </c>
      <c r="G13" t="s">
        <v>48</v>
      </c>
      <c r="H13">
        <f>INDEX(Cleandata!D13:D1012,MATCH(G13,G13:G1012,0))</f>
        <v>26</v>
      </c>
    </row>
    <row r="14" spans="1:8" x14ac:dyDescent="0.3">
      <c r="A14" s="4" t="s">
        <v>18</v>
      </c>
      <c r="B14" s="4" t="str">
        <f>VLOOKUP(A14,Cleandata!G14:H1013,2,FALSE)</f>
        <v>Clothing</v>
      </c>
      <c r="G14" t="s">
        <v>48</v>
      </c>
      <c r="H14">
        <f>INDEX(Cleandata!D14:D1013,MATCH(G14,G14:G1013,0))</f>
        <v>28</v>
      </c>
    </row>
    <row r="15" spans="1:8" x14ac:dyDescent="0.3">
      <c r="A15" s="4" t="s">
        <v>51</v>
      </c>
      <c r="B15" s="4" t="str">
        <f>VLOOKUP(A15,Cleandata!G15:H1014,2,FALSE)</f>
        <v>Electronics</v>
      </c>
      <c r="G15" t="s">
        <v>25</v>
      </c>
      <c r="H15">
        <f>INDEX(Cleandata!D15:D1014,MATCH(G15,G15:G1014,0))</f>
        <v>43</v>
      </c>
    </row>
    <row r="16" spans="1:8" x14ac:dyDescent="0.3">
      <c r="A16" s="4" t="s">
        <v>12</v>
      </c>
      <c r="B16" s="4" t="str">
        <f>VLOOKUP(A16,Cleandata!G16:H1015,2,FALSE)</f>
        <v>Electronics</v>
      </c>
      <c r="G16" t="s">
        <v>16</v>
      </c>
      <c r="H16">
        <f>INDEX(Cleandata!D16:D1015,MATCH(G16,G16:G1015,0))</f>
        <v>45</v>
      </c>
    </row>
    <row r="17" spans="1:8" x14ac:dyDescent="0.3">
      <c r="A17" s="4" t="s">
        <v>55</v>
      </c>
      <c r="B17" s="4" t="str">
        <f>VLOOKUP(A17,Cleandata!G17:H1016,2,FALSE)</f>
        <v>Accessories</v>
      </c>
      <c r="G17" t="s">
        <v>54</v>
      </c>
      <c r="H17">
        <f>INDEX(Cleandata!D17:D1016,MATCH(G17,G17:G1016,0))</f>
        <v>45</v>
      </c>
    </row>
    <row r="18" spans="1:8" x14ac:dyDescent="0.3">
      <c r="A18" s="4" t="s">
        <v>55</v>
      </c>
      <c r="B18" s="4" t="str">
        <f>VLOOKUP(A18,Cleandata!G18:H1017,2,FALSE)</f>
        <v>Accessories</v>
      </c>
      <c r="G18" t="s">
        <v>57</v>
      </c>
      <c r="H18">
        <f>INDEX(Cleandata!D18:D1017,MATCH(G18,G18:G1017,0))</f>
        <v>30</v>
      </c>
    </row>
    <row r="19" spans="1:8" x14ac:dyDescent="0.3">
      <c r="A19" s="4" t="s">
        <v>41</v>
      </c>
      <c r="B19" s="4" t="str">
        <f>VLOOKUP(A19,Cleandata!G19:H1018,2,FALSE)</f>
        <v>Accessories</v>
      </c>
      <c r="G19" t="s">
        <v>59</v>
      </c>
      <c r="H19">
        <f>INDEX(Cleandata!D19:D1018,MATCH(G19,G19:G1018,0))</f>
        <v>30</v>
      </c>
    </row>
    <row r="20" spans="1:8" x14ac:dyDescent="0.3">
      <c r="A20" s="4" t="s">
        <v>18</v>
      </c>
      <c r="B20" s="4" t="str">
        <f>VLOOKUP(A20,Cleandata!G20:H1019,2,FALSE)</f>
        <v>Clothing</v>
      </c>
      <c r="G20" t="s">
        <v>32</v>
      </c>
      <c r="H20">
        <f>INDEX(Cleandata!D20:D1019,MATCH(G20,G20:G1019,0))</f>
        <v>37</v>
      </c>
    </row>
    <row r="21" spans="1:8" x14ac:dyDescent="0.3">
      <c r="A21" s="4" t="s">
        <v>18</v>
      </c>
      <c r="B21" s="4" t="str">
        <f>VLOOKUP(A21,Cleandata!G21:H1020,2,FALSE)</f>
        <v>Clothing</v>
      </c>
      <c r="G21" t="s">
        <v>62</v>
      </c>
      <c r="H21">
        <f>INDEX(Cleandata!D21:D1020,MATCH(G21,G21:G1020,0))</f>
        <v>40</v>
      </c>
    </row>
    <row r="22" spans="1:8" x14ac:dyDescent="0.3">
      <c r="A22" s="4" t="s">
        <v>23</v>
      </c>
      <c r="B22" s="4" t="str">
        <f>VLOOKUP(A22,Cleandata!G22:H1021,2,FALSE)</f>
        <v>Clothing</v>
      </c>
      <c r="G22" t="s">
        <v>64</v>
      </c>
      <c r="H22">
        <f>INDEX(Cleandata!D22:D1021,MATCH(G22,G22:G1021,0))</f>
        <v>47</v>
      </c>
    </row>
    <row r="23" spans="1:8" x14ac:dyDescent="0.3">
      <c r="A23" s="4" t="s">
        <v>44</v>
      </c>
      <c r="B23" s="4" t="str">
        <f>VLOOKUP(A23,Cleandata!G23:H1022,2,FALSE)</f>
        <v>Accessories</v>
      </c>
      <c r="G23" t="s">
        <v>16</v>
      </c>
      <c r="H23">
        <f>INDEX(Cleandata!D23:D1022,MATCH(G23,G23:G1022,0))</f>
        <v>30</v>
      </c>
    </row>
    <row r="24" spans="1:8" x14ac:dyDescent="0.3">
      <c r="A24" s="4" t="s">
        <v>18</v>
      </c>
      <c r="B24" s="4" t="str">
        <f>VLOOKUP(A24,Cleandata!G24:H1023,2,FALSE)</f>
        <v>Clothing</v>
      </c>
      <c r="G24" t="s">
        <v>10</v>
      </c>
      <c r="H24">
        <f>INDEX(Cleandata!D24:D1023,MATCH(G24,G24:G1023,0))</f>
        <v>28</v>
      </c>
    </row>
    <row r="25" spans="1:8" x14ac:dyDescent="0.3">
      <c r="A25" s="4" t="s">
        <v>51</v>
      </c>
      <c r="B25" s="4" t="str">
        <f>VLOOKUP(A25,Cleandata!G25:H1024,2,FALSE)</f>
        <v>Electronics</v>
      </c>
      <c r="G25" t="s">
        <v>68</v>
      </c>
      <c r="H25">
        <f>INDEX(Cleandata!D25:D1024,MATCH(G25,G25:G1024,0))</f>
        <v>46</v>
      </c>
    </row>
    <row r="26" spans="1:8" x14ac:dyDescent="0.3">
      <c r="A26" s="4" t="s">
        <v>18</v>
      </c>
      <c r="B26" s="4" t="str">
        <f>VLOOKUP(A26,Cleandata!G26:H1025,2,FALSE)</f>
        <v>Clothing</v>
      </c>
      <c r="G26" t="s">
        <v>57</v>
      </c>
      <c r="H26">
        <f>INDEX(Cleandata!D26:D1025,MATCH(G26,G26:G1025,0))</f>
        <v>30</v>
      </c>
    </row>
    <row r="27" spans="1:8" x14ac:dyDescent="0.3">
      <c r="A27" s="4" t="s">
        <v>27</v>
      </c>
      <c r="B27" s="4" t="str">
        <f>VLOOKUP(A27,Cleandata!G27:H1026,2,FALSE)</f>
        <v>Electronics</v>
      </c>
      <c r="G27" t="s">
        <v>69</v>
      </c>
      <c r="H27">
        <f>INDEX(Cleandata!D27:D1026,MATCH(G27,G27:G1026,0))</f>
        <v>30</v>
      </c>
    </row>
    <row r="28" spans="1:8" x14ac:dyDescent="0.3">
      <c r="A28" s="4" t="s">
        <v>51</v>
      </c>
      <c r="B28" s="4" t="str">
        <f>VLOOKUP(A28,Cleandata!G28:H1027,2,FALSE)</f>
        <v>Electronics</v>
      </c>
      <c r="G28" t="s">
        <v>10</v>
      </c>
      <c r="H28">
        <f>INDEX(Cleandata!D28:D1027,MATCH(G28,G28:G1027,0))</f>
        <v>25</v>
      </c>
    </row>
    <row r="29" spans="1:8" x14ac:dyDescent="0.3">
      <c r="A29" s="4" t="s">
        <v>55</v>
      </c>
      <c r="B29" s="4" t="str">
        <f>VLOOKUP(A29,Cleandata!G29:H1028,2,FALSE)</f>
        <v>Accessories</v>
      </c>
      <c r="G29" t="s">
        <v>57</v>
      </c>
      <c r="H29">
        <f>INDEX(Cleandata!D29:D1028,MATCH(G29,G29:G1028,0))</f>
        <v>30</v>
      </c>
    </row>
    <row r="30" spans="1:8" x14ac:dyDescent="0.3">
      <c r="A30" s="4" t="s">
        <v>51</v>
      </c>
      <c r="B30" s="4" t="str">
        <f>VLOOKUP(A30,Cleandata!G30:H1029,2,FALSE)</f>
        <v>Electronics</v>
      </c>
      <c r="G30" t="s">
        <v>73</v>
      </c>
      <c r="H30">
        <f>INDEX(Cleandata!D30:D1029,MATCH(G30,G30:G1029,0))</f>
        <v>30</v>
      </c>
    </row>
    <row r="31" spans="1:8" x14ac:dyDescent="0.3">
      <c r="A31" s="4" t="s">
        <v>23</v>
      </c>
      <c r="B31" s="4" t="str">
        <f>VLOOKUP(A31,Cleandata!G31:H1030,2,FALSE)</f>
        <v>Clothing</v>
      </c>
      <c r="G31" t="s">
        <v>25</v>
      </c>
      <c r="H31">
        <f>INDEX(Cleandata!D31:D1030,MATCH(G31,G31:G1030,0))</f>
        <v>47</v>
      </c>
    </row>
    <row r="32" spans="1:8" x14ac:dyDescent="0.3">
      <c r="A32" s="4" t="s">
        <v>27</v>
      </c>
      <c r="B32" s="4" t="str">
        <f>VLOOKUP(A32,Cleandata!G32:H1031,2,FALSE)</f>
        <v>Electronics</v>
      </c>
      <c r="G32" t="s">
        <v>64</v>
      </c>
      <c r="H32">
        <f>INDEX(Cleandata!D32:D1031,MATCH(G32,G32:G1031,0))</f>
        <v>30</v>
      </c>
    </row>
    <row r="33" spans="1:8" x14ac:dyDescent="0.3">
      <c r="A33" s="4" t="s">
        <v>12</v>
      </c>
      <c r="B33" s="4" t="str">
        <f>VLOOKUP(A33,Cleandata!G33:H1032,2,FALSE)</f>
        <v>Electronics</v>
      </c>
      <c r="G33" t="s">
        <v>73</v>
      </c>
      <c r="H33">
        <f>INDEX(Cleandata!D33:D1032,MATCH(G33,G33:G1032,0))</f>
        <v>32</v>
      </c>
    </row>
    <row r="34" spans="1:8" x14ac:dyDescent="0.3">
      <c r="A34" s="4" t="s">
        <v>23</v>
      </c>
      <c r="B34" s="4" t="str">
        <f>VLOOKUP(A34,Cleandata!G34:H1033,2,FALSE)</f>
        <v>Clothing</v>
      </c>
      <c r="G34" t="s">
        <v>57</v>
      </c>
      <c r="H34">
        <f>INDEX(Cleandata!D34:D1033,MATCH(G34,G34:G1033,0))</f>
        <v>20</v>
      </c>
    </row>
    <row r="35" spans="1:8" x14ac:dyDescent="0.3">
      <c r="A35" s="4" t="s">
        <v>23</v>
      </c>
      <c r="B35" s="4" t="str">
        <f>VLOOKUP(A35,Cleandata!G35:H1034,2,FALSE)</f>
        <v>Clothing</v>
      </c>
      <c r="G35" t="s">
        <v>25</v>
      </c>
      <c r="H35">
        <f>INDEX(Cleandata!D35:D1034,MATCH(G35,G35:G1034,0))</f>
        <v>30</v>
      </c>
    </row>
    <row r="36" spans="1:8" x14ac:dyDescent="0.3">
      <c r="A36" s="4" t="s">
        <v>44</v>
      </c>
      <c r="B36" s="4" t="str">
        <f>VLOOKUP(A36,Cleandata!G36:H1035,2,FALSE)</f>
        <v>Accessories</v>
      </c>
      <c r="G36" t="s">
        <v>78</v>
      </c>
      <c r="H36">
        <f>INDEX(Cleandata!D36:D1035,MATCH(G36,G36:G1035,0))</f>
        <v>30</v>
      </c>
    </row>
    <row r="37" spans="1:8" x14ac:dyDescent="0.3">
      <c r="A37" s="4" t="s">
        <v>41</v>
      </c>
      <c r="B37" s="4" t="str">
        <f>VLOOKUP(A37,Cleandata!G37:H1036,2,FALSE)</f>
        <v>Accessories</v>
      </c>
      <c r="G37" t="s">
        <v>68</v>
      </c>
      <c r="H37">
        <f>INDEX(Cleandata!D37:D1036,MATCH(G37,G37:G1036,0))</f>
        <v>36</v>
      </c>
    </row>
    <row r="38" spans="1:8" x14ac:dyDescent="0.3">
      <c r="A38" s="4" t="s">
        <v>55</v>
      </c>
      <c r="B38" s="4" t="str">
        <f>VLOOKUP(A38,Cleandata!G38:H1037,2,FALSE)</f>
        <v>Accessories</v>
      </c>
      <c r="G38" t="s">
        <v>62</v>
      </c>
      <c r="H38">
        <f>INDEX(Cleandata!D38:D1037,MATCH(G38,G38:G1037,0))</f>
        <v>45</v>
      </c>
    </row>
    <row r="39" spans="1:8" x14ac:dyDescent="0.3">
      <c r="A39" s="4" t="s">
        <v>12</v>
      </c>
      <c r="B39" s="4" t="str">
        <f>VLOOKUP(A39,Cleandata!G39:H1038,2,FALSE)</f>
        <v>Electronics</v>
      </c>
      <c r="G39" t="s">
        <v>62</v>
      </c>
      <c r="H39">
        <f>INDEX(Cleandata!D39:D1038,MATCH(G39,G39:G1038,0))</f>
        <v>30</v>
      </c>
    </row>
    <row r="40" spans="1:8" x14ac:dyDescent="0.3">
      <c r="A40" s="4" t="s">
        <v>51</v>
      </c>
      <c r="B40" s="4" t="str">
        <f>VLOOKUP(A40,Cleandata!G40:H1039,2,FALSE)</f>
        <v>Electronics</v>
      </c>
      <c r="G40" t="s">
        <v>78</v>
      </c>
      <c r="H40">
        <f>INDEX(Cleandata!D40:D1039,MATCH(G40,G40:G1039,0))</f>
        <v>40</v>
      </c>
    </row>
    <row r="41" spans="1:8" x14ac:dyDescent="0.3">
      <c r="A41" s="4" t="s">
        <v>23</v>
      </c>
      <c r="B41" s="4" t="str">
        <f>VLOOKUP(A41,Cleandata!G41:H1040,2,FALSE)</f>
        <v>Clothing</v>
      </c>
      <c r="G41" t="s">
        <v>16</v>
      </c>
      <c r="H41">
        <f>INDEX(Cleandata!D41:D1040,MATCH(G41,G41:G1040,0))</f>
        <v>38</v>
      </c>
    </row>
    <row r="42" spans="1:8" x14ac:dyDescent="0.3">
      <c r="A42" s="4" t="s">
        <v>41</v>
      </c>
      <c r="B42" s="4" t="str">
        <f>VLOOKUP(A42,Cleandata!G42:H1041,2,FALSE)</f>
        <v>Accessories</v>
      </c>
      <c r="G42" t="s">
        <v>68</v>
      </c>
      <c r="H42">
        <f>INDEX(Cleandata!D42:D1041,MATCH(G42,G42:G1041,0))</f>
        <v>30</v>
      </c>
    </row>
    <row r="43" spans="1:8" x14ac:dyDescent="0.3">
      <c r="A43" s="4" t="s">
        <v>23</v>
      </c>
      <c r="B43" s="4" t="str">
        <f>VLOOKUP(A43,Cleandata!G43:H1042,2,FALSE)</f>
        <v>Clothing</v>
      </c>
      <c r="G43" t="s">
        <v>25</v>
      </c>
      <c r="H43">
        <f>INDEX(Cleandata!D43:D1042,MATCH(G43,G43:G1042,0))</f>
        <v>30</v>
      </c>
    </row>
    <row r="44" spans="1:8" x14ac:dyDescent="0.3">
      <c r="A44" s="4" t="s">
        <v>12</v>
      </c>
      <c r="B44" s="4" t="str">
        <f>VLOOKUP(A44,Cleandata!G44:H1043,2,FALSE)</f>
        <v>Electronics</v>
      </c>
      <c r="G44" t="s">
        <v>64</v>
      </c>
      <c r="H44">
        <f>INDEX(Cleandata!D44:D1043,MATCH(G44,G44:G1043,0))</f>
        <v>30</v>
      </c>
    </row>
    <row r="45" spans="1:8" x14ac:dyDescent="0.3">
      <c r="A45" s="4" t="s">
        <v>27</v>
      </c>
      <c r="B45" s="4" t="str">
        <f>VLOOKUP(A45,Cleandata!G45:H1044,2,FALSE)</f>
        <v>Electronics</v>
      </c>
      <c r="G45" t="s">
        <v>32</v>
      </c>
      <c r="H45">
        <f>INDEX(Cleandata!D45:D1044,MATCH(G45,G45:G1044,0))</f>
        <v>30</v>
      </c>
    </row>
    <row r="46" spans="1:8" x14ac:dyDescent="0.3">
      <c r="A46" s="4" t="s">
        <v>51</v>
      </c>
      <c r="B46" s="4" t="str">
        <f>VLOOKUP(A46,Cleandata!G46:H1045,2,FALSE)</f>
        <v>Electronics</v>
      </c>
      <c r="G46" t="s">
        <v>16</v>
      </c>
      <c r="H46">
        <f>INDEX(Cleandata!D46:D1045,MATCH(G46,G46:G1045,0))</f>
        <v>30</v>
      </c>
    </row>
    <row r="47" spans="1:8" x14ac:dyDescent="0.3">
      <c r="A47" s="4" t="s">
        <v>51</v>
      </c>
      <c r="B47" s="4" t="str">
        <f>VLOOKUP(A47,Cleandata!G47:H1046,2,FALSE)</f>
        <v>Electronics</v>
      </c>
      <c r="G47" t="s">
        <v>57</v>
      </c>
      <c r="H47">
        <f>INDEX(Cleandata!D47:D1046,MATCH(G47,G47:G1046,0))</f>
        <v>37</v>
      </c>
    </row>
    <row r="48" spans="1:8" x14ac:dyDescent="0.3">
      <c r="A48" s="4" t="s">
        <v>51</v>
      </c>
      <c r="B48" s="4" t="str">
        <f>VLOOKUP(A48,Cleandata!G48:H1047,2,FALSE)</f>
        <v>Electronics</v>
      </c>
      <c r="G48" t="s">
        <v>78</v>
      </c>
      <c r="H48">
        <f>INDEX(Cleandata!D48:D1047,MATCH(G48,G48:G1047,0))</f>
        <v>42</v>
      </c>
    </row>
    <row r="49" spans="1:8" x14ac:dyDescent="0.3">
      <c r="A49" s="4" t="s">
        <v>44</v>
      </c>
      <c r="B49" s="4" t="str">
        <f>VLOOKUP(A49,Cleandata!G49:H1048,2,FALSE)</f>
        <v>Accessories</v>
      </c>
      <c r="G49" t="s">
        <v>48</v>
      </c>
      <c r="H49">
        <f>INDEX(Cleandata!D49:D1048,MATCH(G49,G49:G1048,0))</f>
        <v>30</v>
      </c>
    </row>
    <row r="50" spans="1:8" x14ac:dyDescent="0.3">
      <c r="A50" s="4" t="s">
        <v>18</v>
      </c>
      <c r="B50" s="4" t="str">
        <f>VLOOKUP(A50,Cleandata!G50:H1049,2,FALSE)</f>
        <v>Clothing</v>
      </c>
      <c r="G50" t="s">
        <v>62</v>
      </c>
      <c r="H50">
        <f>INDEX(Cleandata!D50:D1049,MATCH(G50,G50:G1049,0))</f>
        <v>39</v>
      </c>
    </row>
    <row r="51" spans="1:8" x14ac:dyDescent="0.3">
      <c r="A51" s="4" t="s">
        <v>12</v>
      </c>
      <c r="B51" s="4" t="str">
        <f>VLOOKUP(A51,Cleandata!G51:H1050,2,FALSE)</f>
        <v>Electronics</v>
      </c>
      <c r="G51" t="s">
        <v>38</v>
      </c>
      <c r="H51">
        <f>INDEX(Cleandata!D51:D1050,MATCH(G51,G51:G1050,0))</f>
        <v>38</v>
      </c>
    </row>
    <row r="52" spans="1:8" x14ac:dyDescent="0.3">
      <c r="A52" s="4" t="s">
        <v>23</v>
      </c>
      <c r="B52" s="4" t="str">
        <f>VLOOKUP(A52,Cleandata!G52:H1051,2,FALSE)</f>
        <v>Clothing</v>
      </c>
      <c r="G52" t="s">
        <v>57</v>
      </c>
      <c r="H52">
        <f>INDEX(Cleandata!D52:D1051,MATCH(G52,G52:G1051,0))</f>
        <v>29</v>
      </c>
    </row>
    <row r="53" spans="1:8" x14ac:dyDescent="0.3">
      <c r="A53" s="4" t="s">
        <v>41</v>
      </c>
      <c r="B53" s="4" t="str">
        <f>VLOOKUP(A53,Cleandata!G53:H1052,2,FALSE)</f>
        <v>Accessories</v>
      </c>
      <c r="G53" t="s">
        <v>48</v>
      </c>
      <c r="H53">
        <f>INDEX(Cleandata!D53:D1052,MATCH(G53,G53:G1052,0))</f>
        <v>30</v>
      </c>
    </row>
    <row r="54" spans="1:8" x14ac:dyDescent="0.3">
      <c r="A54" s="4" t="s">
        <v>27</v>
      </c>
      <c r="B54" s="4" t="str">
        <f>VLOOKUP(A54,Cleandata!G54:H1053,2,FALSE)</f>
        <v>Electronics</v>
      </c>
      <c r="G54" t="s">
        <v>38</v>
      </c>
      <c r="H54">
        <f>INDEX(Cleandata!D54:D1053,MATCH(G54,G54:G1053,0))</f>
        <v>30</v>
      </c>
    </row>
    <row r="55" spans="1:8" x14ac:dyDescent="0.3">
      <c r="A55" s="4" t="s">
        <v>51</v>
      </c>
      <c r="B55" s="4" t="str">
        <f>VLOOKUP(A55,Cleandata!G55:H1054,2,FALSE)</f>
        <v>Electronics</v>
      </c>
      <c r="G55" t="s">
        <v>64</v>
      </c>
      <c r="H55">
        <f>INDEX(Cleandata!D55:D1054,MATCH(G55,G55:G1054,0))</f>
        <v>30</v>
      </c>
    </row>
    <row r="56" spans="1:8" x14ac:dyDescent="0.3">
      <c r="A56" s="4" t="s">
        <v>55</v>
      </c>
      <c r="B56" s="4" t="str">
        <f>VLOOKUP(A56,Cleandata!G56:H1055,2,FALSE)</f>
        <v>Accessories</v>
      </c>
      <c r="G56" t="s">
        <v>25</v>
      </c>
      <c r="H56">
        <f>INDEX(Cleandata!D56:D1055,MATCH(G56,G56:G1055,0))</f>
        <v>47</v>
      </c>
    </row>
    <row r="57" spans="1:8" x14ac:dyDescent="0.3">
      <c r="A57" s="4" t="s">
        <v>23</v>
      </c>
      <c r="B57" s="4" t="str">
        <f>VLOOKUP(A57,Cleandata!G57:H1056,2,FALSE)</f>
        <v>Clothing</v>
      </c>
      <c r="G57" t="s">
        <v>46</v>
      </c>
      <c r="H57">
        <f>INDEX(Cleandata!D57:D1056,MATCH(G57,G57:G1056,0))</f>
        <v>30</v>
      </c>
    </row>
    <row r="58" spans="1:8" x14ac:dyDescent="0.3">
      <c r="A58" s="4" t="s">
        <v>23</v>
      </c>
      <c r="B58" s="4" t="str">
        <f>VLOOKUP(A58,Cleandata!G58:H1057,2,FALSE)</f>
        <v>Clothing</v>
      </c>
      <c r="G58" t="s">
        <v>38</v>
      </c>
      <c r="H58">
        <f>INDEX(Cleandata!D58:D1057,MATCH(G58,G58:G1057,0))</f>
        <v>26</v>
      </c>
    </row>
    <row r="59" spans="1:8" x14ac:dyDescent="0.3">
      <c r="A59" s="4" t="s">
        <v>55</v>
      </c>
      <c r="B59" s="4" t="str">
        <f>VLOOKUP(A59,Cleandata!G59:H1058,2,FALSE)</f>
        <v>Accessories</v>
      </c>
      <c r="G59" t="s">
        <v>46</v>
      </c>
      <c r="H59">
        <f>INDEX(Cleandata!D59:D1058,MATCH(G59,G59:G1058,0))</f>
        <v>30</v>
      </c>
    </row>
    <row r="60" spans="1:8" x14ac:dyDescent="0.3">
      <c r="A60" s="4" t="s">
        <v>12</v>
      </c>
      <c r="B60" s="4" t="str">
        <f>VLOOKUP(A60,Cleandata!G60:H1059,2,FALSE)</f>
        <v>Electronics</v>
      </c>
      <c r="G60" t="s">
        <v>35</v>
      </c>
      <c r="H60">
        <f>INDEX(Cleandata!D60:D1059,MATCH(G60,G60:G1059,0))</f>
        <v>48</v>
      </c>
    </row>
    <row r="61" spans="1:8" x14ac:dyDescent="0.3">
      <c r="A61" s="4" t="s">
        <v>51</v>
      </c>
      <c r="B61" s="4" t="str">
        <f>VLOOKUP(A61,Cleandata!G61:H1060,2,FALSE)</f>
        <v>Electronics</v>
      </c>
      <c r="G61" t="s">
        <v>59</v>
      </c>
      <c r="H61">
        <f>INDEX(Cleandata!D61:D1060,MATCH(G61,G61:G1060,0))</f>
        <v>30</v>
      </c>
    </row>
    <row r="62" spans="1:8" x14ac:dyDescent="0.3">
      <c r="A62" s="4" t="s">
        <v>41</v>
      </c>
      <c r="B62" s="4" t="str">
        <f>VLOOKUP(A62,Cleandata!G62:H1061,2,FALSE)</f>
        <v>Accessories</v>
      </c>
      <c r="G62" t="s">
        <v>64</v>
      </c>
      <c r="H62">
        <f>INDEX(Cleandata!D62:D1061,MATCH(G62,G62:G1061,0))</f>
        <v>28</v>
      </c>
    </row>
    <row r="63" spans="1:8" x14ac:dyDescent="0.3">
      <c r="A63" s="4" t="s">
        <v>23</v>
      </c>
      <c r="B63" s="4" t="str">
        <f>VLOOKUP(A63,Cleandata!G63:H1062,2,FALSE)</f>
        <v>Clothing</v>
      </c>
      <c r="G63" t="s">
        <v>21</v>
      </c>
      <c r="H63">
        <f>INDEX(Cleandata!D63:D1062,MATCH(G63,G63:G1062,0))</f>
        <v>30</v>
      </c>
    </row>
    <row r="64" spans="1:8" x14ac:dyDescent="0.3">
      <c r="A64" s="4" t="s">
        <v>27</v>
      </c>
      <c r="B64" s="4" t="str">
        <f>VLOOKUP(A64,Cleandata!G64:H1063,2,FALSE)</f>
        <v>Electronics</v>
      </c>
      <c r="G64" t="s">
        <v>68</v>
      </c>
      <c r="H64">
        <f>INDEX(Cleandata!D64:D1063,MATCH(G64,G64:G1063,0))</f>
        <v>30</v>
      </c>
    </row>
    <row r="65" spans="1:8" x14ac:dyDescent="0.3">
      <c r="A65" s="4" t="s">
        <v>27</v>
      </c>
      <c r="B65" s="4" t="str">
        <f>VLOOKUP(A65,Cleandata!G65:H1064,2,FALSE)</f>
        <v>Electronics</v>
      </c>
      <c r="G65" t="s">
        <v>73</v>
      </c>
      <c r="H65">
        <f>INDEX(Cleandata!D65:D1064,MATCH(G65,G65:G1064,0))</f>
        <v>45</v>
      </c>
    </row>
    <row r="66" spans="1:8" x14ac:dyDescent="0.3">
      <c r="A66" s="4" t="s">
        <v>12</v>
      </c>
      <c r="B66" s="4" t="str">
        <f>VLOOKUP(A66,Cleandata!G66:H1065,2,FALSE)</f>
        <v>Electronics</v>
      </c>
      <c r="G66" t="s">
        <v>69</v>
      </c>
      <c r="H66">
        <f>INDEX(Cleandata!D66:D1065,MATCH(G66,G66:G1065,0))</f>
        <v>30</v>
      </c>
    </row>
    <row r="67" spans="1:8" x14ac:dyDescent="0.3">
      <c r="A67" s="4" t="s">
        <v>51</v>
      </c>
      <c r="B67" s="4" t="str">
        <f>VLOOKUP(A67,Cleandata!G67:H1066,2,FALSE)</f>
        <v>Electronics</v>
      </c>
      <c r="G67" t="s">
        <v>16</v>
      </c>
      <c r="H67">
        <f>INDEX(Cleandata!D67:D1066,MATCH(G67,G67:G1066,0))</f>
        <v>30</v>
      </c>
    </row>
    <row r="68" spans="1:8" x14ac:dyDescent="0.3">
      <c r="A68" s="4" t="s">
        <v>27</v>
      </c>
      <c r="B68" s="4" t="str">
        <f>VLOOKUP(A68,Cleandata!G68:H1067,2,FALSE)</f>
        <v>Electronics</v>
      </c>
      <c r="G68" t="s">
        <v>10</v>
      </c>
      <c r="H68">
        <f>INDEX(Cleandata!D68:D1067,MATCH(G68,G68:G1067,0))</f>
        <v>30</v>
      </c>
    </row>
    <row r="69" spans="1:8" x14ac:dyDescent="0.3">
      <c r="A69" s="4" t="s">
        <v>55</v>
      </c>
      <c r="B69" s="4" t="str">
        <f>VLOOKUP(A69,Cleandata!G69:H1068,2,FALSE)</f>
        <v>Accessories</v>
      </c>
      <c r="G69" t="s">
        <v>46</v>
      </c>
      <c r="H69">
        <f>INDEX(Cleandata!D69:D1068,MATCH(G69,G69:G1068,0))</f>
        <v>40</v>
      </c>
    </row>
    <row r="70" spans="1:8" x14ac:dyDescent="0.3">
      <c r="A70" s="4" t="s">
        <v>27</v>
      </c>
      <c r="B70" s="4" t="str">
        <f>VLOOKUP(A70,Cleandata!G70:H1069,2,FALSE)</f>
        <v>Electronics</v>
      </c>
      <c r="G70" t="s">
        <v>32</v>
      </c>
      <c r="H70">
        <f>INDEX(Cleandata!D70:D1069,MATCH(G70,G70:G1069,0))</f>
        <v>30</v>
      </c>
    </row>
    <row r="71" spans="1:8" x14ac:dyDescent="0.3">
      <c r="A71" s="4" t="s">
        <v>12</v>
      </c>
      <c r="B71" s="4" t="str">
        <f>VLOOKUP(A71,Cleandata!G71:H1070,2,FALSE)</f>
        <v>Electronics</v>
      </c>
      <c r="G71" t="s">
        <v>59</v>
      </c>
      <c r="H71">
        <f>INDEX(Cleandata!D71:D1070,MATCH(G71,G71:G1070,0))</f>
        <v>30</v>
      </c>
    </row>
    <row r="72" spans="1:8" x14ac:dyDescent="0.3">
      <c r="A72" s="4" t="s">
        <v>51</v>
      </c>
      <c r="B72" s="4" t="str">
        <f>VLOOKUP(A72,Cleandata!G72:H1071,2,FALSE)</f>
        <v>Electronics</v>
      </c>
      <c r="G72" t="s">
        <v>38</v>
      </c>
      <c r="H72">
        <f>INDEX(Cleandata!D72:D1071,MATCH(G72,G72:G1071,0))</f>
        <v>28</v>
      </c>
    </row>
    <row r="73" spans="1:8" x14ac:dyDescent="0.3">
      <c r="A73" s="4" t="s">
        <v>27</v>
      </c>
      <c r="B73" s="4" t="str">
        <f>VLOOKUP(A73,Cleandata!G73:H1072,2,FALSE)</f>
        <v>Electronics</v>
      </c>
      <c r="G73" t="s">
        <v>69</v>
      </c>
      <c r="H73">
        <f>INDEX(Cleandata!D73:D1072,MATCH(G73,G73:G1072,0))</f>
        <v>28</v>
      </c>
    </row>
    <row r="74" spans="1:8" x14ac:dyDescent="0.3">
      <c r="A74" s="4" t="s">
        <v>51</v>
      </c>
      <c r="B74" s="4" t="str">
        <f>VLOOKUP(A74,Cleandata!G74:H1073,2,FALSE)</f>
        <v>Electronics</v>
      </c>
      <c r="G74" t="s">
        <v>10</v>
      </c>
      <c r="H74">
        <f>INDEX(Cleandata!D74:D1073,MATCH(G74,G74:G1073,0))</f>
        <v>30</v>
      </c>
    </row>
    <row r="75" spans="1:8" x14ac:dyDescent="0.3">
      <c r="A75" s="4" t="s">
        <v>27</v>
      </c>
      <c r="B75" s="4" t="str">
        <f>VLOOKUP(A75,Cleandata!G75:H1074,2,FALSE)</f>
        <v>Electronics</v>
      </c>
      <c r="G75" t="s">
        <v>54</v>
      </c>
      <c r="H75">
        <f>INDEX(Cleandata!D75:D1074,MATCH(G75,G75:G1074,0))</f>
        <v>46</v>
      </c>
    </row>
    <row r="76" spans="1:8" x14ac:dyDescent="0.3">
      <c r="A76" s="4" t="s">
        <v>27</v>
      </c>
      <c r="B76" s="4" t="str">
        <f>VLOOKUP(A76,Cleandata!G76:H1075,2,FALSE)</f>
        <v>Electronics</v>
      </c>
      <c r="G76" t="s">
        <v>73</v>
      </c>
      <c r="H76">
        <f>INDEX(Cleandata!D76:D1075,MATCH(G76,G76:G1075,0))</f>
        <v>50</v>
      </c>
    </row>
    <row r="77" spans="1:8" x14ac:dyDescent="0.3">
      <c r="A77" s="4" t="s">
        <v>18</v>
      </c>
      <c r="B77" s="4" t="str">
        <f>VLOOKUP(A77,Cleandata!G77:H1076,2,FALSE)</f>
        <v>Clothing</v>
      </c>
      <c r="G77" t="s">
        <v>25</v>
      </c>
      <c r="H77">
        <f>INDEX(Cleandata!D77:D1076,MATCH(G77,G77:G1076,0))</f>
        <v>30</v>
      </c>
    </row>
    <row r="78" spans="1:8" x14ac:dyDescent="0.3">
      <c r="A78" s="4" t="s">
        <v>23</v>
      </c>
      <c r="B78" s="4" t="str">
        <f>VLOOKUP(A78,Cleandata!G78:H1077,2,FALSE)</f>
        <v>Clothing</v>
      </c>
      <c r="G78" t="s">
        <v>32</v>
      </c>
      <c r="H78">
        <f>INDEX(Cleandata!D78:D1077,MATCH(G78,G78:G1077,0))</f>
        <v>30</v>
      </c>
    </row>
    <row r="79" spans="1:8" x14ac:dyDescent="0.3">
      <c r="A79" s="4" t="s">
        <v>12</v>
      </c>
      <c r="B79" s="4" t="str">
        <f>VLOOKUP(A79,Cleandata!G79:H1078,2,FALSE)</f>
        <v>Electronics</v>
      </c>
      <c r="G79" t="s">
        <v>25</v>
      </c>
      <c r="H79">
        <f>INDEX(Cleandata!D79:D1078,MATCH(G79,G79:G1078,0))</f>
        <v>30</v>
      </c>
    </row>
    <row r="80" spans="1:8" x14ac:dyDescent="0.3">
      <c r="A80" s="4" t="s">
        <v>23</v>
      </c>
      <c r="B80" s="4" t="str">
        <f>VLOOKUP(A80,Cleandata!G80:H1079,2,FALSE)</f>
        <v>Clothing</v>
      </c>
      <c r="G80" t="s">
        <v>54</v>
      </c>
      <c r="H80">
        <f>INDEX(Cleandata!D80:D1079,MATCH(G80,G80:G1079,0))</f>
        <v>30</v>
      </c>
    </row>
    <row r="81" spans="1:8" x14ac:dyDescent="0.3">
      <c r="A81" s="4" t="s">
        <v>51</v>
      </c>
      <c r="B81" s="4" t="str">
        <f>VLOOKUP(A81,Cleandata!G81:H1080,2,FALSE)</f>
        <v>Electronics</v>
      </c>
      <c r="G81" t="s">
        <v>48</v>
      </c>
      <c r="H81">
        <f>INDEX(Cleandata!D81:D1080,MATCH(G81,G81:G1080,0))</f>
        <v>43</v>
      </c>
    </row>
    <row r="82" spans="1:8" x14ac:dyDescent="0.3">
      <c r="A82" s="4" t="s">
        <v>23</v>
      </c>
      <c r="B82" s="4" t="str">
        <f>VLOOKUP(A82,Cleandata!G82:H1081,2,FALSE)</f>
        <v>Clothing</v>
      </c>
      <c r="G82" t="s">
        <v>54</v>
      </c>
      <c r="H82">
        <f>INDEX(Cleandata!D82:D1081,MATCH(G82,G82:G1081,0))</f>
        <v>27</v>
      </c>
    </row>
    <row r="83" spans="1:8" x14ac:dyDescent="0.3">
      <c r="A83" s="4" t="s">
        <v>18</v>
      </c>
      <c r="B83" s="4" t="str">
        <f>VLOOKUP(A83,Cleandata!G83:H1082,2,FALSE)</f>
        <v>Clothing</v>
      </c>
      <c r="G83" t="s">
        <v>16</v>
      </c>
      <c r="H83">
        <f>INDEX(Cleandata!D83:D1082,MATCH(G83,G83:G1082,0))</f>
        <v>48</v>
      </c>
    </row>
    <row r="84" spans="1:8" x14ac:dyDescent="0.3">
      <c r="A84" s="4" t="s">
        <v>55</v>
      </c>
      <c r="B84" s="4" t="str">
        <f>VLOOKUP(A84,Cleandata!G84:H1083,2,FALSE)</f>
        <v>Accessories</v>
      </c>
      <c r="G84" t="s">
        <v>38</v>
      </c>
      <c r="H84">
        <f>INDEX(Cleandata!D84:D1083,MATCH(G84,G84:G1083,0))</f>
        <v>48</v>
      </c>
    </row>
    <row r="85" spans="1:8" x14ac:dyDescent="0.3">
      <c r="A85" s="4" t="s">
        <v>55</v>
      </c>
      <c r="B85" s="4" t="str">
        <f>VLOOKUP(A85,Cleandata!G85:H1084,2,FALSE)</f>
        <v>Accessories</v>
      </c>
      <c r="G85" t="s">
        <v>62</v>
      </c>
      <c r="H85">
        <f>INDEX(Cleandata!D85:D1084,MATCH(G85,G85:G1084,0))</f>
        <v>30</v>
      </c>
    </row>
    <row r="86" spans="1:8" x14ac:dyDescent="0.3">
      <c r="A86" s="4" t="s">
        <v>51</v>
      </c>
      <c r="B86" s="4" t="str">
        <f>VLOOKUP(A86,Cleandata!G86:H1085,2,FALSE)</f>
        <v>Electronics</v>
      </c>
      <c r="G86" t="s">
        <v>64</v>
      </c>
      <c r="H86">
        <f>INDEX(Cleandata!D86:D1085,MATCH(G86,G86:G1085,0))</f>
        <v>30</v>
      </c>
    </row>
    <row r="87" spans="1:8" x14ac:dyDescent="0.3">
      <c r="A87" s="4" t="s">
        <v>23</v>
      </c>
      <c r="B87" s="4" t="str">
        <f>VLOOKUP(A87,Cleandata!G87:H1086,2,FALSE)</f>
        <v>Clothing</v>
      </c>
      <c r="G87" t="s">
        <v>57</v>
      </c>
      <c r="H87">
        <f>INDEX(Cleandata!D87:D1086,MATCH(G87,G87:G1086,0))</f>
        <v>20</v>
      </c>
    </row>
    <row r="88" spans="1:8" x14ac:dyDescent="0.3">
      <c r="A88" s="4" t="s">
        <v>51</v>
      </c>
      <c r="B88" s="4" t="str">
        <f>VLOOKUP(A88,Cleandata!G88:H1087,2,FALSE)</f>
        <v>Electronics</v>
      </c>
      <c r="G88" t="s">
        <v>57</v>
      </c>
      <c r="H88">
        <f>INDEX(Cleandata!D88:D1087,MATCH(G88,G88:G1087,0))</f>
        <v>30</v>
      </c>
    </row>
    <row r="89" spans="1:8" x14ac:dyDescent="0.3">
      <c r="A89" s="4" t="s">
        <v>27</v>
      </c>
      <c r="B89" s="4" t="str">
        <f>VLOOKUP(A89,Cleandata!G89:H1088,2,FALSE)</f>
        <v>Electronics</v>
      </c>
      <c r="G89" t="s">
        <v>59</v>
      </c>
      <c r="H89">
        <f>INDEX(Cleandata!D89:D1088,MATCH(G89,G89:G1088,0))</f>
        <v>47</v>
      </c>
    </row>
    <row r="90" spans="1:8" x14ac:dyDescent="0.3">
      <c r="A90" s="4" t="s">
        <v>51</v>
      </c>
      <c r="B90" s="4" t="str">
        <f>VLOOKUP(A90,Cleandata!G90:H1089,2,FALSE)</f>
        <v>Electronics</v>
      </c>
      <c r="G90" t="s">
        <v>16</v>
      </c>
      <c r="H90">
        <f>INDEX(Cleandata!D90:D1089,MATCH(G90,G90:G1089,0))</f>
        <v>24</v>
      </c>
    </row>
    <row r="91" spans="1:8" x14ac:dyDescent="0.3">
      <c r="A91" s="4" t="s">
        <v>27</v>
      </c>
      <c r="B91" s="4" t="str">
        <f>VLOOKUP(A91,Cleandata!G91:H1090,2,FALSE)</f>
        <v>Electronics</v>
      </c>
      <c r="G91" t="s">
        <v>16</v>
      </c>
      <c r="H91">
        <f>INDEX(Cleandata!D91:D1090,MATCH(G91,G91:G1090,0))</f>
        <v>30</v>
      </c>
    </row>
    <row r="92" spans="1:8" x14ac:dyDescent="0.3">
      <c r="A92" s="4" t="s">
        <v>27</v>
      </c>
      <c r="B92" s="4" t="str">
        <f>VLOOKUP(A92,Cleandata!G92:H1091,2,FALSE)</f>
        <v>Electronics</v>
      </c>
      <c r="G92" t="s">
        <v>10</v>
      </c>
      <c r="H92">
        <f>INDEX(Cleandata!D92:D1091,MATCH(G92,G92:G1091,0))</f>
        <v>30</v>
      </c>
    </row>
    <row r="93" spans="1:8" x14ac:dyDescent="0.3">
      <c r="A93" s="4" t="s">
        <v>55</v>
      </c>
      <c r="B93" s="4" t="str">
        <f>VLOOKUP(A93,Cleandata!G93:H1092,2,FALSE)</f>
        <v>Accessories</v>
      </c>
      <c r="G93" t="s">
        <v>10</v>
      </c>
      <c r="H93">
        <f>INDEX(Cleandata!D93:D1092,MATCH(G93,G93:G1092,0))</f>
        <v>28</v>
      </c>
    </row>
    <row r="94" spans="1:8" x14ac:dyDescent="0.3">
      <c r="A94" s="4" t="s">
        <v>55</v>
      </c>
      <c r="B94" s="4" t="str">
        <f>VLOOKUP(A94,Cleandata!G94:H1093,2,FALSE)</f>
        <v>Accessories</v>
      </c>
      <c r="G94" t="s">
        <v>16</v>
      </c>
      <c r="H94">
        <f>INDEX(Cleandata!D94:D1093,MATCH(G94,G94:G1093,0))</f>
        <v>30</v>
      </c>
    </row>
    <row r="95" spans="1:8" x14ac:dyDescent="0.3">
      <c r="A95" s="4" t="s">
        <v>18</v>
      </c>
      <c r="B95" s="4" t="str">
        <f>VLOOKUP(A95,Cleandata!G95:H1094,2,FALSE)</f>
        <v>Clothing</v>
      </c>
      <c r="G95" t="s">
        <v>62</v>
      </c>
      <c r="H95">
        <f>INDEX(Cleandata!D95:D1094,MATCH(G95,G95:G1094,0))</f>
        <v>25</v>
      </c>
    </row>
    <row r="96" spans="1:8" x14ac:dyDescent="0.3">
      <c r="A96" s="4" t="s">
        <v>27</v>
      </c>
      <c r="B96" s="4" t="str">
        <f>VLOOKUP(A96,Cleandata!G96:H1095,2,FALSE)</f>
        <v>Electronics</v>
      </c>
      <c r="G96" t="s">
        <v>73</v>
      </c>
      <c r="H96">
        <f>INDEX(Cleandata!D96:D1095,MATCH(G96,G96:G1095,0))</f>
        <v>38</v>
      </c>
    </row>
    <row r="97" spans="1:8" x14ac:dyDescent="0.3">
      <c r="A97" s="4" t="s">
        <v>23</v>
      </c>
      <c r="B97" s="4" t="str">
        <f>VLOOKUP(A97,Cleandata!G97:H1096,2,FALSE)</f>
        <v>Clothing</v>
      </c>
      <c r="G97" t="s">
        <v>10</v>
      </c>
      <c r="H97">
        <f>INDEX(Cleandata!D97:D1096,MATCH(G97,G97:G1096,0))</f>
        <v>30</v>
      </c>
    </row>
    <row r="98" spans="1:8" x14ac:dyDescent="0.3">
      <c r="A98" s="4" t="s">
        <v>23</v>
      </c>
      <c r="B98" s="4" t="str">
        <f>VLOOKUP(A98,Cleandata!G98:H1097,2,FALSE)</f>
        <v>Clothing</v>
      </c>
      <c r="G98" t="s">
        <v>54</v>
      </c>
      <c r="H98">
        <f>INDEX(Cleandata!D98:D1097,MATCH(G98,G98:G1097,0))</f>
        <v>30</v>
      </c>
    </row>
    <row r="99" spans="1:8" x14ac:dyDescent="0.3">
      <c r="A99" s="4" t="s">
        <v>44</v>
      </c>
      <c r="B99" s="4" t="str">
        <f>VLOOKUP(A99,Cleandata!G99:H1098,2,FALSE)</f>
        <v>Accessories</v>
      </c>
      <c r="G99" t="s">
        <v>73</v>
      </c>
      <c r="H99">
        <f>INDEX(Cleandata!D99:D1098,MATCH(G99,G99:G1098,0))</f>
        <v>30</v>
      </c>
    </row>
    <row r="100" spans="1:8" x14ac:dyDescent="0.3">
      <c r="A100" s="4" t="s">
        <v>27</v>
      </c>
      <c r="B100" s="4" t="str">
        <f>VLOOKUP(A100,Cleandata!G100:H1099,2,FALSE)</f>
        <v>Electronics</v>
      </c>
      <c r="G100" t="s">
        <v>35</v>
      </c>
      <c r="H100">
        <f>INDEX(Cleandata!D100:D1099,MATCH(G100,G100:G1099,0))</f>
        <v>30</v>
      </c>
    </row>
    <row r="101" spans="1:8" x14ac:dyDescent="0.3">
      <c r="A101" s="4" t="s">
        <v>41</v>
      </c>
      <c r="B101" s="4" t="str">
        <f>VLOOKUP(A101,Cleandata!G101:H1100,2,FALSE)</f>
        <v>Accessories</v>
      </c>
      <c r="G101" t="s">
        <v>21</v>
      </c>
      <c r="H101">
        <f>INDEX(Cleandata!D101:D1100,MATCH(G101,G101:G1100,0))</f>
        <v>30</v>
      </c>
    </row>
    <row r="102" spans="1:8" x14ac:dyDescent="0.3">
      <c r="A102" s="4" t="s">
        <v>44</v>
      </c>
      <c r="B102" s="4" t="str">
        <f>VLOOKUP(A102,Cleandata!G102:H1101,2,FALSE)</f>
        <v>Accessories</v>
      </c>
      <c r="G102" t="s">
        <v>38</v>
      </c>
      <c r="H102">
        <f>INDEX(Cleandata!D102:D1101,MATCH(G102,G102:G1101,0))</f>
        <v>19</v>
      </c>
    </row>
    <row r="103" spans="1:8" x14ac:dyDescent="0.3">
      <c r="A103" s="4" t="s">
        <v>55</v>
      </c>
      <c r="B103" s="4" t="str">
        <f>VLOOKUP(A103,Cleandata!G103:H1102,2,FALSE)</f>
        <v>Accessories</v>
      </c>
      <c r="G103" t="s">
        <v>21</v>
      </c>
      <c r="H103">
        <f>INDEX(Cleandata!D103:D1102,MATCH(G103,G103:G1102,0))</f>
        <v>30</v>
      </c>
    </row>
    <row r="104" spans="1:8" x14ac:dyDescent="0.3">
      <c r="A104" s="4" t="s">
        <v>55</v>
      </c>
      <c r="B104" s="4" t="str">
        <f>VLOOKUP(A104,Cleandata!G104:H1103,2,FALSE)</f>
        <v>Accessories</v>
      </c>
      <c r="G104" t="s">
        <v>46</v>
      </c>
      <c r="H104">
        <f>INDEX(Cleandata!D104:D1103,MATCH(G104,G104:G1103,0))</f>
        <v>46</v>
      </c>
    </row>
    <row r="105" spans="1:8" x14ac:dyDescent="0.3">
      <c r="A105" s="4" t="s">
        <v>55</v>
      </c>
      <c r="B105" s="4" t="str">
        <f>VLOOKUP(A105,Cleandata!G105:H1104,2,FALSE)</f>
        <v>Accessories</v>
      </c>
      <c r="G105" t="s">
        <v>54</v>
      </c>
      <c r="H105">
        <f>INDEX(Cleandata!D105:D1104,MATCH(G105,G105:G1104,0))</f>
        <v>30</v>
      </c>
    </row>
    <row r="106" spans="1:8" x14ac:dyDescent="0.3">
      <c r="A106" s="4" t="s">
        <v>51</v>
      </c>
      <c r="B106" s="4" t="str">
        <f>VLOOKUP(A106,Cleandata!G106:H1105,2,FALSE)</f>
        <v>Electronics</v>
      </c>
      <c r="G106" t="s">
        <v>48</v>
      </c>
      <c r="H106">
        <f>INDEX(Cleandata!D106:D1105,MATCH(G106,G106:G1105,0))</f>
        <v>30</v>
      </c>
    </row>
    <row r="107" spans="1:8" x14ac:dyDescent="0.3">
      <c r="A107" s="4" t="s">
        <v>41</v>
      </c>
      <c r="B107" s="4" t="str">
        <f>VLOOKUP(A107,Cleandata!G107:H1106,2,FALSE)</f>
        <v>Accessories</v>
      </c>
      <c r="G107" t="s">
        <v>25</v>
      </c>
      <c r="H107">
        <f>INDEX(Cleandata!D107:D1106,MATCH(G107,G107:G1106,0))</f>
        <v>30</v>
      </c>
    </row>
    <row r="108" spans="1:8" x14ac:dyDescent="0.3">
      <c r="A108" s="4" t="s">
        <v>55</v>
      </c>
      <c r="B108" s="4" t="str">
        <f>VLOOKUP(A108,Cleandata!G108:H1107,2,FALSE)</f>
        <v>Accessories</v>
      </c>
      <c r="G108" t="s">
        <v>78</v>
      </c>
      <c r="H108">
        <f>INDEX(Cleandata!D108:D1107,MATCH(G108,G108:G1107,0))</f>
        <v>35</v>
      </c>
    </row>
    <row r="109" spans="1:8" x14ac:dyDescent="0.3">
      <c r="A109" s="4" t="s">
        <v>27</v>
      </c>
      <c r="B109" s="4" t="str">
        <f>VLOOKUP(A109,Cleandata!G109:H1108,2,FALSE)</f>
        <v>Electronics</v>
      </c>
      <c r="G109" t="s">
        <v>54</v>
      </c>
      <c r="H109">
        <f>INDEX(Cleandata!D109:D1108,MATCH(G109,G109:G1108,0))</f>
        <v>30</v>
      </c>
    </row>
    <row r="110" spans="1:8" x14ac:dyDescent="0.3">
      <c r="A110" s="4" t="s">
        <v>55</v>
      </c>
      <c r="B110" s="4" t="str">
        <f>VLOOKUP(A110,Cleandata!G110:H1109,2,FALSE)</f>
        <v>Accessories</v>
      </c>
      <c r="G110" t="s">
        <v>73</v>
      </c>
      <c r="H110">
        <f>INDEX(Cleandata!D110:D1109,MATCH(G110,G110:G1109,0))</f>
        <v>30</v>
      </c>
    </row>
    <row r="111" spans="1:8" x14ac:dyDescent="0.3">
      <c r="A111" s="4" t="s">
        <v>12</v>
      </c>
      <c r="B111" s="4" t="str">
        <f>VLOOKUP(A111,Cleandata!G111:H1110,2,FALSE)</f>
        <v>Electronics</v>
      </c>
      <c r="G111" t="s">
        <v>48</v>
      </c>
      <c r="H111">
        <f>INDEX(Cleandata!D111:D1110,MATCH(G111,G111:G1110,0))</f>
        <v>22</v>
      </c>
    </row>
    <row r="112" spans="1:8" x14ac:dyDescent="0.3">
      <c r="A112" s="4" t="s">
        <v>18</v>
      </c>
      <c r="B112" s="4" t="str">
        <f>VLOOKUP(A112,Cleandata!G112:H1111,2,FALSE)</f>
        <v>Clothing</v>
      </c>
      <c r="G112" t="s">
        <v>35</v>
      </c>
      <c r="H112">
        <f>INDEX(Cleandata!D112:D1111,MATCH(G112,G112:G1111,0))</f>
        <v>34</v>
      </c>
    </row>
    <row r="113" spans="1:8" x14ac:dyDescent="0.3">
      <c r="A113" s="4" t="s">
        <v>44</v>
      </c>
      <c r="B113" s="4" t="str">
        <f>VLOOKUP(A113,Cleandata!G113:H1112,2,FALSE)</f>
        <v>Accessories</v>
      </c>
      <c r="G113" t="s">
        <v>59</v>
      </c>
      <c r="H113">
        <f>INDEX(Cleandata!D113:D1112,MATCH(G113,G113:G1112,0))</f>
        <v>30</v>
      </c>
    </row>
    <row r="114" spans="1:8" x14ac:dyDescent="0.3">
      <c r="A114" s="4" t="s">
        <v>41</v>
      </c>
      <c r="B114" s="4" t="str">
        <f>VLOOKUP(A114,Cleandata!G114:H1113,2,FALSE)</f>
        <v>Accessories</v>
      </c>
      <c r="G114" t="s">
        <v>35</v>
      </c>
      <c r="H114">
        <f>INDEX(Cleandata!D114:D1113,MATCH(G114,G114:G1113,0))</f>
        <v>35</v>
      </c>
    </row>
    <row r="115" spans="1:8" x14ac:dyDescent="0.3">
      <c r="A115" s="4" t="s">
        <v>55</v>
      </c>
      <c r="B115" s="4" t="str">
        <f>VLOOKUP(A115,Cleandata!G115:H1114,2,FALSE)</f>
        <v>Accessories</v>
      </c>
      <c r="G115" t="s">
        <v>68</v>
      </c>
      <c r="H115">
        <f>INDEX(Cleandata!D115:D1114,MATCH(G115,G115:G1114,0))</f>
        <v>24</v>
      </c>
    </row>
    <row r="116" spans="1:8" x14ac:dyDescent="0.3">
      <c r="A116" s="4" t="s">
        <v>18</v>
      </c>
      <c r="B116" s="4" t="str">
        <f>VLOOKUP(A116,Cleandata!G116:H1115,2,FALSE)</f>
        <v>Clothing</v>
      </c>
      <c r="G116" t="s">
        <v>54</v>
      </c>
      <c r="H116">
        <f>INDEX(Cleandata!D116:D1115,MATCH(G116,G116:G1115,0))</f>
        <v>30</v>
      </c>
    </row>
    <row r="117" spans="1:8" x14ac:dyDescent="0.3">
      <c r="A117" s="4" t="s">
        <v>23</v>
      </c>
      <c r="B117" s="4" t="str">
        <f>VLOOKUP(A117,Cleandata!G117:H1116,2,FALSE)</f>
        <v>Clothing</v>
      </c>
      <c r="G117" t="s">
        <v>48</v>
      </c>
      <c r="H117">
        <f>INDEX(Cleandata!D117:D1116,MATCH(G117,G117:G1116,0))</f>
        <v>22</v>
      </c>
    </row>
    <row r="118" spans="1:8" x14ac:dyDescent="0.3">
      <c r="A118" s="4" t="s">
        <v>51</v>
      </c>
      <c r="B118" s="4" t="str">
        <f>VLOOKUP(A118,Cleandata!G118:H1117,2,FALSE)</f>
        <v>Electronics</v>
      </c>
      <c r="G118" t="s">
        <v>25</v>
      </c>
      <c r="H118">
        <f>INDEX(Cleandata!D118:D1117,MATCH(G118,G118:G1117,0))</f>
        <v>30</v>
      </c>
    </row>
    <row r="119" spans="1:8" x14ac:dyDescent="0.3">
      <c r="A119" s="4" t="s">
        <v>55</v>
      </c>
      <c r="B119" s="4" t="str">
        <f>VLOOKUP(A119,Cleandata!G119:H1118,2,FALSE)</f>
        <v>Accessories</v>
      </c>
      <c r="G119" t="s">
        <v>35</v>
      </c>
      <c r="H119">
        <f>INDEX(Cleandata!D119:D1118,MATCH(G119,G119:G1118,0))</f>
        <v>19</v>
      </c>
    </row>
    <row r="120" spans="1:8" x14ac:dyDescent="0.3">
      <c r="A120" s="4" t="s">
        <v>23</v>
      </c>
      <c r="B120" s="4" t="str">
        <f>VLOOKUP(A120,Cleandata!G120:H1119,2,FALSE)</f>
        <v>Clothing</v>
      </c>
      <c r="G120" t="s">
        <v>78</v>
      </c>
      <c r="H120">
        <f>INDEX(Cleandata!D120:D1119,MATCH(G120,G120:G1119,0))</f>
        <v>30</v>
      </c>
    </row>
    <row r="121" spans="1:8" x14ac:dyDescent="0.3">
      <c r="A121" s="4" t="s">
        <v>51</v>
      </c>
      <c r="B121" s="4" t="str">
        <f>VLOOKUP(A121,Cleandata!G121:H1120,2,FALSE)</f>
        <v>Electronics</v>
      </c>
      <c r="G121" t="s">
        <v>68</v>
      </c>
      <c r="H121">
        <f>INDEX(Cleandata!D121:D1120,MATCH(G121,G121:G1120,0))</f>
        <v>30</v>
      </c>
    </row>
    <row r="122" spans="1:8" x14ac:dyDescent="0.3">
      <c r="A122" s="4" t="s">
        <v>41</v>
      </c>
      <c r="B122" s="4" t="str">
        <f>VLOOKUP(A122,Cleandata!G122:H1121,2,FALSE)</f>
        <v>Accessories</v>
      </c>
      <c r="G122" t="s">
        <v>16</v>
      </c>
      <c r="H122">
        <f>INDEX(Cleandata!D122:D1121,MATCH(G122,G122:G1121,0))</f>
        <v>50</v>
      </c>
    </row>
    <row r="123" spans="1:8" x14ac:dyDescent="0.3">
      <c r="A123" s="4" t="s">
        <v>27</v>
      </c>
      <c r="B123" s="4" t="str">
        <f>VLOOKUP(A123,Cleandata!G123:H1122,2,FALSE)</f>
        <v>Electronics</v>
      </c>
      <c r="G123" t="s">
        <v>62</v>
      </c>
      <c r="H123">
        <f>INDEX(Cleandata!D123:D1122,MATCH(G123,G123:G1122,0))</f>
        <v>30</v>
      </c>
    </row>
    <row r="124" spans="1:8" x14ac:dyDescent="0.3">
      <c r="A124" s="4" t="s">
        <v>23</v>
      </c>
      <c r="B124" s="4" t="str">
        <f>VLOOKUP(A124,Cleandata!G124:H1123,2,FALSE)</f>
        <v>Clothing</v>
      </c>
      <c r="G124" t="s">
        <v>38</v>
      </c>
      <c r="H124">
        <f>INDEX(Cleandata!D124:D1123,MATCH(G124,G124:G1123,0))</f>
        <v>31</v>
      </c>
    </row>
    <row r="125" spans="1:8" x14ac:dyDescent="0.3">
      <c r="A125" s="4" t="s">
        <v>12</v>
      </c>
      <c r="B125" s="4" t="str">
        <f>VLOOKUP(A125,Cleandata!G125:H1124,2,FALSE)</f>
        <v>Electronics</v>
      </c>
      <c r="G125" t="s">
        <v>38</v>
      </c>
      <c r="H125">
        <f>INDEX(Cleandata!D125:D1124,MATCH(G125,G125:G1124,0))</f>
        <v>30</v>
      </c>
    </row>
    <row r="126" spans="1:8" x14ac:dyDescent="0.3">
      <c r="A126" s="4" t="s">
        <v>55</v>
      </c>
      <c r="B126" s="4" t="str">
        <f>VLOOKUP(A126,Cleandata!G126:H1125,2,FALSE)</f>
        <v>Accessories</v>
      </c>
      <c r="G126" t="s">
        <v>35</v>
      </c>
      <c r="H126">
        <f>INDEX(Cleandata!D126:D1125,MATCH(G126,G126:G1125,0))</f>
        <v>22</v>
      </c>
    </row>
    <row r="127" spans="1:8" x14ac:dyDescent="0.3">
      <c r="A127" s="4" t="s">
        <v>55</v>
      </c>
      <c r="B127" s="4" t="str">
        <f>VLOOKUP(A127,Cleandata!G127:H1126,2,FALSE)</f>
        <v>Accessories</v>
      </c>
      <c r="G127" t="s">
        <v>35</v>
      </c>
      <c r="H127">
        <f>INDEX(Cleandata!D127:D1126,MATCH(G127,G127:G1126,0))</f>
        <v>20</v>
      </c>
    </row>
    <row r="128" spans="1:8" x14ac:dyDescent="0.3">
      <c r="A128" s="4" t="s">
        <v>12</v>
      </c>
      <c r="B128" s="4" t="str">
        <f>VLOOKUP(A128,Cleandata!G128:H1127,2,FALSE)</f>
        <v>Electronics</v>
      </c>
      <c r="G128" t="s">
        <v>21</v>
      </c>
      <c r="H128">
        <f>INDEX(Cleandata!D128:D1127,MATCH(G128,G128:G1127,0))</f>
        <v>30</v>
      </c>
    </row>
    <row r="129" spans="1:8" x14ac:dyDescent="0.3">
      <c r="A129" s="4" t="s">
        <v>44</v>
      </c>
      <c r="B129" s="4" t="str">
        <f>VLOOKUP(A129,Cleandata!G129:H1128,2,FALSE)</f>
        <v>Accessories</v>
      </c>
      <c r="G129" t="s">
        <v>69</v>
      </c>
      <c r="H129">
        <f>INDEX(Cleandata!D129:D1128,MATCH(G129,G129:G1128,0))</f>
        <v>39</v>
      </c>
    </row>
    <row r="130" spans="1:8" x14ac:dyDescent="0.3">
      <c r="A130" s="4" t="s">
        <v>27</v>
      </c>
      <c r="B130" s="4" t="str">
        <f>VLOOKUP(A130,Cleandata!G130:H1129,2,FALSE)</f>
        <v>Electronics</v>
      </c>
      <c r="G130" t="s">
        <v>48</v>
      </c>
      <c r="H130">
        <f>INDEX(Cleandata!D130:D1129,MATCH(G130,G130:G1129,0))</f>
        <v>30</v>
      </c>
    </row>
    <row r="131" spans="1:8" x14ac:dyDescent="0.3">
      <c r="A131" s="4" t="s">
        <v>27</v>
      </c>
      <c r="B131" s="4" t="str">
        <f>VLOOKUP(A131,Cleandata!G131:H1130,2,FALSE)</f>
        <v>Electronics</v>
      </c>
      <c r="G131" t="s">
        <v>46</v>
      </c>
      <c r="H131">
        <f>INDEX(Cleandata!D131:D1130,MATCH(G131,G131:G1130,0))</f>
        <v>23</v>
      </c>
    </row>
    <row r="132" spans="1:8" x14ac:dyDescent="0.3">
      <c r="A132" s="4" t="s">
        <v>23</v>
      </c>
      <c r="B132" s="4" t="str">
        <f>VLOOKUP(A132,Cleandata!G132:H1131,2,FALSE)</f>
        <v>Clothing</v>
      </c>
      <c r="G132" t="s">
        <v>64</v>
      </c>
      <c r="H132">
        <f>INDEX(Cleandata!D132:D1131,MATCH(G132,G132:G1131,0))</f>
        <v>26</v>
      </c>
    </row>
    <row r="133" spans="1:8" x14ac:dyDescent="0.3">
      <c r="A133" s="4" t="s">
        <v>23</v>
      </c>
      <c r="B133" s="4" t="str">
        <f>VLOOKUP(A133,Cleandata!G133:H1132,2,FALSE)</f>
        <v>Clothing</v>
      </c>
      <c r="G133" t="s">
        <v>32</v>
      </c>
      <c r="H133">
        <f>INDEX(Cleandata!D133:D1132,MATCH(G133,G133:G1132,0))</f>
        <v>20</v>
      </c>
    </row>
    <row r="134" spans="1:8" x14ac:dyDescent="0.3">
      <c r="A134" s="4" t="s">
        <v>12</v>
      </c>
      <c r="B134" s="4" t="str">
        <f>VLOOKUP(A134,Cleandata!G134:H1133,2,FALSE)</f>
        <v>Electronics</v>
      </c>
      <c r="G134" t="s">
        <v>68</v>
      </c>
      <c r="H134">
        <f>INDEX(Cleandata!D134:D1133,MATCH(G134,G134:G1133,0))</f>
        <v>30</v>
      </c>
    </row>
    <row r="135" spans="1:8" x14ac:dyDescent="0.3">
      <c r="A135" s="4" t="s">
        <v>18</v>
      </c>
      <c r="B135" s="4" t="str">
        <f>VLOOKUP(A135,Cleandata!G135:H1134,2,FALSE)</f>
        <v>Clothing</v>
      </c>
      <c r="G135" t="s">
        <v>78</v>
      </c>
      <c r="H135">
        <f>INDEX(Cleandata!D135:D1134,MATCH(G135,G135:G1134,0))</f>
        <v>44</v>
      </c>
    </row>
    <row r="136" spans="1:8" x14ac:dyDescent="0.3">
      <c r="A136" s="4" t="s">
        <v>55</v>
      </c>
      <c r="B136" s="4" t="str">
        <f>VLOOKUP(A136,Cleandata!G136:H1135,2,FALSE)</f>
        <v>Accessories</v>
      </c>
      <c r="G136" t="s">
        <v>16</v>
      </c>
      <c r="H136">
        <f>INDEX(Cleandata!D136:D1135,MATCH(G136,G136:G1135,0))</f>
        <v>30</v>
      </c>
    </row>
    <row r="137" spans="1:8" x14ac:dyDescent="0.3">
      <c r="A137" s="4" t="s">
        <v>27</v>
      </c>
      <c r="B137" s="4" t="str">
        <f>VLOOKUP(A137,Cleandata!G137:H1136,2,FALSE)</f>
        <v>Electronics</v>
      </c>
      <c r="G137" t="s">
        <v>68</v>
      </c>
      <c r="H137">
        <f>INDEX(Cleandata!D137:D1136,MATCH(G137,G137:G1136,0))</f>
        <v>23</v>
      </c>
    </row>
    <row r="138" spans="1:8" x14ac:dyDescent="0.3">
      <c r="A138" s="4" t="s">
        <v>41</v>
      </c>
      <c r="B138" s="4" t="str">
        <f>VLOOKUP(A138,Cleandata!G138:H1137,2,FALSE)</f>
        <v>Accessories</v>
      </c>
      <c r="G138" t="s">
        <v>48</v>
      </c>
      <c r="H138">
        <f>INDEX(Cleandata!D138:D1137,MATCH(G138,G138:G1137,0))</f>
        <v>32</v>
      </c>
    </row>
    <row r="139" spans="1:8" x14ac:dyDescent="0.3">
      <c r="A139" s="4" t="s">
        <v>44</v>
      </c>
      <c r="B139" s="4" t="str">
        <f>VLOOKUP(A139,Cleandata!G139:H1138,2,FALSE)</f>
        <v>Accessories</v>
      </c>
      <c r="G139" t="s">
        <v>16</v>
      </c>
      <c r="H139">
        <f>INDEX(Cleandata!D139:D1138,MATCH(G139,G139:G1138,0))</f>
        <v>20</v>
      </c>
    </row>
    <row r="140" spans="1:8" x14ac:dyDescent="0.3">
      <c r="A140" s="4" t="s">
        <v>18</v>
      </c>
      <c r="B140" s="4" t="str">
        <f>VLOOKUP(A140,Cleandata!G140:H1139,2,FALSE)</f>
        <v>Clothing</v>
      </c>
      <c r="G140" t="s">
        <v>59</v>
      </c>
      <c r="H140">
        <f>INDEX(Cleandata!D140:D1139,MATCH(G140,G140:G1139,0))</f>
        <v>30</v>
      </c>
    </row>
    <row r="141" spans="1:8" x14ac:dyDescent="0.3">
      <c r="A141" s="4" t="s">
        <v>18</v>
      </c>
      <c r="B141" s="4" t="str">
        <f>VLOOKUP(A141,Cleandata!G141:H1140,2,FALSE)</f>
        <v>Clothing</v>
      </c>
      <c r="G141" t="s">
        <v>21</v>
      </c>
      <c r="H141">
        <f>INDEX(Cleandata!D141:D1140,MATCH(G141,G141:G1140,0))</f>
        <v>26</v>
      </c>
    </row>
    <row r="142" spans="1:8" x14ac:dyDescent="0.3">
      <c r="A142" s="4" t="s">
        <v>51</v>
      </c>
      <c r="B142" s="4" t="str">
        <f>VLOOKUP(A142,Cleandata!G142:H1141,2,FALSE)</f>
        <v>Electronics</v>
      </c>
      <c r="G142" t="s">
        <v>64</v>
      </c>
      <c r="H142">
        <f>INDEX(Cleandata!D142:D1141,MATCH(G142,G142:G1141,0))</f>
        <v>19</v>
      </c>
    </row>
    <row r="143" spans="1:8" x14ac:dyDescent="0.3">
      <c r="A143" s="4" t="s">
        <v>18</v>
      </c>
      <c r="B143" s="4" t="str">
        <f>VLOOKUP(A143,Cleandata!G143:H1142,2,FALSE)</f>
        <v>Clothing</v>
      </c>
      <c r="G143" t="s">
        <v>68</v>
      </c>
      <c r="H143">
        <f>INDEX(Cleandata!D143:D1142,MATCH(G143,G143:G1142,0))</f>
        <v>30</v>
      </c>
    </row>
    <row r="144" spans="1:8" x14ac:dyDescent="0.3">
      <c r="A144" s="4" t="s">
        <v>23</v>
      </c>
      <c r="B144" s="4" t="str">
        <f>VLOOKUP(A144,Cleandata!G144:H1143,2,FALSE)</f>
        <v>Clothing</v>
      </c>
      <c r="G144" t="s">
        <v>32</v>
      </c>
      <c r="H144">
        <f>INDEX(Cleandata!D144:D1143,MATCH(G144,G144:G1143,0))</f>
        <v>30</v>
      </c>
    </row>
    <row r="145" spans="1:8" x14ac:dyDescent="0.3">
      <c r="A145" s="4" t="s">
        <v>23</v>
      </c>
      <c r="B145" s="4" t="str">
        <f>VLOOKUP(A145,Cleandata!G145:H1144,2,FALSE)</f>
        <v>Clothing</v>
      </c>
      <c r="G145" t="s">
        <v>46</v>
      </c>
      <c r="H145">
        <f>INDEX(Cleandata!D145:D1144,MATCH(G145,G145:G1144,0))</f>
        <v>30</v>
      </c>
    </row>
    <row r="146" spans="1:8" x14ac:dyDescent="0.3">
      <c r="A146" s="4" t="s">
        <v>44</v>
      </c>
      <c r="B146" s="4" t="str">
        <f>VLOOKUP(A146,Cleandata!G146:H1145,2,FALSE)</f>
        <v>Accessories</v>
      </c>
      <c r="G146" t="s">
        <v>78</v>
      </c>
      <c r="H146">
        <f>INDEX(Cleandata!D146:D1145,MATCH(G146,G146:G1145,0))</f>
        <v>30</v>
      </c>
    </row>
    <row r="147" spans="1:8" x14ac:dyDescent="0.3">
      <c r="A147" s="4" t="s">
        <v>41</v>
      </c>
      <c r="B147" s="4" t="str">
        <f>VLOOKUP(A147,Cleandata!G147:H1146,2,FALSE)</f>
        <v>Accessories</v>
      </c>
      <c r="G147" t="s">
        <v>69</v>
      </c>
      <c r="H147">
        <f>INDEX(Cleandata!D147:D1146,MATCH(G147,G147:G1146,0))</f>
        <v>30</v>
      </c>
    </row>
    <row r="148" spans="1:8" x14ac:dyDescent="0.3">
      <c r="A148" s="4" t="s">
        <v>41</v>
      </c>
      <c r="B148" s="4" t="str">
        <f>VLOOKUP(A148,Cleandata!G148:H1147,2,FALSE)</f>
        <v>Accessories</v>
      </c>
      <c r="G148" t="s">
        <v>35</v>
      </c>
      <c r="H148">
        <f>INDEX(Cleandata!D148:D1147,MATCH(G148,G148:G1147,0))</f>
        <v>30</v>
      </c>
    </row>
    <row r="149" spans="1:8" x14ac:dyDescent="0.3">
      <c r="A149" s="4" t="s">
        <v>55</v>
      </c>
      <c r="B149" s="4" t="str">
        <f>VLOOKUP(A149,Cleandata!G149:H1148,2,FALSE)</f>
        <v>Accessories</v>
      </c>
      <c r="G149" t="s">
        <v>59</v>
      </c>
      <c r="H149">
        <f>INDEX(Cleandata!D149:D1148,MATCH(G149,G149:G1148,0))</f>
        <v>40</v>
      </c>
    </row>
    <row r="150" spans="1:8" x14ac:dyDescent="0.3">
      <c r="A150" s="4" t="s">
        <v>41</v>
      </c>
      <c r="B150" s="4" t="str">
        <f>VLOOKUP(A150,Cleandata!G150:H1149,2,FALSE)</f>
        <v>Accessories</v>
      </c>
      <c r="G150" t="s">
        <v>73</v>
      </c>
      <c r="H150">
        <f>INDEX(Cleandata!D150:D1149,MATCH(G150,G150:G1149,0))</f>
        <v>30</v>
      </c>
    </row>
    <row r="151" spans="1:8" x14ac:dyDescent="0.3">
      <c r="A151" s="4" t="s">
        <v>51</v>
      </c>
      <c r="B151" s="4" t="str">
        <f>VLOOKUP(A151,Cleandata!G151:H1150,2,FALSE)</f>
        <v>Electronics</v>
      </c>
      <c r="G151" t="s">
        <v>38</v>
      </c>
      <c r="H151">
        <f>INDEX(Cleandata!D151:D1150,MATCH(G151,G151:G1150,0))</f>
        <v>30</v>
      </c>
    </row>
    <row r="152" spans="1:8" x14ac:dyDescent="0.3">
      <c r="A152" s="4" t="s">
        <v>55</v>
      </c>
      <c r="B152" s="4" t="str">
        <f>VLOOKUP(A152,Cleandata!G152:H1151,2,FALSE)</f>
        <v>Accessories</v>
      </c>
      <c r="G152" t="s">
        <v>68</v>
      </c>
      <c r="H152">
        <f>INDEX(Cleandata!D152:D1151,MATCH(G152,G152:G1151,0))</f>
        <v>34</v>
      </c>
    </row>
    <row r="153" spans="1:8" x14ac:dyDescent="0.3">
      <c r="A153" s="4" t="s">
        <v>23</v>
      </c>
      <c r="B153" s="4" t="str">
        <f>VLOOKUP(A153,Cleandata!G153:H1152,2,FALSE)</f>
        <v>Clothing</v>
      </c>
      <c r="G153" t="s">
        <v>57</v>
      </c>
      <c r="H153">
        <f>INDEX(Cleandata!D153:D1152,MATCH(G153,G153:G1152,0))</f>
        <v>30</v>
      </c>
    </row>
    <row r="154" spans="1:8" x14ac:dyDescent="0.3">
      <c r="A154" s="4" t="s">
        <v>51</v>
      </c>
      <c r="B154" s="4" t="str">
        <f>VLOOKUP(A154,Cleandata!G154:H1153,2,FALSE)</f>
        <v>Electronics</v>
      </c>
      <c r="G154" t="s">
        <v>78</v>
      </c>
      <c r="H154">
        <f>INDEX(Cleandata!D154:D1153,MATCH(G154,G154:G1153,0))</f>
        <v>30</v>
      </c>
    </row>
    <row r="155" spans="1:8" x14ac:dyDescent="0.3">
      <c r="A155" s="4" t="s">
        <v>41</v>
      </c>
      <c r="B155" s="4" t="str">
        <f>VLOOKUP(A155,Cleandata!G155:H1154,2,FALSE)</f>
        <v>Accessories</v>
      </c>
      <c r="G155" t="s">
        <v>35</v>
      </c>
      <c r="H155">
        <f>INDEX(Cleandata!D155:D1154,MATCH(G155,G155:G1154,0))</f>
        <v>30</v>
      </c>
    </row>
    <row r="156" spans="1:8" x14ac:dyDescent="0.3">
      <c r="A156" s="4" t="s">
        <v>44</v>
      </c>
      <c r="B156" s="4" t="str">
        <f>VLOOKUP(A156,Cleandata!G156:H1155,2,FALSE)</f>
        <v>Accessories</v>
      </c>
      <c r="G156" t="s">
        <v>32</v>
      </c>
      <c r="H156">
        <f>INDEX(Cleandata!D156:D1155,MATCH(G156,G156:G1155,0))</f>
        <v>40</v>
      </c>
    </row>
    <row r="157" spans="1:8" x14ac:dyDescent="0.3">
      <c r="A157" s="4" t="s">
        <v>55</v>
      </c>
      <c r="B157" s="4" t="str">
        <f>VLOOKUP(A157,Cleandata!G157:H1156,2,FALSE)</f>
        <v>Accessories</v>
      </c>
      <c r="G157" t="s">
        <v>59</v>
      </c>
      <c r="H157">
        <f>INDEX(Cleandata!D157:D1156,MATCH(G157,G157:G1156,0))</f>
        <v>30</v>
      </c>
    </row>
    <row r="158" spans="1:8" x14ac:dyDescent="0.3">
      <c r="A158" s="4" t="s">
        <v>44</v>
      </c>
      <c r="B158" s="4" t="str">
        <f>VLOOKUP(A158,Cleandata!G158:H1157,2,FALSE)</f>
        <v>Accessories</v>
      </c>
      <c r="G158" t="s">
        <v>57</v>
      </c>
      <c r="H158">
        <f>INDEX(Cleandata!D158:D1157,MATCH(G158,G158:G1157,0))</f>
        <v>19</v>
      </c>
    </row>
    <row r="159" spans="1:8" x14ac:dyDescent="0.3">
      <c r="A159" s="4" t="s">
        <v>12</v>
      </c>
      <c r="B159" s="4" t="str">
        <f>VLOOKUP(A159,Cleandata!G159:H1158,2,FALSE)</f>
        <v>Electronics</v>
      </c>
      <c r="G159" t="s">
        <v>32</v>
      </c>
      <c r="H159">
        <f>INDEX(Cleandata!D159:D1158,MATCH(G159,G159:G1158,0))</f>
        <v>36</v>
      </c>
    </row>
    <row r="160" spans="1:8" x14ac:dyDescent="0.3">
      <c r="A160" s="4" t="s">
        <v>41</v>
      </c>
      <c r="B160" s="4" t="str">
        <f>VLOOKUP(A160,Cleandata!G160:H1159,2,FALSE)</f>
        <v>Accessories</v>
      </c>
      <c r="G160" t="s">
        <v>73</v>
      </c>
      <c r="H160">
        <f>INDEX(Cleandata!D160:D1159,MATCH(G160,G160:G1159,0))</f>
        <v>28</v>
      </c>
    </row>
    <row r="161" spans="1:8" x14ac:dyDescent="0.3">
      <c r="A161" s="4" t="s">
        <v>12</v>
      </c>
      <c r="B161" s="4" t="str">
        <f>VLOOKUP(A161,Cleandata!G161:H1160,2,FALSE)</f>
        <v>Electronics</v>
      </c>
      <c r="G161" t="s">
        <v>21</v>
      </c>
      <c r="H161">
        <f>INDEX(Cleandata!D161:D1160,MATCH(G161,G161:G1160,0))</f>
        <v>30</v>
      </c>
    </row>
    <row r="162" spans="1:8" x14ac:dyDescent="0.3">
      <c r="A162" s="4" t="s">
        <v>44</v>
      </c>
      <c r="B162" s="4" t="str">
        <f>VLOOKUP(A162,Cleandata!G162:H1161,2,FALSE)</f>
        <v>Accessories</v>
      </c>
      <c r="G162" t="s">
        <v>25</v>
      </c>
      <c r="H162">
        <f>INDEX(Cleandata!D162:D1161,MATCH(G162,G162:G1161,0))</f>
        <v>39</v>
      </c>
    </row>
    <row r="163" spans="1:8" x14ac:dyDescent="0.3">
      <c r="A163" s="4" t="s">
        <v>55</v>
      </c>
      <c r="B163" s="4" t="str">
        <f>VLOOKUP(A163,Cleandata!G163:H1162,2,FALSE)</f>
        <v>Accessories</v>
      </c>
      <c r="G163" t="s">
        <v>48</v>
      </c>
      <c r="H163">
        <f>INDEX(Cleandata!D163:D1162,MATCH(G163,G163:G1162,0))</f>
        <v>47</v>
      </c>
    </row>
    <row r="164" spans="1:8" x14ac:dyDescent="0.3">
      <c r="A164" s="4" t="s">
        <v>23</v>
      </c>
      <c r="B164" s="4" t="str">
        <f>VLOOKUP(A164,Cleandata!G164:H1163,2,FALSE)</f>
        <v>Clothing</v>
      </c>
      <c r="G164" t="s">
        <v>73</v>
      </c>
      <c r="H164">
        <f>INDEX(Cleandata!D164:D1163,MATCH(G164,G164:G1163,0))</f>
        <v>30</v>
      </c>
    </row>
    <row r="165" spans="1:8" x14ac:dyDescent="0.3">
      <c r="A165" s="4" t="s">
        <v>41</v>
      </c>
      <c r="B165" s="4" t="str">
        <f>VLOOKUP(A165,Cleandata!G165:H1164,2,FALSE)</f>
        <v>Accessories</v>
      </c>
      <c r="G165" t="s">
        <v>57</v>
      </c>
      <c r="H165">
        <f>INDEX(Cleandata!D165:D1164,MATCH(G165,G165:G1164,0))</f>
        <v>30</v>
      </c>
    </row>
    <row r="166" spans="1:8" x14ac:dyDescent="0.3">
      <c r="A166" s="4" t="s">
        <v>18</v>
      </c>
      <c r="B166" s="4" t="str">
        <f>VLOOKUP(A166,Cleandata!G166:H1165,2,FALSE)</f>
        <v>Clothing</v>
      </c>
      <c r="G166" t="s">
        <v>46</v>
      </c>
      <c r="H166">
        <f>INDEX(Cleandata!D166:D1165,MATCH(G166,G166:G1165,0))</f>
        <v>30</v>
      </c>
    </row>
    <row r="167" spans="1:8" x14ac:dyDescent="0.3">
      <c r="A167" s="4" t="s">
        <v>12</v>
      </c>
      <c r="B167" s="4" t="str">
        <f>VLOOKUP(A167,Cleandata!G167:H1166,2,FALSE)</f>
        <v>Electronics</v>
      </c>
      <c r="G167" t="s">
        <v>10</v>
      </c>
      <c r="H167">
        <f>INDEX(Cleandata!D167:D1166,MATCH(G167,G167:G1166,0))</f>
        <v>46</v>
      </c>
    </row>
    <row r="168" spans="1:8" x14ac:dyDescent="0.3">
      <c r="A168" s="4" t="s">
        <v>44</v>
      </c>
      <c r="B168" s="4" t="str">
        <f>VLOOKUP(A168,Cleandata!G168:H1167,2,FALSE)</f>
        <v>Accessories</v>
      </c>
      <c r="G168" t="s">
        <v>73</v>
      </c>
      <c r="H168">
        <f>INDEX(Cleandata!D168:D1167,MATCH(G168,G168:G1167,0))</f>
        <v>30</v>
      </c>
    </row>
    <row r="169" spans="1:8" x14ac:dyDescent="0.3">
      <c r="A169" s="4" t="s">
        <v>18</v>
      </c>
      <c r="B169" s="4" t="str">
        <f>VLOOKUP(A169,Cleandata!G169:H1168,2,FALSE)</f>
        <v>Clothing</v>
      </c>
      <c r="G169" t="s">
        <v>78</v>
      </c>
      <c r="H169">
        <f>INDEX(Cleandata!D169:D1168,MATCH(G169,G169:G1168,0))</f>
        <v>46</v>
      </c>
    </row>
    <row r="170" spans="1:8" x14ac:dyDescent="0.3">
      <c r="A170" s="4" t="s">
        <v>12</v>
      </c>
      <c r="B170" s="4" t="str">
        <f>VLOOKUP(A170,Cleandata!G170:H1169,2,FALSE)</f>
        <v>Electronics</v>
      </c>
      <c r="G170" t="s">
        <v>25</v>
      </c>
      <c r="H170">
        <f>INDEX(Cleandata!D170:D1169,MATCH(G170,G170:G1169,0))</f>
        <v>44</v>
      </c>
    </row>
    <row r="171" spans="1:8" x14ac:dyDescent="0.3">
      <c r="A171" s="4" t="s">
        <v>41</v>
      </c>
      <c r="B171" s="4" t="str">
        <f>VLOOKUP(A171,Cleandata!G171:H1170,2,FALSE)</f>
        <v>Accessories</v>
      </c>
      <c r="G171" t="s">
        <v>59</v>
      </c>
      <c r="H171">
        <f>INDEX(Cleandata!D171:D1170,MATCH(G171,G171:G1170,0))</f>
        <v>30</v>
      </c>
    </row>
    <row r="172" spans="1:8" x14ac:dyDescent="0.3">
      <c r="A172" s="4" t="s">
        <v>27</v>
      </c>
      <c r="B172" s="4" t="str">
        <f>VLOOKUP(A172,Cleandata!G172:H1171,2,FALSE)</f>
        <v>Electronics</v>
      </c>
      <c r="G172" t="s">
        <v>68</v>
      </c>
      <c r="H172">
        <f>INDEX(Cleandata!D172:D1171,MATCH(G172,G172:G1171,0))</f>
        <v>30</v>
      </c>
    </row>
    <row r="173" spans="1:8" x14ac:dyDescent="0.3">
      <c r="A173" s="4" t="s">
        <v>41</v>
      </c>
      <c r="B173" s="4" t="str">
        <f>VLOOKUP(A173,Cleandata!G173:H1172,2,FALSE)</f>
        <v>Accessories</v>
      </c>
      <c r="G173" t="s">
        <v>69</v>
      </c>
      <c r="H173">
        <f>INDEX(Cleandata!D173:D1172,MATCH(G173,G173:G1172,0))</f>
        <v>23</v>
      </c>
    </row>
    <row r="174" spans="1:8" x14ac:dyDescent="0.3">
      <c r="A174" s="4" t="s">
        <v>12</v>
      </c>
      <c r="B174" s="4" t="str">
        <f>VLOOKUP(A174,Cleandata!G174:H1173,2,FALSE)</f>
        <v>Electronics</v>
      </c>
      <c r="G174" t="s">
        <v>48</v>
      </c>
      <c r="H174">
        <f>INDEX(Cleandata!D174:D1173,MATCH(G174,G174:G1173,0))</f>
        <v>39</v>
      </c>
    </row>
    <row r="175" spans="1:8" x14ac:dyDescent="0.3">
      <c r="A175" s="4" t="s">
        <v>27</v>
      </c>
      <c r="B175" s="4" t="str">
        <f>VLOOKUP(A175,Cleandata!G175:H1174,2,FALSE)</f>
        <v>Electronics</v>
      </c>
      <c r="G175" t="s">
        <v>68</v>
      </c>
      <c r="H175">
        <f>INDEX(Cleandata!D175:D1174,MATCH(G175,G175:G1174,0))</f>
        <v>30</v>
      </c>
    </row>
    <row r="176" spans="1:8" x14ac:dyDescent="0.3">
      <c r="A176" s="4" t="s">
        <v>23</v>
      </c>
      <c r="B176" s="4" t="str">
        <f>VLOOKUP(A176,Cleandata!G176:H1175,2,FALSE)</f>
        <v>Clothing</v>
      </c>
      <c r="G176" t="s">
        <v>62</v>
      </c>
      <c r="H176">
        <f>INDEX(Cleandata!D176:D1175,MATCH(G176,G176:G1175,0))</f>
        <v>30</v>
      </c>
    </row>
    <row r="177" spans="1:8" x14ac:dyDescent="0.3">
      <c r="A177" s="4" t="s">
        <v>23</v>
      </c>
      <c r="B177" s="4" t="str">
        <f>VLOOKUP(A177,Cleandata!G177:H1176,2,FALSE)</f>
        <v>Clothing</v>
      </c>
      <c r="G177" t="s">
        <v>25</v>
      </c>
      <c r="H177">
        <f>INDEX(Cleandata!D177:D1176,MATCH(G177,G177:G1176,0))</f>
        <v>38</v>
      </c>
    </row>
    <row r="178" spans="1:8" x14ac:dyDescent="0.3">
      <c r="A178" s="4" t="s">
        <v>18</v>
      </c>
      <c r="B178" s="4" t="str">
        <f>VLOOKUP(A178,Cleandata!G178:H1177,2,FALSE)</f>
        <v>Clothing</v>
      </c>
      <c r="G178" t="s">
        <v>38</v>
      </c>
      <c r="H178">
        <f>INDEX(Cleandata!D178:D1177,MATCH(G178,G178:G1177,0))</f>
        <v>30</v>
      </c>
    </row>
    <row r="179" spans="1:8" x14ac:dyDescent="0.3">
      <c r="A179" s="4" t="s">
        <v>44</v>
      </c>
      <c r="B179" s="4" t="str">
        <f>VLOOKUP(A179,Cleandata!G179:H1178,2,FALSE)</f>
        <v>Accessories</v>
      </c>
      <c r="G179" t="s">
        <v>64</v>
      </c>
      <c r="H179">
        <f>INDEX(Cleandata!D179:D1178,MATCH(G179,G179:G1178,0))</f>
        <v>38</v>
      </c>
    </row>
    <row r="180" spans="1:8" x14ac:dyDescent="0.3">
      <c r="A180" s="4" t="s">
        <v>23</v>
      </c>
      <c r="B180" s="4" t="str">
        <f>VLOOKUP(A180,Cleandata!G180:H1179,2,FALSE)</f>
        <v>Clothing</v>
      </c>
      <c r="G180" t="s">
        <v>64</v>
      </c>
      <c r="H180">
        <f>INDEX(Cleandata!D180:D1179,MATCH(G180,G180:G1179,0))</f>
        <v>30</v>
      </c>
    </row>
    <row r="181" spans="1:8" x14ac:dyDescent="0.3">
      <c r="A181" s="4" t="s">
        <v>23</v>
      </c>
      <c r="B181" s="4" t="str">
        <f>VLOOKUP(A181,Cleandata!G181:H1180,2,FALSE)</f>
        <v>Clothing</v>
      </c>
      <c r="G181" t="s">
        <v>54</v>
      </c>
      <c r="H181">
        <f>INDEX(Cleandata!D181:D1180,MATCH(G181,G181:G1180,0))</f>
        <v>30</v>
      </c>
    </row>
    <row r="182" spans="1:8" x14ac:dyDescent="0.3">
      <c r="A182" s="4" t="s">
        <v>55</v>
      </c>
      <c r="B182" s="4" t="str">
        <f>VLOOKUP(A182,Cleandata!G182:H1181,2,FALSE)</f>
        <v>Accessories</v>
      </c>
      <c r="G182" t="s">
        <v>69</v>
      </c>
      <c r="H182">
        <f>INDEX(Cleandata!D182:D1181,MATCH(G182,G182:G1181,0))</f>
        <v>25</v>
      </c>
    </row>
    <row r="183" spans="1:8" x14ac:dyDescent="0.3">
      <c r="A183" s="4" t="s">
        <v>51</v>
      </c>
      <c r="B183" s="4" t="str">
        <f>VLOOKUP(A183,Cleandata!G183:H1182,2,FALSE)</f>
        <v>Electronics</v>
      </c>
      <c r="G183" t="s">
        <v>68</v>
      </c>
      <c r="H183">
        <f>INDEX(Cleandata!D183:D1182,MATCH(G183,G183:G1182,0))</f>
        <v>46</v>
      </c>
    </row>
    <row r="184" spans="1:8" x14ac:dyDescent="0.3">
      <c r="A184" s="4" t="s">
        <v>55</v>
      </c>
      <c r="B184" s="4" t="str">
        <f>VLOOKUP(A184,Cleandata!G184:H1183,2,FALSE)</f>
        <v>Accessories</v>
      </c>
      <c r="G184" t="s">
        <v>32</v>
      </c>
      <c r="H184">
        <f>INDEX(Cleandata!D184:D1183,MATCH(G184,G184:G1183,0))</f>
        <v>44</v>
      </c>
    </row>
    <row r="185" spans="1:8" x14ac:dyDescent="0.3">
      <c r="A185" s="4" t="s">
        <v>55</v>
      </c>
      <c r="B185" s="4" t="str">
        <f>VLOOKUP(A185,Cleandata!G185:H1184,2,FALSE)</f>
        <v>Accessories</v>
      </c>
      <c r="G185" t="s">
        <v>68</v>
      </c>
      <c r="H185">
        <f>INDEX(Cleandata!D185:D1184,MATCH(G185,G185:G1184,0))</f>
        <v>30</v>
      </c>
    </row>
    <row r="186" spans="1:8" x14ac:dyDescent="0.3">
      <c r="A186" s="4" t="s">
        <v>18</v>
      </c>
      <c r="B186" s="4" t="str">
        <f>VLOOKUP(A186,Cleandata!G186:H1185,2,FALSE)</f>
        <v>Clothing</v>
      </c>
      <c r="G186" t="s">
        <v>16</v>
      </c>
      <c r="H186">
        <f>INDEX(Cleandata!D186:D1185,MATCH(G186,G186:G1185,0))</f>
        <v>30</v>
      </c>
    </row>
    <row r="187" spans="1:8" x14ac:dyDescent="0.3">
      <c r="A187" s="4" t="s">
        <v>44</v>
      </c>
      <c r="B187" s="4" t="str">
        <f>VLOOKUP(A187,Cleandata!G187:H1186,2,FALSE)</f>
        <v>Accessories</v>
      </c>
      <c r="G187" t="s">
        <v>78</v>
      </c>
      <c r="H187">
        <f>INDEX(Cleandata!D187:D1186,MATCH(G187,G187:G1186,0))</f>
        <v>30</v>
      </c>
    </row>
    <row r="188" spans="1:8" x14ac:dyDescent="0.3">
      <c r="A188" s="4" t="s">
        <v>23</v>
      </c>
      <c r="B188" s="4" t="str">
        <f>VLOOKUP(A188,Cleandata!G188:H1187,2,FALSE)</f>
        <v>Clothing</v>
      </c>
      <c r="G188" t="s">
        <v>54</v>
      </c>
      <c r="H188">
        <f>INDEX(Cleandata!D188:D1187,MATCH(G188,G188:G1187,0))</f>
        <v>48</v>
      </c>
    </row>
    <row r="189" spans="1:8" x14ac:dyDescent="0.3">
      <c r="A189" s="4" t="s">
        <v>27</v>
      </c>
      <c r="B189" s="4" t="str">
        <f>VLOOKUP(A189,Cleandata!G189:H1188,2,FALSE)</f>
        <v>Electronics</v>
      </c>
      <c r="G189" t="s">
        <v>59</v>
      </c>
      <c r="H189">
        <f>INDEX(Cleandata!D189:D1188,MATCH(G189,G189:G1188,0))</f>
        <v>30</v>
      </c>
    </row>
    <row r="190" spans="1:8" x14ac:dyDescent="0.3">
      <c r="A190" s="4" t="s">
        <v>51</v>
      </c>
      <c r="B190" s="4" t="str">
        <f>VLOOKUP(A190,Cleandata!G190:H1189,2,FALSE)</f>
        <v>Electronics</v>
      </c>
      <c r="G190" t="s">
        <v>64</v>
      </c>
      <c r="H190">
        <f>INDEX(Cleandata!D190:D1189,MATCH(G190,G190:G1189,0))</f>
        <v>21</v>
      </c>
    </row>
    <row r="191" spans="1:8" x14ac:dyDescent="0.3">
      <c r="A191" s="4" t="s">
        <v>44</v>
      </c>
      <c r="B191" s="4" t="str">
        <f>VLOOKUP(A191,Cleandata!G191:H1190,2,FALSE)</f>
        <v>Accessories</v>
      </c>
      <c r="G191" t="s">
        <v>25</v>
      </c>
      <c r="H191">
        <f>INDEX(Cleandata!D191:D1190,MATCH(G191,G191:G1190,0))</f>
        <v>30</v>
      </c>
    </row>
    <row r="192" spans="1:8" x14ac:dyDescent="0.3">
      <c r="A192" s="4" t="s">
        <v>27</v>
      </c>
      <c r="B192" s="4" t="str">
        <f>VLOOKUP(A192,Cleandata!G192:H1191,2,FALSE)</f>
        <v>Electronics</v>
      </c>
      <c r="G192" t="s">
        <v>62</v>
      </c>
      <c r="H192">
        <f>INDEX(Cleandata!D192:D1191,MATCH(G192,G192:G1191,0))</f>
        <v>30</v>
      </c>
    </row>
    <row r="193" spans="1:8" x14ac:dyDescent="0.3">
      <c r="A193" s="4" t="s">
        <v>27</v>
      </c>
      <c r="B193" s="4" t="str">
        <f>VLOOKUP(A193,Cleandata!G193:H1192,2,FALSE)</f>
        <v>Electronics</v>
      </c>
      <c r="G193" t="s">
        <v>59</v>
      </c>
      <c r="H193">
        <f>INDEX(Cleandata!D193:D1192,MATCH(G193,G193:G1192,0))</f>
        <v>31</v>
      </c>
    </row>
    <row r="194" spans="1:8" x14ac:dyDescent="0.3">
      <c r="A194" s="4" t="s">
        <v>18</v>
      </c>
      <c r="B194" s="4" t="str">
        <f>VLOOKUP(A194,Cleandata!G194:H1193,2,FALSE)</f>
        <v>Clothing</v>
      </c>
      <c r="G194" t="s">
        <v>16</v>
      </c>
      <c r="H194">
        <f>INDEX(Cleandata!D194:D1193,MATCH(G194,G194:G1193,0))</f>
        <v>30</v>
      </c>
    </row>
    <row r="195" spans="1:8" x14ac:dyDescent="0.3">
      <c r="A195" s="4" t="s">
        <v>27</v>
      </c>
      <c r="B195" s="4" t="str">
        <f>VLOOKUP(A195,Cleandata!G195:H1194,2,FALSE)</f>
        <v>Electronics</v>
      </c>
      <c r="G195" t="s">
        <v>68</v>
      </c>
      <c r="H195">
        <f>INDEX(Cleandata!D195:D1194,MATCH(G195,G195:G1194,0))</f>
        <v>34</v>
      </c>
    </row>
    <row r="196" spans="1:8" x14ac:dyDescent="0.3">
      <c r="A196" s="4" t="s">
        <v>55</v>
      </c>
      <c r="B196" s="4" t="str">
        <f>VLOOKUP(A196,Cleandata!G196:H1195,2,FALSE)</f>
        <v>Accessories</v>
      </c>
      <c r="G196" t="s">
        <v>54</v>
      </c>
      <c r="H196">
        <f>INDEX(Cleandata!D196:D1195,MATCH(G196,G196:G1195,0))</f>
        <v>33</v>
      </c>
    </row>
    <row r="197" spans="1:8" x14ac:dyDescent="0.3">
      <c r="A197" s="4" t="s">
        <v>51</v>
      </c>
      <c r="B197" s="4" t="str">
        <f>VLOOKUP(A197,Cleandata!G197:H1196,2,FALSE)</f>
        <v>Electronics</v>
      </c>
      <c r="G197" t="s">
        <v>46</v>
      </c>
      <c r="H197">
        <f>INDEX(Cleandata!D197:D1196,MATCH(G197,G197:G1196,0))</f>
        <v>30</v>
      </c>
    </row>
    <row r="198" spans="1:8" x14ac:dyDescent="0.3">
      <c r="A198" s="4" t="s">
        <v>55</v>
      </c>
      <c r="B198" s="4" t="str">
        <f>VLOOKUP(A198,Cleandata!G198:H1197,2,FALSE)</f>
        <v>Accessories</v>
      </c>
      <c r="G198" t="s">
        <v>46</v>
      </c>
      <c r="H198">
        <f>INDEX(Cleandata!D198:D1197,MATCH(G198,G198:G1197,0))</f>
        <v>38</v>
      </c>
    </row>
    <row r="199" spans="1:8" x14ac:dyDescent="0.3">
      <c r="A199" s="4" t="s">
        <v>23</v>
      </c>
      <c r="B199" s="4" t="str">
        <f>VLOOKUP(A199,Cleandata!G199:H1198,2,FALSE)</f>
        <v>Clothing</v>
      </c>
      <c r="G199" t="s">
        <v>35</v>
      </c>
      <c r="H199">
        <f>INDEX(Cleandata!D199:D1198,MATCH(G199,G199:G1198,0))</f>
        <v>44</v>
      </c>
    </row>
    <row r="200" spans="1:8" x14ac:dyDescent="0.3">
      <c r="A200" s="4" t="s">
        <v>12</v>
      </c>
      <c r="B200" s="4" t="str">
        <f>VLOOKUP(A200,Cleandata!G200:H1199,2,FALSE)</f>
        <v>Electronics</v>
      </c>
      <c r="G200" t="s">
        <v>38</v>
      </c>
      <c r="H200">
        <f>INDEX(Cleandata!D200:D1199,MATCH(G200,G200:G1199,0))</f>
        <v>29</v>
      </c>
    </row>
    <row r="201" spans="1:8" x14ac:dyDescent="0.3">
      <c r="A201" s="4" t="s">
        <v>18</v>
      </c>
      <c r="B201" s="4" t="str">
        <f>VLOOKUP(A201,Cleandata!G201:H1200,2,FALSE)</f>
        <v>Clothing</v>
      </c>
      <c r="G201" t="s">
        <v>35</v>
      </c>
      <c r="H201">
        <f>INDEX(Cleandata!D201:D1200,MATCH(G201,G201:G1200,0))</f>
        <v>30</v>
      </c>
    </row>
    <row r="202" spans="1:8" x14ac:dyDescent="0.3">
      <c r="A202" s="4" t="s">
        <v>12</v>
      </c>
      <c r="B202" s="4" t="str">
        <f>VLOOKUP(A202,Cleandata!G202:H1201,2,FALSE)</f>
        <v>Electronics</v>
      </c>
      <c r="G202" t="s">
        <v>48</v>
      </c>
      <c r="H202">
        <f>INDEX(Cleandata!D202:D1201,MATCH(G202,G202:G1201,0))</f>
        <v>49</v>
      </c>
    </row>
    <row r="203" spans="1:8" x14ac:dyDescent="0.3">
      <c r="A203" s="4" t="s">
        <v>18</v>
      </c>
      <c r="B203" s="4" t="str">
        <f>VLOOKUP(A203,Cleandata!G203:H1202,2,FALSE)</f>
        <v>Clothing</v>
      </c>
      <c r="G203" t="s">
        <v>78</v>
      </c>
      <c r="H203">
        <f>INDEX(Cleandata!D203:D1202,MATCH(G203,G203:G1202,0))</f>
        <v>21</v>
      </c>
    </row>
    <row r="204" spans="1:8" x14ac:dyDescent="0.3">
      <c r="A204" s="4" t="s">
        <v>23</v>
      </c>
      <c r="B204" s="4" t="str">
        <f>VLOOKUP(A204,Cleandata!G204:H1203,2,FALSE)</f>
        <v>Clothing</v>
      </c>
      <c r="G204" t="s">
        <v>68</v>
      </c>
      <c r="H204">
        <f>INDEX(Cleandata!D204:D1203,MATCH(G204,G204:G1203,0))</f>
        <v>50</v>
      </c>
    </row>
    <row r="205" spans="1:8" x14ac:dyDescent="0.3">
      <c r="A205" s="4" t="s">
        <v>44</v>
      </c>
      <c r="B205" s="4" t="str">
        <f>VLOOKUP(A205,Cleandata!G205:H1204,2,FALSE)</f>
        <v>Accessories</v>
      </c>
      <c r="G205" t="s">
        <v>64</v>
      </c>
      <c r="H205">
        <f>INDEX(Cleandata!D205:D1204,MATCH(G205,G205:G1204,0))</f>
        <v>26</v>
      </c>
    </row>
    <row r="206" spans="1:8" x14ac:dyDescent="0.3">
      <c r="A206" s="4" t="s">
        <v>44</v>
      </c>
      <c r="B206" s="4" t="str">
        <f>VLOOKUP(A206,Cleandata!G206:H1205,2,FALSE)</f>
        <v>Accessories</v>
      </c>
      <c r="G206" t="s">
        <v>68</v>
      </c>
      <c r="H206">
        <f>INDEX(Cleandata!D206:D1205,MATCH(G206,G206:G1205,0))</f>
        <v>30</v>
      </c>
    </row>
    <row r="207" spans="1:8" x14ac:dyDescent="0.3">
      <c r="A207" s="4" t="s">
        <v>18</v>
      </c>
      <c r="B207" s="4" t="str">
        <f>VLOOKUP(A207,Cleandata!G207:H1206,2,FALSE)</f>
        <v>Clothing</v>
      </c>
      <c r="G207" t="s">
        <v>21</v>
      </c>
      <c r="H207">
        <f>INDEX(Cleandata!D207:D1206,MATCH(G207,G207:G1206,0))</f>
        <v>21</v>
      </c>
    </row>
    <row r="208" spans="1:8" x14ac:dyDescent="0.3">
      <c r="A208" s="4" t="s">
        <v>23</v>
      </c>
      <c r="B208" s="4" t="str">
        <f>VLOOKUP(A208,Cleandata!G208:H1207,2,FALSE)</f>
        <v>Clothing</v>
      </c>
      <c r="G208" t="s">
        <v>78</v>
      </c>
      <c r="H208">
        <f>INDEX(Cleandata!D208:D1207,MATCH(G208,G208:G1207,0))</f>
        <v>33</v>
      </c>
    </row>
    <row r="209" spans="1:8" x14ac:dyDescent="0.3">
      <c r="A209" s="4" t="s">
        <v>51</v>
      </c>
      <c r="B209" s="4" t="str">
        <f>VLOOKUP(A209,Cleandata!G209:H1208,2,FALSE)</f>
        <v>Electronics</v>
      </c>
      <c r="G209" t="s">
        <v>32</v>
      </c>
      <c r="H209">
        <f>INDEX(Cleandata!D209:D1208,MATCH(G209,G209:G1208,0))</f>
        <v>49</v>
      </c>
    </row>
    <row r="210" spans="1:8" x14ac:dyDescent="0.3">
      <c r="A210" s="4" t="s">
        <v>12</v>
      </c>
      <c r="B210" s="4" t="str">
        <f>VLOOKUP(A210,Cleandata!G210:H1209,2,FALSE)</f>
        <v>Electronics</v>
      </c>
      <c r="G210" t="s">
        <v>21</v>
      </c>
      <c r="H210">
        <f>INDEX(Cleandata!D210:D1209,MATCH(G210,G210:G1209,0))</f>
        <v>40</v>
      </c>
    </row>
    <row r="211" spans="1:8" x14ac:dyDescent="0.3">
      <c r="A211" s="4" t="s">
        <v>51</v>
      </c>
      <c r="B211" s="4" t="str">
        <f>VLOOKUP(A211,Cleandata!G211:H1210,2,FALSE)</f>
        <v>Electronics</v>
      </c>
      <c r="G211" t="s">
        <v>57</v>
      </c>
      <c r="H211">
        <f>INDEX(Cleandata!D211:D1210,MATCH(G211,G211:G1210,0))</f>
        <v>36</v>
      </c>
    </row>
    <row r="212" spans="1:8" x14ac:dyDescent="0.3">
      <c r="A212" s="4" t="s">
        <v>44</v>
      </c>
      <c r="B212" s="4" t="str">
        <f>VLOOKUP(A212,Cleandata!G212:H1211,2,FALSE)</f>
        <v>Accessories</v>
      </c>
      <c r="G212" t="s">
        <v>62</v>
      </c>
      <c r="H212">
        <f>INDEX(Cleandata!D212:D1211,MATCH(G212,G212:G1211,0))</f>
        <v>25</v>
      </c>
    </row>
    <row r="213" spans="1:8" x14ac:dyDescent="0.3">
      <c r="A213" s="4" t="s">
        <v>41</v>
      </c>
      <c r="B213" s="4" t="str">
        <f>VLOOKUP(A213,Cleandata!G213:H1212,2,FALSE)</f>
        <v>Accessories</v>
      </c>
      <c r="G213" t="s">
        <v>16</v>
      </c>
      <c r="H213">
        <f>INDEX(Cleandata!D213:D1212,MATCH(G213,G213:G1212,0))</f>
        <v>35</v>
      </c>
    </row>
    <row r="214" spans="1:8" x14ac:dyDescent="0.3">
      <c r="A214" s="4" t="s">
        <v>44</v>
      </c>
      <c r="B214" s="4" t="str">
        <f>VLOOKUP(A214,Cleandata!G214:H1213,2,FALSE)</f>
        <v>Accessories</v>
      </c>
      <c r="G214" t="s">
        <v>25</v>
      </c>
      <c r="H214">
        <f>INDEX(Cleandata!D214:D1213,MATCH(G214,G214:G1213,0))</f>
        <v>30</v>
      </c>
    </row>
    <row r="215" spans="1:8" x14ac:dyDescent="0.3">
      <c r="A215" s="4" t="s">
        <v>51</v>
      </c>
      <c r="B215" s="4" t="str">
        <f>VLOOKUP(A215,Cleandata!G215:H1214,2,FALSE)</f>
        <v>Electronics</v>
      </c>
      <c r="G215" t="s">
        <v>78</v>
      </c>
      <c r="H215">
        <f>INDEX(Cleandata!D215:D1214,MATCH(G215,G215:G1214,0))</f>
        <v>36</v>
      </c>
    </row>
    <row r="216" spans="1:8" x14ac:dyDescent="0.3">
      <c r="A216" s="4" t="s">
        <v>44</v>
      </c>
      <c r="B216" s="4" t="str">
        <f>VLOOKUP(A216,Cleandata!G216:H1215,2,FALSE)</f>
        <v>Accessories</v>
      </c>
      <c r="G216" t="s">
        <v>64</v>
      </c>
      <c r="H216">
        <f>INDEX(Cleandata!D216:D1215,MATCH(G216,G216:G1215,0))</f>
        <v>30</v>
      </c>
    </row>
    <row r="217" spans="1:8" x14ac:dyDescent="0.3">
      <c r="A217" s="4" t="s">
        <v>23</v>
      </c>
      <c r="B217" s="4" t="str">
        <f>VLOOKUP(A217,Cleandata!G217:H1216,2,FALSE)</f>
        <v>Clothing</v>
      </c>
      <c r="G217" t="s">
        <v>69</v>
      </c>
      <c r="H217">
        <f>INDEX(Cleandata!D217:D1216,MATCH(G217,G217:G1216,0))</f>
        <v>30</v>
      </c>
    </row>
    <row r="218" spans="1:8" x14ac:dyDescent="0.3">
      <c r="A218" s="4" t="s">
        <v>51</v>
      </c>
      <c r="B218" s="4" t="str">
        <f>VLOOKUP(A218,Cleandata!G218:H1217,2,FALSE)</f>
        <v>Electronics</v>
      </c>
      <c r="G218" t="s">
        <v>54</v>
      </c>
      <c r="H218">
        <f>INDEX(Cleandata!D218:D1217,MATCH(G218,G218:G1217,0))</f>
        <v>30</v>
      </c>
    </row>
    <row r="219" spans="1:8" x14ac:dyDescent="0.3">
      <c r="A219" s="4" t="s">
        <v>55</v>
      </c>
      <c r="B219" s="4" t="str">
        <f>VLOOKUP(A219,Cleandata!G219:H1218,2,FALSE)</f>
        <v>Accessories</v>
      </c>
      <c r="G219" t="s">
        <v>69</v>
      </c>
      <c r="H219">
        <f>INDEX(Cleandata!D219:D1218,MATCH(G219,G219:G1218,0))</f>
        <v>30</v>
      </c>
    </row>
    <row r="220" spans="1:8" x14ac:dyDescent="0.3">
      <c r="A220" s="4" t="s">
        <v>18</v>
      </c>
      <c r="B220" s="4" t="str">
        <f>VLOOKUP(A220,Cleandata!G220:H1219,2,FALSE)</f>
        <v>Clothing</v>
      </c>
      <c r="G220" t="s">
        <v>48</v>
      </c>
      <c r="H220">
        <f>INDEX(Cleandata!D220:D1219,MATCH(G220,G220:G1219,0))</f>
        <v>38</v>
      </c>
    </row>
    <row r="221" spans="1:8" x14ac:dyDescent="0.3">
      <c r="A221" s="4" t="s">
        <v>44</v>
      </c>
      <c r="B221" s="4" t="str">
        <f>VLOOKUP(A221,Cleandata!G221:H1220,2,FALSE)</f>
        <v>Accessories</v>
      </c>
      <c r="G221" t="s">
        <v>10</v>
      </c>
      <c r="H221">
        <f>INDEX(Cleandata!D221:D1220,MATCH(G221,G221:G1220,0))</f>
        <v>18</v>
      </c>
    </row>
    <row r="222" spans="1:8" x14ac:dyDescent="0.3">
      <c r="A222" s="4" t="s">
        <v>55</v>
      </c>
      <c r="B222" s="4" t="str">
        <f>VLOOKUP(A222,Cleandata!G222:H1221,2,FALSE)</f>
        <v>Accessories</v>
      </c>
      <c r="G222" t="s">
        <v>35</v>
      </c>
      <c r="H222">
        <f>INDEX(Cleandata!D222:D1221,MATCH(G222,G222:G1221,0))</f>
        <v>39</v>
      </c>
    </row>
    <row r="223" spans="1:8" x14ac:dyDescent="0.3">
      <c r="A223" s="4" t="s">
        <v>55</v>
      </c>
      <c r="B223" s="4" t="str">
        <f>VLOOKUP(A223,Cleandata!G223:H1222,2,FALSE)</f>
        <v>Accessories</v>
      </c>
      <c r="G223" t="s">
        <v>25</v>
      </c>
      <c r="H223">
        <f>INDEX(Cleandata!D223:D1222,MATCH(G223,G223:G1222,0))</f>
        <v>48</v>
      </c>
    </row>
    <row r="224" spans="1:8" x14ac:dyDescent="0.3">
      <c r="A224" s="4" t="s">
        <v>44</v>
      </c>
      <c r="B224" s="4" t="str">
        <f>VLOOKUP(A224,Cleandata!G224:H1223,2,FALSE)</f>
        <v>Accessories</v>
      </c>
      <c r="G224" t="s">
        <v>16</v>
      </c>
      <c r="H224">
        <f>INDEX(Cleandata!D224:D1223,MATCH(G224,G224:G1223,0))</f>
        <v>39</v>
      </c>
    </row>
    <row r="225" spans="1:8" x14ac:dyDescent="0.3">
      <c r="A225" s="4" t="s">
        <v>44</v>
      </c>
      <c r="B225" s="4" t="str">
        <f>VLOOKUP(A225,Cleandata!G225:H1224,2,FALSE)</f>
        <v>Accessories</v>
      </c>
      <c r="G225" t="s">
        <v>73</v>
      </c>
      <c r="H225">
        <f>INDEX(Cleandata!D225:D1224,MATCH(G225,G225:G1224,0))</f>
        <v>48</v>
      </c>
    </row>
    <row r="226" spans="1:8" x14ac:dyDescent="0.3">
      <c r="A226" s="4" t="s">
        <v>51</v>
      </c>
      <c r="B226" s="4" t="str">
        <f>VLOOKUP(A226,Cleandata!G226:H1225,2,FALSE)</f>
        <v>Electronics</v>
      </c>
      <c r="G226" t="s">
        <v>35</v>
      </c>
      <c r="H226">
        <f>INDEX(Cleandata!D226:D1225,MATCH(G226,G226:G1225,0))</f>
        <v>21</v>
      </c>
    </row>
    <row r="227" spans="1:8" x14ac:dyDescent="0.3">
      <c r="A227" s="4" t="s">
        <v>12</v>
      </c>
      <c r="B227" s="4" t="str">
        <f>VLOOKUP(A227,Cleandata!G227:H1226,2,FALSE)</f>
        <v>Electronics</v>
      </c>
      <c r="G227" t="s">
        <v>32</v>
      </c>
      <c r="H227">
        <f>INDEX(Cleandata!D227:D1226,MATCH(G227,G227:G1226,0))</f>
        <v>50</v>
      </c>
    </row>
    <row r="228" spans="1:8" x14ac:dyDescent="0.3">
      <c r="A228" s="4" t="s">
        <v>23</v>
      </c>
      <c r="B228" s="4" t="str">
        <f>VLOOKUP(A228,Cleandata!G228:H1227,2,FALSE)</f>
        <v>Clothing</v>
      </c>
      <c r="G228" t="s">
        <v>46</v>
      </c>
      <c r="H228">
        <f>INDEX(Cleandata!D228:D1227,MATCH(G228,G228:G1227,0))</f>
        <v>28</v>
      </c>
    </row>
    <row r="229" spans="1:8" x14ac:dyDescent="0.3">
      <c r="A229" s="4" t="s">
        <v>44</v>
      </c>
      <c r="B229" s="4" t="str">
        <f>VLOOKUP(A229,Cleandata!G229:H1228,2,FALSE)</f>
        <v>Accessories</v>
      </c>
      <c r="G229" t="s">
        <v>78</v>
      </c>
      <c r="H229">
        <f>INDEX(Cleandata!D229:D1228,MATCH(G229,G229:G1228,0))</f>
        <v>30</v>
      </c>
    </row>
    <row r="230" spans="1:8" x14ac:dyDescent="0.3">
      <c r="A230" s="4" t="s">
        <v>12</v>
      </c>
      <c r="B230" s="4" t="str">
        <f>VLOOKUP(A230,Cleandata!G230:H1229,2,FALSE)</f>
        <v>Electronics</v>
      </c>
      <c r="G230" t="s">
        <v>54</v>
      </c>
      <c r="H230">
        <f>INDEX(Cleandata!D230:D1229,MATCH(G230,G230:G1229,0))</f>
        <v>20</v>
      </c>
    </row>
    <row r="231" spans="1:8" x14ac:dyDescent="0.3">
      <c r="A231" s="4" t="s">
        <v>23</v>
      </c>
      <c r="B231" s="4" t="str">
        <f>VLOOKUP(A231,Cleandata!G231:H1230,2,FALSE)</f>
        <v>Clothing</v>
      </c>
      <c r="G231" t="s">
        <v>78</v>
      </c>
      <c r="H231">
        <f>INDEX(Cleandata!D231:D1230,MATCH(G231,G231:G1230,0))</f>
        <v>30</v>
      </c>
    </row>
    <row r="232" spans="1:8" x14ac:dyDescent="0.3">
      <c r="A232" s="4" t="s">
        <v>41</v>
      </c>
      <c r="B232" s="4" t="str">
        <f>VLOOKUP(A232,Cleandata!G232:H1231,2,FALSE)</f>
        <v>Accessories</v>
      </c>
      <c r="G232" t="s">
        <v>46</v>
      </c>
      <c r="H232">
        <f>INDEX(Cleandata!D232:D1231,MATCH(G232,G232:G1231,0))</f>
        <v>30</v>
      </c>
    </row>
    <row r="233" spans="1:8" x14ac:dyDescent="0.3">
      <c r="A233" s="4" t="s">
        <v>51</v>
      </c>
      <c r="B233" s="4" t="str">
        <f>VLOOKUP(A233,Cleandata!G233:H1232,2,FALSE)</f>
        <v>Electronics</v>
      </c>
      <c r="G233" t="s">
        <v>25</v>
      </c>
      <c r="H233">
        <f>INDEX(Cleandata!D233:D1232,MATCH(G233,G233:G1232,0))</f>
        <v>30</v>
      </c>
    </row>
    <row r="234" spans="1:8" x14ac:dyDescent="0.3">
      <c r="A234" s="4" t="s">
        <v>27</v>
      </c>
      <c r="B234" s="4" t="str">
        <f>VLOOKUP(A234,Cleandata!G234:H1233,2,FALSE)</f>
        <v>Electronics</v>
      </c>
      <c r="G234" t="s">
        <v>54</v>
      </c>
      <c r="H234">
        <f>INDEX(Cleandata!D234:D1233,MATCH(G234,G234:G1233,0))</f>
        <v>48</v>
      </c>
    </row>
    <row r="235" spans="1:8" x14ac:dyDescent="0.3">
      <c r="A235" s="4" t="s">
        <v>27</v>
      </c>
      <c r="B235" s="4" t="str">
        <f>VLOOKUP(A235,Cleandata!G235:H1234,2,FALSE)</f>
        <v>Electronics</v>
      </c>
      <c r="G235" t="s">
        <v>73</v>
      </c>
      <c r="H235">
        <f>INDEX(Cleandata!D235:D1234,MATCH(G235,G235:G1234,0))</f>
        <v>30</v>
      </c>
    </row>
    <row r="236" spans="1:8" x14ac:dyDescent="0.3">
      <c r="A236" s="4" t="s">
        <v>23</v>
      </c>
      <c r="B236" s="4" t="str">
        <f>VLOOKUP(A236,Cleandata!G236:H1235,2,FALSE)</f>
        <v>Clothing</v>
      </c>
      <c r="G236" t="s">
        <v>64</v>
      </c>
      <c r="H236">
        <f>INDEX(Cleandata!D236:D1235,MATCH(G236,G236:G1235,0))</f>
        <v>30</v>
      </c>
    </row>
    <row r="237" spans="1:8" x14ac:dyDescent="0.3">
      <c r="A237" s="4" t="s">
        <v>18</v>
      </c>
      <c r="B237" s="4" t="str">
        <f>VLOOKUP(A237,Cleandata!G237:H1236,2,FALSE)</f>
        <v>Clothing</v>
      </c>
      <c r="G237" t="s">
        <v>73</v>
      </c>
      <c r="H237">
        <f>INDEX(Cleandata!D237:D1236,MATCH(G237,G237:G1236,0))</f>
        <v>35</v>
      </c>
    </row>
    <row r="238" spans="1:8" x14ac:dyDescent="0.3">
      <c r="A238" s="4" t="s">
        <v>41</v>
      </c>
      <c r="B238" s="4" t="str">
        <f>VLOOKUP(A238,Cleandata!G238:H1237,2,FALSE)</f>
        <v>Accessories</v>
      </c>
      <c r="G238" t="s">
        <v>25</v>
      </c>
      <c r="H238">
        <f>INDEX(Cleandata!D238:D1237,MATCH(G238,G238:G1237,0))</f>
        <v>47</v>
      </c>
    </row>
    <row r="239" spans="1:8" x14ac:dyDescent="0.3">
      <c r="A239" s="4" t="s">
        <v>55</v>
      </c>
      <c r="B239" s="4" t="str">
        <f>VLOOKUP(A239,Cleandata!G239:H1238,2,FALSE)</f>
        <v>Accessories</v>
      </c>
      <c r="G239" t="s">
        <v>68</v>
      </c>
      <c r="H239">
        <f>INDEX(Cleandata!D239:D1238,MATCH(G239,G239:G1238,0))</f>
        <v>30</v>
      </c>
    </row>
    <row r="240" spans="1:8" x14ac:dyDescent="0.3">
      <c r="A240" s="4" t="s">
        <v>55</v>
      </c>
      <c r="B240" s="4" t="str">
        <f>VLOOKUP(A240,Cleandata!G240:H1239,2,FALSE)</f>
        <v>Accessories</v>
      </c>
      <c r="G240" t="s">
        <v>16</v>
      </c>
      <c r="H240">
        <f>INDEX(Cleandata!D240:D1239,MATCH(G240,G240:G1239,0))</f>
        <v>30</v>
      </c>
    </row>
    <row r="241" spans="1:8" x14ac:dyDescent="0.3">
      <c r="A241" s="4" t="s">
        <v>12</v>
      </c>
      <c r="B241" s="4" t="str">
        <f>VLOOKUP(A241,Cleandata!G241:H1240,2,FALSE)</f>
        <v>Electronics</v>
      </c>
      <c r="G241" t="s">
        <v>25</v>
      </c>
      <c r="H241">
        <f>INDEX(Cleandata!D241:D1240,MATCH(G241,G241:G1240,0))</f>
        <v>30</v>
      </c>
    </row>
    <row r="242" spans="1:8" x14ac:dyDescent="0.3">
      <c r="A242" s="4" t="s">
        <v>27</v>
      </c>
      <c r="B242" s="4" t="str">
        <f>VLOOKUP(A242,Cleandata!G242:H1241,2,FALSE)</f>
        <v>Electronics</v>
      </c>
      <c r="G242" t="s">
        <v>16</v>
      </c>
      <c r="H242">
        <f>INDEX(Cleandata!D242:D1241,MATCH(G242,G242:G1241,0))</f>
        <v>30</v>
      </c>
    </row>
    <row r="243" spans="1:8" x14ac:dyDescent="0.3">
      <c r="A243" s="4" t="s">
        <v>27</v>
      </c>
      <c r="B243" s="4" t="str">
        <f>VLOOKUP(A243,Cleandata!G243:H1242,2,FALSE)</f>
        <v>Electronics</v>
      </c>
      <c r="G243" t="s">
        <v>10</v>
      </c>
      <c r="H243">
        <f>INDEX(Cleandata!D243:D1242,MATCH(G243,G243:G1242,0))</f>
        <v>30</v>
      </c>
    </row>
    <row r="244" spans="1:8" x14ac:dyDescent="0.3">
      <c r="A244" s="4" t="s">
        <v>18</v>
      </c>
      <c r="B244" s="4" t="str">
        <f>VLOOKUP(A244,Cleandata!G244:H1243,2,FALSE)</f>
        <v>Clothing</v>
      </c>
      <c r="G244" t="s">
        <v>68</v>
      </c>
      <c r="H244">
        <f>INDEX(Cleandata!D244:D1243,MATCH(G244,G244:G1243,0))</f>
        <v>30</v>
      </c>
    </row>
    <row r="245" spans="1:8" x14ac:dyDescent="0.3">
      <c r="A245" s="4" t="s">
        <v>55</v>
      </c>
      <c r="B245" s="4" t="str">
        <f>VLOOKUP(A245,Cleandata!G245:H1244,2,FALSE)</f>
        <v>Accessories</v>
      </c>
      <c r="G245" t="s">
        <v>68</v>
      </c>
      <c r="H245">
        <f>INDEX(Cleandata!D245:D1244,MATCH(G245,G245:G1244,0))</f>
        <v>30</v>
      </c>
    </row>
    <row r="246" spans="1:8" x14ac:dyDescent="0.3">
      <c r="A246" s="4" t="s">
        <v>51</v>
      </c>
      <c r="B246" s="4" t="str">
        <f>VLOOKUP(A246,Cleandata!G246:H1245,2,FALSE)</f>
        <v>Electronics</v>
      </c>
      <c r="G246" t="s">
        <v>21</v>
      </c>
      <c r="H246">
        <f>INDEX(Cleandata!D246:D1245,MATCH(G246,G246:G1245,0))</f>
        <v>33</v>
      </c>
    </row>
    <row r="247" spans="1:8" x14ac:dyDescent="0.3">
      <c r="A247" s="4" t="s">
        <v>51</v>
      </c>
      <c r="B247" s="4" t="str">
        <f>VLOOKUP(A247,Cleandata!G247:H1246,2,FALSE)</f>
        <v>Electronics</v>
      </c>
      <c r="G247" t="s">
        <v>16</v>
      </c>
      <c r="H247">
        <f>INDEX(Cleandata!D247:D1246,MATCH(G247,G247:G1246,0))</f>
        <v>30</v>
      </c>
    </row>
    <row r="248" spans="1:8" x14ac:dyDescent="0.3">
      <c r="A248" s="4" t="s">
        <v>18</v>
      </c>
      <c r="B248" s="4" t="str">
        <f>VLOOKUP(A248,Cleandata!G248:H1247,2,FALSE)</f>
        <v>Clothing</v>
      </c>
      <c r="G248" t="s">
        <v>16</v>
      </c>
      <c r="H248">
        <f>INDEX(Cleandata!D248:D1247,MATCH(G248,G248:G1247,0))</f>
        <v>29</v>
      </c>
    </row>
    <row r="249" spans="1:8" x14ac:dyDescent="0.3">
      <c r="A249" s="4" t="s">
        <v>18</v>
      </c>
      <c r="B249" s="4" t="str">
        <f>VLOOKUP(A249,Cleandata!G249:H1248,2,FALSE)</f>
        <v>Clothing</v>
      </c>
      <c r="G249" t="s">
        <v>69</v>
      </c>
      <c r="H249">
        <f>INDEX(Cleandata!D249:D1248,MATCH(G249,G249:G1248,0))</f>
        <v>42</v>
      </c>
    </row>
    <row r="250" spans="1:8" x14ac:dyDescent="0.3">
      <c r="A250" s="4" t="s">
        <v>12</v>
      </c>
      <c r="B250" s="4" t="str">
        <f>VLOOKUP(A250,Cleandata!G250:H1249,2,FALSE)</f>
        <v>Electronics</v>
      </c>
      <c r="G250" t="s">
        <v>25</v>
      </c>
      <c r="H250">
        <f>INDEX(Cleandata!D250:D1249,MATCH(G250,G250:G1249,0))</f>
        <v>36</v>
      </c>
    </row>
    <row r="251" spans="1:8" x14ac:dyDescent="0.3">
      <c r="A251" s="4" t="s">
        <v>12</v>
      </c>
      <c r="B251" s="4" t="str">
        <f>VLOOKUP(A251,Cleandata!G251:H1250,2,FALSE)</f>
        <v>Electronics</v>
      </c>
      <c r="G251" t="s">
        <v>38</v>
      </c>
      <c r="H251">
        <f>INDEX(Cleandata!D251:D1250,MATCH(G251,G251:G1250,0))</f>
        <v>46</v>
      </c>
    </row>
    <row r="252" spans="1:8" x14ac:dyDescent="0.3">
      <c r="A252" s="4" t="s">
        <v>23</v>
      </c>
      <c r="B252" s="4" t="str">
        <f>VLOOKUP(A252,Cleandata!G252:H1251,2,FALSE)</f>
        <v>Clothing</v>
      </c>
      <c r="G252" t="s">
        <v>62</v>
      </c>
      <c r="H252">
        <f>INDEX(Cleandata!D252:D1251,MATCH(G252,G252:G1251,0))</f>
        <v>38</v>
      </c>
    </row>
    <row r="253" spans="1:8" x14ac:dyDescent="0.3">
      <c r="A253" s="4" t="s">
        <v>44</v>
      </c>
      <c r="B253" s="4" t="str">
        <f>VLOOKUP(A253,Cleandata!G253:H1252,2,FALSE)</f>
        <v>Accessories</v>
      </c>
      <c r="G253" t="s">
        <v>78</v>
      </c>
      <c r="H253">
        <f>INDEX(Cleandata!D253:D1252,MATCH(G253,G253:G1252,0))</f>
        <v>30</v>
      </c>
    </row>
    <row r="254" spans="1:8" x14ac:dyDescent="0.3">
      <c r="A254" s="4" t="s">
        <v>51</v>
      </c>
      <c r="B254" s="4" t="str">
        <f>VLOOKUP(A254,Cleandata!G254:H1253,2,FALSE)</f>
        <v>Electronics</v>
      </c>
      <c r="G254" t="s">
        <v>46</v>
      </c>
      <c r="H254">
        <f>INDEX(Cleandata!D254:D1253,MATCH(G254,G254:G1253,0))</f>
        <v>30</v>
      </c>
    </row>
    <row r="255" spans="1:8" x14ac:dyDescent="0.3">
      <c r="A255" s="4" t="s">
        <v>27</v>
      </c>
      <c r="B255" s="4" t="str">
        <f>VLOOKUP(A255,Cleandata!G255:H1254,2,FALSE)</f>
        <v>Electronics</v>
      </c>
      <c r="G255" t="s">
        <v>62</v>
      </c>
      <c r="H255">
        <f>INDEX(Cleandata!D255:D1254,MATCH(G255,G255:G1254,0))</f>
        <v>30</v>
      </c>
    </row>
    <row r="256" spans="1:8" x14ac:dyDescent="0.3">
      <c r="A256" s="4" t="s">
        <v>23</v>
      </c>
      <c r="B256" s="4" t="str">
        <f>VLOOKUP(A256,Cleandata!G256:H1255,2,FALSE)</f>
        <v>Clothing</v>
      </c>
      <c r="G256" t="s">
        <v>57</v>
      </c>
      <c r="H256">
        <f>INDEX(Cleandata!D256:D1255,MATCH(G256,G256:G1255,0))</f>
        <v>30</v>
      </c>
    </row>
    <row r="257" spans="1:8" x14ac:dyDescent="0.3">
      <c r="A257" s="4" t="s">
        <v>23</v>
      </c>
      <c r="B257" s="4" t="str">
        <f>VLOOKUP(A257,Cleandata!G257:H1256,2,FALSE)</f>
        <v>Clothing</v>
      </c>
      <c r="G257" t="s">
        <v>57</v>
      </c>
      <c r="H257">
        <f>INDEX(Cleandata!D257:D1256,MATCH(G257,G257:G1256,0))</f>
        <v>30</v>
      </c>
    </row>
    <row r="258" spans="1:8" x14ac:dyDescent="0.3">
      <c r="A258" s="4" t="s">
        <v>12</v>
      </c>
      <c r="B258" s="4" t="str">
        <f>VLOOKUP(A258,Cleandata!G258:H1257,2,FALSE)</f>
        <v>Electronics</v>
      </c>
      <c r="G258" t="s">
        <v>59</v>
      </c>
      <c r="H258">
        <f>INDEX(Cleandata!D258:D1257,MATCH(G258,G258:G1257,0))</f>
        <v>30</v>
      </c>
    </row>
    <row r="259" spans="1:8" x14ac:dyDescent="0.3">
      <c r="A259" s="4" t="s">
        <v>27</v>
      </c>
      <c r="B259" s="4" t="str">
        <f>VLOOKUP(A259,Cleandata!G259:H1258,2,FALSE)</f>
        <v>Electronics</v>
      </c>
      <c r="G259" t="s">
        <v>64</v>
      </c>
      <c r="H259">
        <f>INDEX(Cleandata!D259:D1258,MATCH(G259,G259:G1258,0))</f>
        <v>30</v>
      </c>
    </row>
    <row r="260" spans="1:8" x14ac:dyDescent="0.3">
      <c r="A260" s="4" t="s">
        <v>23</v>
      </c>
      <c r="B260" s="4" t="str">
        <f>VLOOKUP(A260,Cleandata!G260:H1259,2,FALSE)</f>
        <v>Clothing</v>
      </c>
      <c r="G260" t="s">
        <v>59</v>
      </c>
      <c r="H260">
        <f>INDEX(Cleandata!D260:D1259,MATCH(G260,G260:G1259,0))</f>
        <v>24</v>
      </c>
    </row>
    <row r="261" spans="1:8" x14ac:dyDescent="0.3">
      <c r="A261" s="4" t="s">
        <v>18</v>
      </c>
      <c r="B261" s="4" t="str">
        <f>VLOOKUP(A261,Cleandata!G261:H1260,2,FALSE)</f>
        <v>Clothing</v>
      </c>
      <c r="G261" t="s">
        <v>68</v>
      </c>
      <c r="H261">
        <f>INDEX(Cleandata!D261:D1260,MATCH(G261,G261:G1260,0))</f>
        <v>42</v>
      </c>
    </row>
    <row r="262" spans="1:8" x14ac:dyDescent="0.3">
      <c r="A262" s="4" t="s">
        <v>44</v>
      </c>
      <c r="B262" s="4" t="str">
        <f>VLOOKUP(A262,Cleandata!G262:H1261,2,FALSE)</f>
        <v>Accessories</v>
      </c>
      <c r="G262" t="s">
        <v>48</v>
      </c>
      <c r="H262">
        <f>INDEX(Cleandata!D262:D1261,MATCH(G262,G262:G1261,0))</f>
        <v>30</v>
      </c>
    </row>
    <row r="263" spans="1:8" x14ac:dyDescent="0.3">
      <c r="A263" s="4" t="s">
        <v>51</v>
      </c>
      <c r="B263" s="4" t="str">
        <f>VLOOKUP(A263,Cleandata!G263:H1262,2,FALSE)</f>
        <v>Electronics</v>
      </c>
      <c r="G263" t="s">
        <v>68</v>
      </c>
      <c r="H263">
        <f>INDEX(Cleandata!D263:D1262,MATCH(G263,G263:G1262,0))</f>
        <v>30</v>
      </c>
    </row>
    <row r="264" spans="1:8" x14ac:dyDescent="0.3">
      <c r="A264" s="4" t="s">
        <v>12</v>
      </c>
      <c r="B264" s="4" t="str">
        <f>VLOOKUP(A264,Cleandata!G264:H1263,2,FALSE)</f>
        <v>Electronics</v>
      </c>
      <c r="G264" t="s">
        <v>21</v>
      </c>
      <c r="H264">
        <f>INDEX(Cleandata!D264:D1263,MATCH(G264,G264:G1263,0))</f>
        <v>30</v>
      </c>
    </row>
    <row r="265" spans="1:8" x14ac:dyDescent="0.3">
      <c r="A265" s="4" t="s">
        <v>55</v>
      </c>
      <c r="B265" s="4" t="str">
        <f>VLOOKUP(A265,Cleandata!G265:H1264,2,FALSE)</f>
        <v>Accessories</v>
      </c>
      <c r="G265" t="s">
        <v>46</v>
      </c>
      <c r="H265">
        <f>INDEX(Cleandata!D265:D1264,MATCH(G265,G265:G1264,0))</f>
        <v>30</v>
      </c>
    </row>
    <row r="266" spans="1:8" x14ac:dyDescent="0.3">
      <c r="A266" s="4" t="s">
        <v>41</v>
      </c>
      <c r="B266" s="4" t="str">
        <f>VLOOKUP(A266,Cleandata!G266:H1265,2,FALSE)</f>
        <v>Accessories</v>
      </c>
      <c r="G266" t="s">
        <v>10</v>
      </c>
      <c r="H266">
        <f>INDEX(Cleandata!D266:D1265,MATCH(G266,G266:G1265,0))</f>
        <v>49</v>
      </c>
    </row>
    <row r="267" spans="1:8" x14ac:dyDescent="0.3">
      <c r="A267" s="4" t="s">
        <v>27</v>
      </c>
      <c r="B267" s="4" t="str">
        <f>VLOOKUP(A267,Cleandata!G267:H1266,2,FALSE)</f>
        <v>Electronics</v>
      </c>
      <c r="G267" t="s">
        <v>46</v>
      </c>
      <c r="H267">
        <f>INDEX(Cleandata!D267:D1266,MATCH(G267,G267:G1266,0))</f>
        <v>30</v>
      </c>
    </row>
    <row r="268" spans="1:8" x14ac:dyDescent="0.3">
      <c r="A268" s="4" t="s">
        <v>18</v>
      </c>
      <c r="B268" s="4" t="str">
        <f>VLOOKUP(A268,Cleandata!G268:H1267,2,FALSE)</f>
        <v>Clothing</v>
      </c>
      <c r="G268" t="s">
        <v>64</v>
      </c>
      <c r="H268">
        <f>INDEX(Cleandata!D268:D1267,MATCH(G268,G268:G1267,0))</f>
        <v>30</v>
      </c>
    </row>
    <row r="269" spans="1:8" x14ac:dyDescent="0.3">
      <c r="A269" s="4" t="s">
        <v>23</v>
      </c>
      <c r="B269" s="4" t="str">
        <f>VLOOKUP(A269,Cleandata!G269:H1268,2,FALSE)</f>
        <v>Clothing</v>
      </c>
      <c r="G269" t="s">
        <v>21</v>
      </c>
      <c r="H269">
        <f>INDEX(Cleandata!D269:D1268,MATCH(G269,G269:G1268,0))</f>
        <v>42</v>
      </c>
    </row>
    <row r="270" spans="1:8" x14ac:dyDescent="0.3">
      <c r="A270" s="4" t="s">
        <v>23</v>
      </c>
      <c r="B270" s="4" t="str">
        <f>VLOOKUP(A270,Cleandata!G270:H1269,2,FALSE)</f>
        <v>Clothing</v>
      </c>
      <c r="G270" t="s">
        <v>21</v>
      </c>
      <c r="H270">
        <f>INDEX(Cleandata!D270:D1269,MATCH(G270,G270:G1269,0))</f>
        <v>30</v>
      </c>
    </row>
    <row r="271" spans="1:8" x14ac:dyDescent="0.3">
      <c r="A271" s="4" t="s">
        <v>18</v>
      </c>
      <c r="B271" s="4" t="str">
        <f>VLOOKUP(A271,Cleandata!G271:H1270,2,FALSE)</f>
        <v>Clothing</v>
      </c>
      <c r="G271" t="s">
        <v>68</v>
      </c>
      <c r="H271">
        <f>INDEX(Cleandata!D271:D1270,MATCH(G271,G271:G1270,0))</f>
        <v>34</v>
      </c>
    </row>
    <row r="272" spans="1:8" x14ac:dyDescent="0.3">
      <c r="A272" s="4" t="s">
        <v>44</v>
      </c>
      <c r="B272" s="4" t="str">
        <f>VLOOKUP(A272,Cleandata!G272:H1271,2,FALSE)</f>
        <v>Accessories</v>
      </c>
      <c r="G272" t="s">
        <v>69</v>
      </c>
      <c r="H272">
        <f>INDEX(Cleandata!D272:D1271,MATCH(G272,G272:G1271,0))</f>
        <v>24</v>
      </c>
    </row>
    <row r="273" spans="1:8" x14ac:dyDescent="0.3">
      <c r="A273" s="4" t="s">
        <v>41</v>
      </c>
      <c r="B273" s="4" t="str">
        <f>VLOOKUP(A273,Cleandata!G273:H1272,2,FALSE)</f>
        <v>Accessories</v>
      </c>
      <c r="G273" t="s">
        <v>25</v>
      </c>
      <c r="H273">
        <f>INDEX(Cleandata!D273:D1272,MATCH(G273,G273:G1272,0))</f>
        <v>30</v>
      </c>
    </row>
    <row r="274" spans="1:8" x14ac:dyDescent="0.3">
      <c r="A274" s="4" t="s">
        <v>55</v>
      </c>
      <c r="B274" s="4" t="str">
        <f>VLOOKUP(A274,Cleandata!G274:H1273,2,FALSE)</f>
        <v>Accessories</v>
      </c>
      <c r="G274" t="s">
        <v>25</v>
      </c>
      <c r="H274">
        <f>INDEX(Cleandata!D274:D1273,MATCH(G274,G274:G1273,0))</f>
        <v>35</v>
      </c>
    </row>
    <row r="275" spans="1:8" x14ac:dyDescent="0.3">
      <c r="A275" s="4" t="s">
        <v>18</v>
      </c>
      <c r="B275" s="4" t="str">
        <f>VLOOKUP(A275,Cleandata!G275:H1274,2,FALSE)</f>
        <v>Clothing</v>
      </c>
      <c r="G275" t="s">
        <v>35</v>
      </c>
      <c r="H275">
        <f>INDEX(Cleandata!D275:D1274,MATCH(G275,G275:G1274,0))</f>
        <v>34</v>
      </c>
    </row>
    <row r="276" spans="1:8" x14ac:dyDescent="0.3">
      <c r="A276" s="4" t="s">
        <v>55</v>
      </c>
      <c r="B276" s="4" t="str">
        <f>VLOOKUP(A276,Cleandata!G276:H1275,2,FALSE)</f>
        <v>Accessories</v>
      </c>
      <c r="G276" t="s">
        <v>68</v>
      </c>
      <c r="H276">
        <f>INDEX(Cleandata!D276:D1275,MATCH(G276,G276:G1275,0))</f>
        <v>29</v>
      </c>
    </row>
    <row r="277" spans="1:8" x14ac:dyDescent="0.3">
      <c r="A277" s="4" t="s">
        <v>44</v>
      </c>
      <c r="B277" s="4" t="str">
        <f>VLOOKUP(A277,Cleandata!G277:H1276,2,FALSE)</f>
        <v>Accessories</v>
      </c>
      <c r="G277" t="s">
        <v>64</v>
      </c>
      <c r="H277">
        <f>INDEX(Cleandata!D277:D1276,MATCH(G277,G277:G1276,0))</f>
        <v>44</v>
      </c>
    </row>
    <row r="278" spans="1:8" x14ac:dyDescent="0.3">
      <c r="A278" s="4" t="s">
        <v>44</v>
      </c>
      <c r="B278" s="4" t="str">
        <f>VLOOKUP(A278,Cleandata!G278:H1277,2,FALSE)</f>
        <v>Accessories</v>
      </c>
      <c r="G278" t="s">
        <v>62</v>
      </c>
      <c r="H278">
        <f>INDEX(Cleandata!D278:D1277,MATCH(G278,G278:G1277,0))</f>
        <v>30</v>
      </c>
    </row>
    <row r="279" spans="1:8" x14ac:dyDescent="0.3">
      <c r="A279" s="4" t="s">
        <v>12</v>
      </c>
      <c r="B279" s="4" t="str">
        <f>VLOOKUP(A279,Cleandata!G279:H1278,2,FALSE)</f>
        <v>Electronics</v>
      </c>
      <c r="G279" t="s">
        <v>54</v>
      </c>
      <c r="H279">
        <f>INDEX(Cleandata!D279:D1278,MATCH(G279,G279:G1278,0))</f>
        <v>30</v>
      </c>
    </row>
    <row r="280" spans="1:8" x14ac:dyDescent="0.3">
      <c r="A280" s="4" t="s">
        <v>44</v>
      </c>
      <c r="B280" s="4" t="str">
        <f>VLOOKUP(A280,Cleandata!G280:H1279,2,FALSE)</f>
        <v>Accessories</v>
      </c>
      <c r="G280" t="s">
        <v>78</v>
      </c>
      <c r="H280">
        <f>INDEX(Cleandata!D280:D1279,MATCH(G280,G280:G1279,0))</f>
        <v>30</v>
      </c>
    </row>
    <row r="281" spans="1:8" x14ac:dyDescent="0.3">
      <c r="A281" s="4" t="s">
        <v>23</v>
      </c>
      <c r="B281" s="4" t="str">
        <f>VLOOKUP(A281,Cleandata!G281:H1280,2,FALSE)</f>
        <v>Clothing</v>
      </c>
      <c r="G281" t="s">
        <v>57</v>
      </c>
      <c r="H281">
        <f>INDEX(Cleandata!D281:D1280,MATCH(G281,G281:G1280,0))</f>
        <v>30</v>
      </c>
    </row>
    <row r="282" spans="1:8" x14ac:dyDescent="0.3">
      <c r="A282" s="4" t="s">
        <v>18</v>
      </c>
      <c r="B282" s="4" t="str">
        <f>VLOOKUP(A282,Cleandata!G282:H1281,2,FALSE)</f>
        <v>Clothing</v>
      </c>
      <c r="G282" t="s">
        <v>25</v>
      </c>
      <c r="H282">
        <f>INDEX(Cleandata!D282:D1281,MATCH(G282,G282:G1281,0))</f>
        <v>26</v>
      </c>
    </row>
    <row r="283" spans="1:8" x14ac:dyDescent="0.3">
      <c r="A283" s="4" t="s">
        <v>18</v>
      </c>
      <c r="B283" s="4" t="str">
        <f>VLOOKUP(A283,Cleandata!G283:H1282,2,FALSE)</f>
        <v>Clothing</v>
      </c>
      <c r="G283" t="s">
        <v>25</v>
      </c>
      <c r="H283">
        <f>INDEX(Cleandata!D283:D1282,MATCH(G283,G283:G1282,0))</f>
        <v>30</v>
      </c>
    </row>
    <row r="284" spans="1:8" x14ac:dyDescent="0.3">
      <c r="A284" s="4" t="s">
        <v>18</v>
      </c>
      <c r="B284" s="4" t="str">
        <f>VLOOKUP(A284,Cleandata!G284:H1283,2,FALSE)</f>
        <v>Clothing</v>
      </c>
      <c r="G284" t="s">
        <v>21</v>
      </c>
      <c r="H284">
        <f>INDEX(Cleandata!D284:D1283,MATCH(G284,G284:G1283,0))</f>
        <v>23</v>
      </c>
    </row>
    <row r="285" spans="1:8" x14ac:dyDescent="0.3">
      <c r="A285" s="4" t="s">
        <v>27</v>
      </c>
      <c r="B285" s="4" t="str">
        <f>VLOOKUP(A285,Cleandata!G285:H1284,2,FALSE)</f>
        <v>Electronics</v>
      </c>
      <c r="G285" t="s">
        <v>59</v>
      </c>
      <c r="H285">
        <f>INDEX(Cleandata!D285:D1284,MATCH(G285,G285:G1284,0))</f>
        <v>24</v>
      </c>
    </row>
    <row r="286" spans="1:8" x14ac:dyDescent="0.3">
      <c r="A286" s="4" t="s">
        <v>55</v>
      </c>
      <c r="B286" s="4" t="str">
        <f>VLOOKUP(A286,Cleandata!G286:H1285,2,FALSE)</f>
        <v>Accessories</v>
      </c>
      <c r="G286" t="s">
        <v>62</v>
      </c>
      <c r="H286">
        <f>INDEX(Cleandata!D286:D1285,MATCH(G286,G286:G1285,0))</f>
        <v>30</v>
      </c>
    </row>
    <row r="287" spans="1:8" x14ac:dyDescent="0.3">
      <c r="A287" s="4" t="s">
        <v>27</v>
      </c>
      <c r="B287" s="4" t="str">
        <f>VLOOKUP(A287,Cleandata!G287:H1286,2,FALSE)</f>
        <v>Electronics</v>
      </c>
      <c r="G287" t="s">
        <v>68</v>
      </c>
      <c r="H287">
        <f>INDEX(Cleandata!D287:D1286,MATCH(G287,G287:G1286,0))</f>
        <v>30</v>
      </c>
    </row>
    <row r="288" spans="1:8" x14ac:dyDescent="0.3">
      <c r="A288" s="4" t="s">
        <v>41</v>
      </c>
      <c r="B288" s="4" t="str">
        <f>VLOOKUP(A288,Cleandata!G288:H1287,2,FALSE)</f>
        <v>Accessories</v>
      </c>
      <c r="G288" t="s">
        <v>21</v>
      </c>
      <c r="H288">
        <f>INDEX(Cleandata!D288:D1287,MATCH(G288,G288:G1287,0))</f>
        <v>30</v>
      </c>
    </row>
    <row r="289" spans="1:8" x14ac:dyDescent="0.3">
      <c r="A289" s="4" t="s">
        <v>27</v>
      </c>
      <c r="B289" s="4" t="str">
        <f>VLOOKUP(A289,Cleandata!G289:H1288,2,FALSE)</f>
        <v>Electronics</v>
      </c>
      <c r="G289" t="s">
        <v>54</v>
      </c>
      <c r="H289">
        <f>INDEX(Cleandata!D289:D1288,MATCH(G289,G289:G1288,0))</f>
        <v>30</v>
      </c>
    </row>
    <row r="290" spans="1:8" x14ac:dyDescent="0.3">
      <c r="A290" s="4" t="s">
        <v>23</v>
      </c>
      <c r="B290" s="4" t="str">
        <f>VLOOKUP(A290,Cleandata!G290:H1289,2,FALSE)</f>
        <v>Clothing</v>
      </c>
      <c r="G290" t="s">
        <v>10</v>
      </c>
      <c r="H290">
        <f>INDEX(Cleandata!D290:D1289,MATCH(G290,G290:G1289,0))</f>
        <v>21</v>
      </c>
    </row>
    <row r="291" spans="1:8" x14ac:dyDescent="0.3">
      <c r="A291" s="4" t="s">
        <v>55</v>
      </c>
      <c r="B291" s="4" t="str">
        <f>VLOOKUP(A291,Cleandata!G291:H1290,2,FALSE)</f>
        <v>Accessories</v>
      </c>
      <c r="G291" t="s">
        <v>59</v>
      </c>
      <c r="H291">
        <f>INDEX(Cleandata!D291:D1290,MATCH(G291,G291:G1290,0))</f>
        <v>30</v>
      </c>
    </row>
    <row r="292" spans="1:8" x14ac:dyDescent="0.3">
      <c r="A292" s="4" t="s">
        <v>18</v>
      </c>
      <c r="B292" s="4" t="str">
        <f>VLOOKUP(A292,Cleandata!G292:H1291,2,FALSE)</f>
        <v>Clothing</v>
      </c>
      <c r="G292" t="s">
        <v>46</v>
      </c>
      <c r="H292">
        <f>INDEX(Cleandata!D292:D1291,MATCH(G292,G292:G1291,0))</f>
        <v>30</v>
      </c>
    </row>
    <row r="293" spans="1:8" x14ac:dyDescent="0.3">
      <c r="A293" s="4" t="s">
        <v>44</v>
      </c>
      <c r="B293" s="4" t="str">
        <f>VLOOKUP(A293,Cleandata!G293:H1292,2,FALSE)</f>
        <v>Accessories</v>
      </c>
      <c r="G293" t="s">
        <v>73</v>
      </c>
      <c r="H293">
        <f>INDEX(Cleandata!D293:D1292,MATCH(G293,G293:G1292,0))</f>
        <v>30</v>
      </c>
    </row>
    <row r="294" spans="1:8" x14ac:dyDescent="0.3">
      <c r="A294" s="4" t="s">
        <v>12</v>
      </c>
      <c r="B294" s="4" t="str">
        <f>VLOOKUP(A294,Cleandata!G294:H1293,2,FALSE)</f>
        <v>Electronics</v>
      </c>
      <c r="G294" t="s">
        <v>21</v>
      </c>
      <c r="H294">
        <f>INDEX(Cleandata!D294:D1293,MATCH(G294,G294:G1293,0))</f>
        <v>30</v>
      </c>
    </row>
    <row r="295" spans="1:8" x14ac:dyDescent="0.3">
      <c r="A295" s="4" t="s">
        <v>55</v>
      </c>
      <c r="B295" s="4" t="str">
        <f>VLOOKUP(A295,Cleandata!G295:H1294,2,FALSE)</f>
        <v>Accessories</v>
      </c>
      <c r="G295" t="s">
        <v>38</v>
      </c>
      <c r="H295">
        <f>INDEX(Cleandata!D295:D1294,MATCH(G295,G295:G1294,0))</f>
        <v>30</v>
      </c>
    </row>
    <row r="296" spans="1:8" x14ac:dyDescent="0.3">
      <c r="A296" s="4" t="s">
        <v>27</v>
      </c>
      <c r="B296" s="4" t="str">
        <f>VLOOKUP(A296,Cleandata!G296:H1295,2,FALSE)</f>
        <v>Electronics</v>
      </c>
      <c r="G296" t="s">
        <v>48</v>
      </c>
      <c r="H296">
        <f>INDEX(Cleandata!D296:D1295,MATCH(G296,G296:G1295,0))</f>
        <v>31</v>
      </c>
    </row>
    <row r="297" spans="1:8" x14ac:dyDescent="0.3">
      <c r="A297" s="4" t="s">
        <v>12</v>
      </c>
      <c r="B297" s="4" t="str">
        <f>VLOOKUP(A297,Cleandata!G297:H1296,2,FALSE)</f>
        <v>Electronics</v>
      </c>
      <c r="G297" t="s">
        <v>25</v>
      </c>
      <c r="H297">
        <f>INDEX(Cleandata!D297:D1296,MATCH(G297,G297:G1296,0))</f>
        <v>30</v>
      </c>
    </row>
    <row r="298" spans="1:8" x14ac:dyDescent="0.3">
      <c r="A298" s="4" t="s">
        <v>12</v>
      </c>
      <c r="B298" s="4" t="str">
        <f>VLOOKUP(A298,Cleandata!G298:H1297,2,FALSE)</f>
        <v>Electronics</v>
      </c>
      <c r="G298" t="s">
        <v>68</v>
      </c>
      <c r="H298">
        <f>INDEX(Cleandata!D298:D1297,MATCH(G298,G298:G1297,0))</f>
        <v>36</v>
      </c>
    </row>
    <row r="299" spans="1:8" x14ac:dyDescent="0.3">
      <c r="A299" s="4" t="s">
        <v>27</v>
      </c>
      <c r="B299" s="4" t="str">
        <f>VLOOKUP(A299,Cleandata!G299:H1298,2,FALSE)</f>
        <v>Electronics</v>
      </c>
      <c r="G299" t="s">
        <v>64</v>
      </c>
      <c r="H299">
        <f>INDEX(Cleandata!D299:D1298,MATCH(G299,G299:G1298,0))</f>
        <v>23</v>
      </c>
    </row>
    <row r="300" spans="1:8" x14ac:dyDescent="0.3">
      <c r="A300" s="4" t="s">
        <v>27</v>
      </c>
      <c r="B300" s="4" t="str">
        <f>VLOOKUP(A300,Cleandata!G300:H1299,2,FALSE)</f>
        <v>Electronics</v>
      </c>
      <c r="G300" t="s">
        <v>64</v>
      </c>
      <c r="H300">
        <f>INDEX(Cleandata!D300:D1299,MATCH(G300,G300:G1299,0))</f>
        <v>30</v>
      </c>
    </row>
    <row r="301" spans="1:8" x14ac:dyDescent="0.3">
      <c r="A301" s="4" t="s">
        <v>51</v>
      </c>
      <c r="B301" s="4" t="str">
        <f>VLOOKUP(A301,Cleandata!G301:H1300,2,FALSE)</f>
        <v>Electronics</v>
      </c>
      <c r="G301" t="s">
        <v>46</v>
      </c>
      <c r="H301">
        <f>INDEX(Cleandata!D301:D1300,MATCH(G301,G301:G1300,0))</f>
        <v>34</v>
      </c>
    </row>
    <row r="302" spans="1:8" x14ac:dyDescent="0.3">
      <c r="A302" s="4" t="s">
        <v>12</v>
      </c>
      <c r="B302" s="4" t="str">
        <f>VLOOKUP(A302,Cleandata!G302:H1301,2,FALSE)</f>
        <v>Electronics</v>
      </c>
      <c r="G302" t="s">
        <v>69</v>
      </c>
      <c r="H302">
        <f>INDEX(Cleandata!D302:D1301,MATCH(G302,G302:G1301,0))</f>
        <v>24</v>
      </c>
    </row>
    <row r="303" spans="1:8" x14ac:dyDescent="0.3">
      <c r="A303" s="4" t="s">
        <v>23</v>
      </c>
      <c r="B303" s="4" t="str">
        <f>VLOOKUP(A303,Cleandata!G303:H1302,2,FALSE)</f>
        <v>Clothing</v>
      </c>
      <c r="G303" t="s">
        <v>10</v>
      </c>
      <c r="H303">
        <f>INDEX(Cleandata!D303:D1302,MATCH(G303,G303:G1302,0))</f>
        <v>20</v>
      </c>
    </row>
    <row r="304" spans="1:8" x14ac:dyDescent="0.3">
      <c r="A304" s="4" t="s">
        <v>55</v>
      </c>
      <c r="B304" s="4" t="str">
        <f>VLOOKUP(A304,Cleandata!G304:H1303,2,FALSE)</f>
        <v>Accessories</v>
      </c>
      <c r="G304" t="s">
        <v>46</v>
      </c>
      <c r="H304">
        <f>INDEX(Cleandata!D304:D1303,MATCH(G304,G304:G1303,0))</f>
        <v>21</v>
      </c>
    </row>
    <row r="305" spans="1:8" x14ac:dyDescent="0.3">
      <c r="A305" s="4" t="s">
        <v>51</v>
      </c>
      <c r="B305" s="4" t="str">
        <f>VLOOKUP(A305,Cleandata!G305:H1304,2,FALSE)</f>
        <v>Electronics</v>
      </c>
      <c r="G305" t="s">
        <v>57</v>
      </c>
      <c r="H305">
        <f>INDEX(Cleandata!D305:D1304,MATCH(G305,G305:G1304,0))</f>
        <v>31</v>
      </c>
    </row>
    <row r="306" spans="1:8" x14ac:dyDescent="0.3">
      <c r="A306" s="4" t="s">
        <v>41</v>
      </c>
      <c r="B306" s="4" t="str">
        <f>VLOOKUP(A306,Cleandata!G306:H1305,2,FALSE)</f>
        <v>Accessories</v>
      </c>
      <c r="G306" t="s">
        <v>21</v>
      </c>
      <c r="H306">
        <f>INDEX(Cleandata!D306:D1305,MATCH(G306,G306:G1305,0))</f>
        <v>30</v>
      </c>
    </row>
    <row r="307" spans="1:8" x14ac:dyDescent="0.3">
      <c r="A307" s="4" t="s">
        <v>27</v>
      </c>
      <c r="B307" s="4" t="str">
        <f>VLOOKUP(A307,Cleandata!G307:H1306,2,FALSE)</f>
        <v>Electronics</v>
      </c>
      <c r="G307" t="s">
        <v>35</v>
      </c>
      <c r="H307">
        <f>INDEX(Cleandata!D307:D1306,MATCH(G307,G307:G1306,0))</f>
        <v>29</v>
      </c>
    </row>
    <row r="308" spans="1:8" x14ac:dyDescent="0.3">
      <c r="A308" s="4" t="s">
        <v>55</v>
      </c>
      <c r="B308" s="4" t="str">
        <f>VLOOKUP(A308,Cleandata!G308:H1307,2,FALSE)</f>
        <v>Accessories</v>
      </c>
      <c r="G308" t="s">
        <v>69</v>
      </c>
      <c r="H308">
        <f>INDEX(Cleandata!D308:D1307,MATCH(G308,G308:G1307,0))</f>
        <v>30</v>
      </c>
    </row>
    <row r="309" spans="1:8" x14ac:dyDescent="0.3">
      <c r="A309" s="4" t="s">
        <v>23</v>
      </c>
      <c r="B309" s="4" t="str">
        <f>VLOOKUP(A309,Cleandata!G309:H1308,2,FALSE)</f>
        <v>Clothing</v>
      </c>
      <c r="G309" t="s">
        <v>69</v>
      </c>
      <c r="H309">
        <f>INDEX(Cleandata!D309:D1308,MATCH(G309,G309:G1308,0))</f>
        <v>30</v>
      </c>
    </row>
    <row r="310" spans="1:8" x14ac:dyDescent="0.3">
      <c r="A310" s="4" t="s">
        <v>41</v>
      </c>
      <c r="B310" s="4" t="str">
        <f>VLOOKUP(A310,Cleandata!G310:H1309,2,FALSE)</f>
        <v>Accessories</v>
      </c>
      <c r="G310" t="s">
        <v>64</v>
      </c>
      <c r="H310">
        <f>INDEX(Cleandata!D310:D1309,MATCH(G310,G310:G1309,0))</f>
        <v>30</v>
      </c>
    </row>
    <row r="311" spans="1:8" x14ac:dyDescent="0.3">
      <c r="A311" s="4" t="s">
        <v>27</v>
      </c>
      <c r="B311" s="4" t="str">
        <f>VLOOKUP(A311,Cleandata!G311:H1310,2,FALSE)</f>
        <v>Electronics</v>
      </c>
      <c r="G311" t="s">
        <v>64</v>
      </c>
      <c r="H311">
        <f>INDEX(Cleandata!D311:D1310,MATCH(G311,G311:G1310,0))</f>
        <v>44</v>
      </c>
    </row>
    <row r="312" spans="1:8" x14ac:dyDescent="0.3">
      <c r="A312" s="4" t="s">
        <v>12</v>
      </c>
      <c r="B312" s="4" t="str">
        <f>VLOOKUP(A312,Cleandata!G312:H1311,2,FALSE)</f>
        <v>Electronics</v>
      </c>
      <c r="G312" t="s">
        <v>32</v>
      </c>
      <c r="H312">
        <f>INDEX(Cleandata!D312:D1311,MATCH(G312,G312:G1311,0))</f>
        <v>30</v>
      </c>
    </row>
    <row r="313" spans="1:8" x14ac:dyDescent="0.3">
      <c r="A313" s="4" t="s">
        <v>12</v>
      </c>
      <c r="B313" s="4" t="str">
        <f>VLOOKUP(A313,Cleandata!G313:H1312,2,FALSE)</f>
        <v>Electronics</v>
      </c>
      <c r="G313" t="s">
        <v>64</v>
      </c>
      <c r="H313">
        <f>INDEX(Cleandata!D313:D1312,MATCH(G313,G313:G1312,0))</f>
        <v>18</v>
      </c>
    </row>
    <row r="314" spans="1:8" x14ac:dyDescent="0.3">
      <c r="A314" s="4" t="s">
        <v>41</v>
      </c>
      <c r="B314" s="4" t="str">
        <f>VLOOKUP(A314,Cleandata!G314:H1313,2,FALSE)</f>
        <v>Accessories</v>
      </c>
      <c r="G314" t="s">
        <v>25</v>
      </c>
      <c r="H314">
        <f>INDEX(Cleandata!D314:D1313,MATCH(G314,G314:G1313,0))</f>
        <v>47</v>
      </c>
    </row>
    <row r="315" spans="1:8" x14ac:dyDescent="0.3">
      <c r="A315" s="4" t="s">
        <v>18</v>
      </c>
      <c r="B315" s="4" t="str">
        <f>VLOOKUP(A315,Cleandata!G315:H1314,2,FALSE)</f>
        <v>Clothing</v>
      </c>
      <c r="G315" t="s">
        <v>16</v>
      </c>
      <c r="H315">
        <f>INDEX(Cleandata!D315:D1314,MATCH(G315,G315:G1314,0))</f>
        <v>30</v>
      </c>
    </row>
    <row r="316" spans="1:8" x14ac:dyDescent="0.3">
      <c r="A316" s="4" t="s">
        <v>23</v>
      </c>
      <c r="B316" s="4" t="str">
        <f>VLOOKUP(A316,Cleandata!G316:H1315,2,FALSE)</f>
        <v>Clothing</v>
      </c>
      <c r="G316" t="s">
        <v>32</v>
      </c>
      <c r="H316">
        <f>INDEX(Cleandata!D316:D1315,MATCH(G316,G316:G1315,0))</f>
        <v>30</v>
      </c>
    </row>
    <row r="317" spans="1:8" x14ac:dyDescent="0.3">
      <c r="A317" s="4" t="s">
        <v>44</v>
      </c>
      <c r="B317" s="4" t="str">
        <f>VLOOKUP(A317,Cleandata!G317:H1316,2,FALSE)</f>
        <v>Accessories</v>
      </c>
      <c r="G317" t="s">
        <v>69</v>
      </c>
      <c r="H317">
        <f>INDEX(Cleandata!D317:D1316,MATCH(G317,G317:G1316,0))</f>
        <v>35</v>
      </c>
    </row>
    <row r="318" spans="1:8" x14ac:dyDescent="0.3">
      <c r="A318" s="4" t="s">
        <v>23</v>
      </c>
      <c r="B318" s="4" t="str">
        <f>VLOOKUP(A318,Cleandata!G318:H1317,2,FALSE)</f>
        <v>Clothing</v>
      </c>
      <c r="G318" t="s">
        <v>68</v>
      </c>
      <c r="H318">
        <f>INDEX(Cleandata!D318:D1317,MATCH(G318,G318:G1317,0))</f>
        <v>30</v>
      </c>
    </row>
    <row r="319" spans="1:8" x14ac:dyDescent="0.3">
      <c r="A319" s="4" t="s">
        <v>44</v>
      </c>
      <c r="B319" s="4" t="str">
        <f>VLOOKUP(A319,Cleandata!G319:H1318,2,FALSE)</f>
        <v>Accessories</v>
      </c>
      <c r="G319" t="s">
        <v>21</v>
      </c>
      <c r="H319">
        <f>INDEX(Cleandata!D319:D1318,MATCH(G319,G319:G1318,0))</f>
        <v>33</v>
      </c>
    </row>
    <row r="320" spans="1:8" x14ac:dyDescent="0.3">
      <c r="A320" s="4" t="s">
        <v>27</v>
      </c>
      <c r="B320" s="4" t="str">
        <f>VLOOKUP(A320,Cleandata!G320:H1319,2,FALSE)</f>
        <v>Electronics</v>
      </c>
      <c r="G320" t="s">
        <v>59</v>
      </c>
      <c r="H320">
        <f>INDEX(Cleandata!D320:D1319,MATCH(G320,G320:G1319,0))</f>
        <v>30</v>
      </c>
    </row>
    <row r="321" spans="1:8" x14ac:dyDescent="0.3">
      <c r="A321" s="4" t="s">
        <v>27</v>
      </c>
      <c r="B321" s="4" t="str">
        <f>VLOOKUP(A321,Cleandata!G321:H1320,2,FALSE)</f>
        <v>Electronics</v>
      </c>
      <c r="G321" t="s">
        <v>48</v>
      </c>
      <c r="H321">
        <f>INDEX(Cleandata!D321:D1320,MATCH(G321,G321:G1320,0))</f>
        <v>30</v>
      </c>
    </row>
    <row r="322" spans="1:8" x14ac:dyDescent="0.3">
      <c r="A322" s="4" t="s">
        <v>18</v>
      </c>
      <c r="B322" s="4" t="str">
        <f>VLOOKUP(A322,Cleandata!G322:H1321,2,FALSE)</f>
        <v>Clothing</v>
      </c>
      <c r="G322" t="s">
        <v>32</v>
      </c>
      <c r="H322">
        <f>INDEX(Cleandata!D322:D1321,MATCH(G322,G322:G1321,0))</f>
        <v>30</v>
      </c>
    </row>
    <row r="323" spans="1:8" x14ac:dyDescent="0.3">
      <c r="A323" s="4" t="s">
        <v>51</v>
      </c>
      <c r="B323" s="4" t="str">
        <f>VLOOKUP(A323,Cleandata!G323:H1322,2,FALSE)</f>
        <v>Electronics</v>
      </c>
      <c r="G323" t="s">
        <v>69</v>
      </c>
      <c r="H323">
        <f>INDEX(Cleandata!D323:D1322,MATCH(G323,G323:G1322,0))</f>
        <v>30</v>
      </c>
    </row>
    <row r="324" spans="1:8" x14ac:dyDescent="0.3">
      <c r="A324" s="4" t="s">
        <v>51</v>
      </c>
      <c r="B324" s="4" t="str">
        <f>VLOOKUP(A324,Cleandata!G324:H1323,2,FALSE)</f>
        <v>Electronics</v>
      </c>
      <c r="G324" t="s">
        <v>21</v>
      </c>
      <c r="H324">
        <f>INDEX(Cleandata!D324:D1323,MATCH(G324,G324:G1323,0))</f>
        <v>22</v>
      </c>
    </row>
    <row r="325" spans="1:8" x14ac:dyDescent="0.3">
      <c r="A325" s="4" t="s">
        <v>23</v>
      </c>
      <c r="B325" s="4" t="str">
        <f>VLOOKUP(A325,Cleandata!G325:H1324,2,FALSE)</f>
        <v>Clothing</v>
      </c>
      <c r="G325" t="s">
        <v>38</v>
      </c>
      <c r="H325">
        <f>INDEX(Cleandata!D325:D1324,MATCH(G325,G325:G1324,0))</f>
        <v>30</v>
      </c>
    </row>
    <row r="326" spans="1:8" x14ac:dyDescent="0.3">
      <c r="A326" s="4" t="s">
        <v>41</v>
      </c>
      <c r="B326" s="4" t="str">
        <f>VLOOKUP(A326,Cleandata!G326:H1325,2,FALSE)</f>
        <v>Accessories</v>
      </c>
      <c r="G326" t="s">
        <v>21</v>
      </c>
      <c r="H326">
        <f>INDEX(Cleandata!D326:D1325,MATCH(G326,G326:G1325,0))</f>
        <v>44</v>
      </c>
    </row>
    <row r="327" spans="1:8" x14ac:dyDescent="0.3">
      <c r="A327" s="4" t="s">
        <v>18</v>
      </c>
      <c r="B327" s="4" t="str">
        <f>VLOOKUP(A327,Cleandata!G327:H1326,2,FALSE)</f>
        <v>Clothing</v>
      </c>
      <c r="G327" t="s">
        <v>54</v>
      </c>
      <c r="H327">
        <f>INDEX(Cleandata!D327:D1326,MATCH(G327,G327:G1326,0))</f>
        <v>42</v>
      </c>
    </row>
    <row r="328" spans="1:8" x14ac:dyDescent="0.3">
      <c r="A328" s="4" t="s">
        <v>55</v>
      </c>
      <c r="B328" s="4" t="str">
        <f>VLOOKUP(A328,Cleandata!G328:H1327,2,FALSE)</f>
        <v>Accessories</v>
      </c>
      <c r="G328" t="s">
        <v>73</v>
      </c>
      <c r="H328">
        <f>INDEX(Cleandata!D328:D1327,MATCH(G328,G328:G1327,0))</f>
        <v>30</v>
      </c>
    </row>
    <row r="329" spans="1:8" x14ac:dyDescent="0.3">
      <c r="A329" s="4" t="s">
        <v>51</v>
      </c>
      <c r="B329" s="4" t="str">
        <f>VLOOKUP(A329,Cleandata!G329:H1328,2,FALSE)</f>
        <v>Electronics</v>
      </c>
      <c r="G329" t="s">
        <v>68</v>
      </c>
      <c r="H329">
        <f>INDEX(Cleandata!D329:D1328,MATCH(G329,G329:G1328,0))</f>
        <v>32</v>
      </c>
    </row>
    <row r="330" spans="1:8" x14ac:dyDescent="0.3">
      <c r="A330" s="4" t="s">
        <v>23</v>
      </c>
      <c r="B330" s="4" t="str">
        <f>VLOOKUP(A330,Cleandata!G330:H1329,2,FALSE)</f>
        <v>Clothing</v>
      </c>
      <c r="G330" t="s">
        <v>78</v>
      </c>
      <c r="H330">
        <f>INDEX(Cleandata!D330:D1329,MATCH(G330,G330:G1329,0))</f>
        <v>21</v>
      </c>
    </row>
    <row r="331" spans="1:8" x14ac:dyDescent="0.3">
      <c r="A331" s="4" t="s">
        <v>44</v>
      </c>
      <c r="B331" s="4" t="str">
        <f>VLOOKUP(A331,Cleandata!G331:H1330,2,FALSE)</f>
        <v>Accessories</v>
      </c>
      <c r="G331" t="s">
        <v>62</v>
      </c>
      <c r="H331">
        <f>INDEX(Cleandata!D331:D1330,MATCH(G331,G331:G1330,0))</f>
        <v>30</v>
      </c>
    </row>
    <row r="332" spans="1:8" x14ac:dyDescent="0.3">
      <c r="A332" s="4" t="s">
        <v>55</v>
      </c>
      <c r="B332" s="4" t="str">
        <f>VLOOKUP(A332,Cleandata!G332:H1331,2,FALSE)</f>
        <v>Accessories</v>
      </c>
      <c r="G332" t="s">
        <v>32</v>
      </c>
      <c r="H332">
        <f>INDEX(Cleandata!D332:D1331,MATCH(G332,G332:G1331,0))</f>
        <v>33</v>
      </c>
    </row>
    <row r="333" spans="1:8" x14ac:dyDescent="0.3">
      <c r="A333" s="4" t="s">
        <v>51</v>
      </c>
      <c r="B333" s="4" t="str">
        <f>VLOOKUP(A333,Cleandata!G333:H1332,2,FALSE)</f>
        <v>Electronics</v>
      </c>
      <c r="G333" t="s">
        <v>69</v>
      </c>
      <c r="H333">
        <f>INDEX(Cleandata!D333:D1332,MATCH(G333,G333:G1332,0))</f>
        <v>30</v>
      </c>
    </row>
    <row r="334" spans="1:8" x14ac:dyDescent="0.3">
      <c r="A334" s="4" t="s">
        <v>41</v>
      </c>
      <c r="B334" s="4" t="str">
        <f>VLOOKUP(A334,Cleandata!G334:H1333,2,FALSE)</f>
        <v>Accessories</v>
      </c>
      <c r="G334" t="s">
        <v>32</v>
      </c>
      <c r="H334">
        <f>INDEX(Cleandata!D334:D1333,MATCH(G334,G334:G1333,0))</f>
        <v>18</v>
      </c>
    </row>
    <row r="335" spans="1:8" x14ac:dyDescent="0.3">
      <c r="A335" s="4" t="s">
        <v>51</v>
      </c>
      <c r="B335" s="4" t="str">
        <f>VLOOKUP(A335,Cleandata!G335:H1334,2,FALSE)</f>
        <v>Electronics</v>
      </c>
      <c r="G335" t="s">
        <v>32</v>
      </c>
      <c r="H335">
        <f>INDEX(Cleandata!D335:D1334,MATCH(G335,G335:G1334,0))</f>
        <v>30</v>
      </c>
    </row>
    <row r="336" spans="1:8" x14ac:dyDescent="0.3">
      <c r="A336" s="4" t="s">
        <v>12</v>
      </c>
      <c r="B336" s="4" t="str">
        <f>VLOOKUP(A336,Cleandata!G336:H1335,2,FALSE)</f>
        <v>Electronics</v>
      </c>
      <c r="G336" t="s">
        <v>32</v>
      </c>
      <c r="H336">
        <f>INDEX(Cleandata!D336:D1335,MATCH(G336,G336:G1335,0))</f>
        <v>20</v>
      </c>
    </row>
    <row r="337" spans="1:8" x14ac:dyDescent="0.3">
      <c r="A337" s="4" t="s">
        <v>41</v>
      </c>
      <c r="B337" s="4" t="str">
        <f>VLOOKUP(A337,Cleandata!G337:H1336,2,FALSE)</f>
        <v>Accessories</v>
      </c>
      <c r="G337" t="s">
        <v>21</v>
      </c>
      <c r="H337">
        <f>INDEX(Cleandata!D337:D1336,MATCH(G337,G337:G1336,0))</f>
        <v>39</v>
      </c>
    </row>
    <row r="338" spans="1:8" x14ac:dyDescent="0.3">
      <c r="A338" s="4" t="s">
        <v>23</v>
      </c>
      <c r="B338" s="4" t="str">
        <f>VLOOKUP(A338,Cleandata!G338:H1337,2,FALSE)</f>
        <v>Clothing</v>
      </c>
      <c r="G338" t="s">
        <v>46</v>
      </c>
      <c r="H338">
        <f>INDEX(Cleandata!D338:D1337,MATCH(G338,G338:G1337,0))</f>
        <v>48</v>
      </c>
    </row>
    <row r="339" spans="1:8" x14ac:dyDescent="0.3">
      <c r="A339" s="4" t="s">
        <v>12</v>
      </c>
      <c r="B339" s="4" t="str">
        <f>VLOOKUP(A339,Cleandata!G339:H1338,2,FALSE)</f>
        <v>Electronics</v>
      </c>
      <c r="G339" t="s">
        <v>57</v>
      </c>
      <c r="H339">
        <f>INDEX(Cleandata!D339:D1338,MATCH(G339,G339:G1338,0))</f>
        <v>30</v>
      </c>
    </row>
    <row r="340" spans="1:8" x14ac:dyDescent="0.3">
      <c r="A340" s="4" t="s">
        <v>27</v>
      </c>
      <c r="B340" s="4" t="str">
        <f>VLOOKUP(A340,Cleandata!G340:H1339,2,FALSE)</f>
        <v>Electronics</v>
      </c>
      <c r="G340" t="s">
        <v>78</v>
      </c>
      <c r="H340">
        <f>INDEX(Cleandata!D340:D1339,MATCH(G340,G340:G1339,0))</f>
        <v>26</v>
      </c>
    </row>
    <row r="341" spans="1:8" x14ac:dyDescent="0.3">
      <c r="A341" s="4" t="s">
        <v>27</v>
      </c>
      <c r="B341" s="4" t="str">
        <f>VLOOKUP(A341,Cleandata!G341:H1340,2,FALSE)</f>
        <v>Electronics</v>
      </c>
      <c r="G341" t="s">
        <v>38</v>
      </c>
      <c r="H341">
        <f>INDEX(Cleandata!D341:D1340,MATCH(G341,G341:G1340,0))</f>
        <v>30</v>
      </c>
    </row>
    <row r="342" spans="1:8" x14ac:dyDescent="0.3">
      <c r="A342" s="4" t="s">
        <v>23</v>
      </c>
      <c r="B342" s="4" t="str">
        <f>VLOOKUP(A342,Cleandata!G342:H1341,2,FALSE)</f>
        <v>Clothing</v>
      </c>
      <c r="G342" t="s">
        <v>21</v>
      </c>
      <c r="H342">
        <f>INDEX(Cleandata!D342:D1341,MATCH(G342,G342:G1341,0))</f>
        <v>39</v>
      </c>
    </row>
    <row r="343" spans="1:8" x14ac:dyDescent="0.3">
      <c r="A343" s="4" t="s">
        <v>23</v>
      </c>
      <c r="B343" s="4" t="str">
        <f>VLOOKUP(A343,Cleandata!G343:H1342,2,FALSE)</f>
        <v>Clothing</v>
      </c>
      <c r="G343" t="s">
        <v>57</v>
      </c>
      <c r="H343">
        <f>INDEX(Cleandata!D343:D1342,MATCH(G343,G343:G1342,0))</f>
        <v>30</v>
      </c>
    </row>
    <row r="344" spans="1:8" x14ac:dyDescent="0.3">
      <c r="A344" s="4" t="s">
        <v>55</v>
      </c>
      <c r="B344" s="4" t="str">
        <f>VLOOKUP(A344,Cleandata!G344:H1343,2,FALSE)</f>
        <v>Accessories</v>
      </c>
      <c r="G344" t="s">
        <v>78</v>
      </c>
      <c r="H344">
        <f>INDEX(Cleandata!D344:D1343,MATCH(G344,G344:G1343,0))</f>
        <v>30</v>
      </c>
    </row>
    <row r="345" spans="1:8" x14ac:dyDescent="0.3">
      <c r="A345" s="4" t="s">
        <v>44</v>
      </c>
      <c r="B345" s="4" t="str">
        <f>VLOOKUP(A345,Cleandata!G345:H1344,2,FALSE)</f>
        <v>Accessories</v>
      </c>
      <c r="G345" t="s">
        <v>35</v>
      </c>
      <c r="H345">
        <f>INDEX(Cleandata!D345:D1344,MATCH(G345,G345:G1344,0))</f>
        <v>30</v>
      </c>
    </row>
    <row r="346" spans="1:8" x14ac:dyDescent="0.3">
      <c r="A346" s="4" t="s">
        <v>18</v>
      </c>
      <c r="B346" s="4" t="str">
        <f>VLOOKUP(A346,Cleandata!G346:H1345,2,FALSE)</f>
        <v>Clothing</v>
      </c>
      <c r="G346" t="s">
        <v>38</v>
      </c>
      <c r="H346">
        <f>INDEX(Cleandata!D346:D1345,MATCH(G346,G346:G1345,0))</f>
        <v>34</v>
      </c>
    </row>
    <row r="347" spans="1:8" x14ac:dyDescent="0.3">
      <c r="A347" s="4" t="s">
        <v>51</v>
      </c>
      <c r="B347" s="4" t="str">
        <f>VLOOKUP(A347,Cleandata!G347:H1346,2,FALSE)</f>
        <v>Electronics</v>
      </c>
      <c r="G347" t="s">
        <v>46</v>
      </c>
      <c r="H347">
        <f>INDEX(Cleandata!D347:D1346,MATCH(G347,G347:G1346,0))</f>
        <v>47</v>
      </c>
    </row>
    <row r="348" spans="1:8" x14ac:dyDescent="0.3">
      <c r="A348" s="4" t="s">
        <v>51</v>
      </c>
      <c r="B348" s="4" t="str">
        <f>VLOOKUP(A348,Cleandata!G348:H1347,2,FALSE)</f>
        <v>Electronics</v>
      </c>
      <c r="G348" t="s">
        <v>16</v>
      </c>
      <c r="H348">
        <f>INDEX(Cleandata!D348:D1347,MATCH(G348,G348:G1347,0))</f>
        <v>30</v>
      </c>
    </row>
    <row r="349" spans="1:8" x14ac:dyDescent="0.3">
      <c r="A349" s="4" t="s">
        <v>12</v>
      </c>
      <c r="B349" s="4" t="str">
        <f>VLOOKUP(A349,Cleandata!G349:H1348,2,FALSE)</f>
        <v>Electronics</v>
      </c>
      <c r="G349" t="s">
        <v>64</v>
      </c>
      <c r="H349">
        <f>INDEX(Cleandata!D349:D1348,MATCH(G349,G349:G1348,0))</f>
        <v>20</v>
      </c>
    </row>
    <row r="350" spans="1:8" x14ac:dyDescent="0.3">
      <c r="A350" s="4" t="s">
        <v>23</v>
      </c>
      <c r="B350" s="4" t="str">
        <f>VLOOKUP(A350,Cleandata!G350:H1349,2,FALSE)</f>
        <v>Clothing</v>
      </c>
      <c r="G350" t="s">
        <v>21</v>
      </c>
      <c r="H350">
        <f>INDEX(Cleandata!D350:D1349,MATCH(G350,G350:G1349,0))</f>
        <v>19</v>
      </c>
    </row>
    <row r="351" spans="1:8" x14ac:dyDescent="0.3">
      <c r="A351" s="4" t="s">
        <v>41</v>
      </c>
      <c r="B351" s="4" t="str">
        <f>VLOOKUP(A351,Cleandata!G351:H1350,2,FALSE)</f>
        <v>Accessories</v>
      </c>
      <c r="G351" t="s">
        <v>10</v>
      </c>
      <c r="H351">
        <f>INDEX(Cleandata!D351:D1350,MATCH(G351,G351:G1350,0))</f>
        <v>30</v>
      </c>
    </row>
    <row r="352" spans="1:8" x14ac:dyDescent="0.3">
      <c r="A352" s="4" t="s">
        <v>12</v>
      </c>
      <c r="B352" s="4" t="str">
        <f>VLOOKUP(A352,Cleandata!G352:H1351,2,FALSE)</f>
        <v>Electronics</v>
      </c>
      <c r="G352" t="s">
        <v>62</v>
      </c>
      <c r="H352">
        <f>INDEX(Cleandata!D352:D1351,MATCH(G352,G352:G1351,0))</f>
        <v>30</v>
      </c>
    </row>
    <row r="353" spans="1:8" x14ac:dyDescent="0.3">
      <c r="A353" s="4" t="s">
        <v>55</v>
      </c>
      <c r="B353" s="4" t="str">
        <f>VLOOKUP(A353,Cleandata!G353:H1352,2,FALSE)</f>
        <v>Accessories</v>
      </c>
      <c r="G353" t="s">
        <v>32</v>
      </c>
      <c r="H353">
        <f>INDEX(Cleandata!D353:D1352,MATCH(G353,G353:G1352,0))</f>
        <v>35</v>
      </c>
    </row>
    <row r="354" spans="1:8" x14ac:dyDescent="0.3">
      <c r="A354" s="4" t="s">
        <v>55</v>
      </c>
      <c r="B354" s="4" t="str">
        <f>VLOOKUP(A354,Cleandata!G354:H1353,2,FALSE)</f>
        <v>Accessories</v>
      </c>
      <c r="G354" t="s">
        <v>73</v>
      </c>
      <c r="H354">
        <f>INDEX(Cleandata!D354:D1353,MATCH(G354,G354:G1353,0))</f>
        <v>26</v>
      </c>
    </row>
    <row r="355" spans="1:8" x14ac:dyDescent="0.3">
      <c r="A355" s="4" t="s">
        <v>51</v>
      </c>
      <c r="B355" s="4" t="str">
        <f>VLOOKUP(A355,Cleandata!G355:H1354,2,FALSE)</f>
        <v>Electronics</v>
      </c>
      <c r="G355" t="s">
        <v>57</v>
      </c>
      <c r="H355">
        <f>INDEX(Cleandata!D355:D1354,MATCH(G355,G355:G1354,0))</f>
        <v>37</v>
      </c>
    </row>
    <row r="356" spans="1:8" x14ac:dyDescent="0.3">
      <c r="A356" s="4" t="s">
        <v>44</v>
      </c>
      <c r="B356" s="4" t="str">
        <f>VLOOKUP(A356,Cleandata!G356:H1355,2,FALSE)</f>
        <v>Accessories</v>
      </c>
      <c r="G356" t="s">
        <v>73</v>
      </c>
      <c r="H356">
        <f>INDEX(Cleandata!D356:D1355,MATCH(G356,G356:G1355,0))</f>
        <v>30</v>
      </c>
    </row>
    <row r="357" spans="1:8" x14ac:dyDescent="0.3">
      <c r="A357" s="4" t="s">
        <v>23</v>
      </c>
      <c r="B357" s="4" t="str">
        <f>VLOOKUP(A357,Cleandata!G357:H1356,2,FALSE)</f>
        <v>Clothing</v>
      </c>
      <c r="G357" t="s">
        <v>68</v>
      </c>
      <c r="H357">
        <f>INDEX(Cleandata!D357:D1356,MATCH(G357,G357:G1356,0))</f>
        <v>32</v>
      </c>
    </row>
    <row r="358" spans="1:8" x14ac:dyDescent="0.3">
      <c r="A358" s="4" t="s">
        <v>44</v>
      </c>
      <c r="B358" s="4" t="str">
        <f>VLOOKUP(A358,Cleandata!G358:H1357,2,FALSE)</f>
        <v>Accessories</v>
      </c>
      <c r="G358" t="s">
        <v>35</v>
      </c>
      <c r="H358">
        <f>INDEX(Cleandata!D358:D1357,MATCH(G358,G358:G1357,0))</f>
        <v>30</v>
      </c>
    </row>
    <row r="359" spans="1:8" x14ac:dyDescent="0.3">
      <c r="A359" s="4" t="s">
        <v>44</v>
      </c>
      <c r="B359" s="4" t="str">
        <f>VLOOKUP(A359,Cleandata!G359:H1358,2,FALSE)</f>
        <v>Accessories</v>
      </c>
      <c r="G359" t="s">
        <v>46</v>
      </c>
      <c r="H359">
        <f>INDEX(Cleandata!D359:D1358,MATCH(G359,G359:G1358,0))</f>
        <v>38</v>
      </c>
    </row>
    <row r="360" spans="1:8" x14ac:dyDescent="0.3">
      <c r="A360" s="4" t="s">
        <v>12</v>
      </c>
      <c r="B360" s="4" t="str">
        <f>VLOOKUP(A360,Cleandata!G360:H1359,2,FALSE)</f>
        <v>Electronics</v>
      </c>
      <c r="G360" t="s">
        <v>48</v>
      </c>
      <c r="H360">
        <f>INDEX(Cleandata!D360:D1359,MATCH(G360,G360:G1359,0))</f>
        <v>20</v>
      </c>
    </row>
    <row r="361" spans="1:8" x14ac:dyDescent="0.3">
      <c r="A361" s="4" t="s">
        <v>41</v>
      </c>
      <c r="B361" s="4" t="str">
        <f>VLOOKUP(A361,Cleandata!G361:H1360,2,FALSE)</f>
        <v>Accessories</v>
      </c>
      <c r="G361" t="s">
        <v>46</v>
      </c>
      <c r="H361">
        <f>INDEX(Cleandata!D361:D1360,MATCH(G361,G361:G1360,0))</f>
        <v>30</v>
      </c>
    </row>
    <row r="362" spans="1:8" x14ac:dyDescent="0.3">
      <c r="A362" s="4" t="s">
        <v>44</v>
      </c>
      <c r="B362" s="4" t="str">
        <f>VLOOKUP(A362,Cleandata!G362:H1361,2,FALSE)</f>
        <v>Accessories</v>
      </c>
      <c r="G362" t="s">
        <v>25</v>
      </c>
      <c r="H362">
        <f>INDEX(Cleandata!D362:D1361,MATCH(G362,G362:G1361,0))</f>
        <v>21</v>
      </c>
    </row>
    <row r="363" spans="1:8" x14ac:dyDescent="0.3">
      <c r="A363" s="4" t="s">
        <v>27</v>
      </c>
      <c r="B363" s="4" t="str">
        <f>VLOOKUP(A363,Cleandata!G363:H1362,2,FALSE)</f>
        <v>Electronics</v>
      </c>
      <c r="G363" t="s">
        <v>64</v>
      </c>
      <c r="H363">
        <f>INDEX(Cleandata!D363:D1362,MATCH(G363,G363:G1362,0))</f>
        <v>30</v>
      </c>
    </row>
    <row r="364" spans="1:8" x14ac:dyDescent="0.3">
      <c r="A364" s="4" t="s">
        <v>12</v>
      </c>
      <c r="B364" s="4" t="str">
        <f>VLOOKUP(A364,Cleandata!G364:H1363,2,FALSE)</f>
        <v>Electronics</v>
      </c>
      <c r="G364" t="s">
        <v>64</v>
      </c>
      <c r="H364">
        <f>INDEX(Cleandata!D364:D1363,MATCH(G364,G364:G1363,0))</f>
        <v>28</v>
      </c>
    </row>
    <row r="365" spans="1:8" x14ac:dyDescent="0.3">
      <c r="A365" s="4" t="s">
        <v>18</v>
      </c>
      <c r="B365" s="4" t="str">
        <f>VLOOKUP(A365,Cleandata!G365:H1364,2,FALSE)</f>
        <v>Clothing</v>
      </c>
      <c r="G365" t="s">
        <v>16</v>
      </c>
      <c r="H365">
        <f>INDEX(Cleandata!D365:D1364,MATCH(G365,G365:G1364,0))</f>
        <v>30</v>
      </c>
    </row>
    <row r="366" spans="1:8" x14ac:dyDescent="0.3">
      <c r="A366" s="4" t="s">
        <v>55</v>
      </c>
      <c r="B366" s="4" t="str">
        <f>VLOOKUP(A366,Cleandata!G366:H1365,2,FALSE)</f>
        <v>Accessories</v>
      </c>
      <c r="G366" t="s">
        <v>21</v>
      </c>
      <c r="H366">
        <f>INDEX(Cleandata!D366:D1365,MATCH(G366,G366:G1365,0))</f>
        <v>30</v>
      </c>
    </row>
    <row r="367" spans="1:8" x14ac:dyDescent="0.3">
      <c r="A367" s="4" t="s">
        <v>12</v>
      </c>
      <c r="B367" s="4" t="str">
        <f>VLOOKUP(A367,Cleandata!G367:H1366,2,FALSE)</f>
        <v>Electronics</v>
      </c>
      <c r="G367" t="s">
        <v>16</v>
      </c>
      <c r="H367">
        <f>INDEX(Cleandata!D367:D1366,MATCH(G367,G367:G1366,0))</f>
        <v>30</v>
      </c>
    </row>
    <row r="368" spans="1:8" x14ac:dyDescent="0.3">
      <c r="A368" s="4" t="s">
        <v>27</v>
      </c>
      <c r="B368" s="4" t="str">
        <f>VLOOKUP(A368,Cleandata!G368:H1367,2,FALSE)</f>
        <v>Electronics</v>
      </c>
      <c r="G368" t="s">
        <v>68</v>
      </c>
      <c r="H368">
        <f>INDEX(Cleandata!D368:D1367,MATCH(G368,G368:G1367,0))</f>
        <v>30</v>
      </c>
    </row>
    <row r="369" spans="1:8" x14ac:dyDescent="0.3">
      <c r="A369" s="4" t="s">
        <v>18</v>
      </c>
      <c r="B369" s="4" t="str">
        <f>VLOOKUP(A369,Cleandata!G369:H1368,2,FALSE)</f>
        <v>Clothing</v>
      </c>
      <c r="G369" t="s">
        <v>38</v>
      </c>
      <c r="H369">
        <f>INDEX(Cleandata!D369:D1368,MATCH(G369,G369:G1368,0))</f>
        <v>26</v>
      </c>
    </row>
    <row r="370" spans="1:8" x14ac:dyDescent="0.3">
      <c r="A370" s="4" t="s">
        <v>18</v>
      </c>
      <c r="B370" s="4" t="str">
        <f>VLOOKUP(A370,Cleandata!G370:H1369,2,FALSE)</f>
        <v>Clothing</v>
      </c>
      <c r="G370" t="s">
        <v>21</v>
      </c>
      <c r="H370">
        <f>INDEX(Cleandata!D370:D1369,MATCH(G370,G370:G1369,0))</f>
        <v>30</v>
      </c>
    </row>
    <row r="371" spans="1:8" x14ac:dyDescent="0.3">
      <c r="A371" s="4" t="s">
        <v>41</v>
      </c>
      <c r="B371" s="4" t="str">
        <f>VLOOKUP(A371,Cleandata!G371:H1370,2,FALSE)</f>
        <v>Accessories</v>
      </c>
      <c r="G371" t="s">
        <v>54</v>
      </c>
      <c r="H371">
        <f>INDEX(Cleandata!D371:D1370,MATCH(G371,G371:G1370,0))</f>
        <v>27</v>
      </c>
    </row>
    <row r="372" spans="1:8" x14ac:dyDescent="0.3">
      <c r="A372" s="4" t="s">
        <v>41</v>
      </c>
      <c r="B372" s="4" t="str">
        <f>VLOOKUP(A372,Cleandata!G372:H1371,2,FALSE)</f>
        <v>Accessories</v>
      </c>
      <c r="G372" t="s">
        <v>21</v>
      </c>
      <c r="H372">
        <f>INDEX(Cleandata!D372:D1371,MATCH(G372,G372:G1371,0))</f>
        <v>30</v>
      </c>
    </row>
    <row r="373" spans="1:8" x14ac:dyDescent="0.3">
      <c r="A373" s="4" t="s">
        <v>12</v>
      </c>
      <c r="B373" s="4" t="str">
        <f>VLOOKUP(A373,Cleandata!G373:H1372,2,FALSE)</f>
        <v>Electronics</v>
      </c>
      <c r="G373" t="s">
        <v>32</v>
      </c>
      <c r="H373">
        <f>INDEX(Cleandata!D373:D1372,MATCH(G373,G373:G1372,0))</f>
        <v>30</v>
      </c>
    </row>
    <row r="374" spans="1:8" x14ac:dyDescent="0.3">
      <c r="A374" s="4" t="s">
        <v>41</v>
      </c>
      <c r="B374" s="4" t="str">
        <f>VLOOKUP(A374,Cleandata!G374:H1373,2,FALSE)</f>
        <v>Accessories</v>
      </c>
      <c r="G374" t="s">
        <v>21</v>
      </c>
      <c r="H374">
        <f>INDEX(Cleandata!D374:D1373,MATCH(G374,G374:G1373,0))</f>
        <v>30</v>
      </c>
    </row>
    <row r="375" spans="1:8" x14ac:dyDescent="0.3">
      <c r="A375" s="4" t="s">
        <v>23</v>
      </c>
      <c r="B375" s="4" t="str">
        <f>VLOOKUP(A375,Cleandata!G375:H1374,2,FALSE)</f>
        <v>Clothing</v>
      </c>
      <c r="G375" t="s">
        <v>32</v>
      </c>
      <c r="H375">
        <f>INDEX(Cleandata!D375:D1374,MATCH(G375,G375:G1374,0))</f>
        <v>41</v>
      </c>
    </row>
    <row r="376" spans="1:8" x14ac:dyDescent="0.3">
      <c r="A376" s="4" t="s">
        <v>18</v>
      </c>
      <c r="B376" s="4" t="str">
        <f>VLOOKUP(A376,Cleandata!G376:H1375,2,FALSE)</f>
        <v>Clothing</v>
      </c>
      <c r="G376" t="s">
        <v>21</v>
      </c>
      <c r="H376">
        <f>INDEX(Cleandata!D376:D1375,MATCH(G376,G376:G1375,0))</f>
        <v>30</v>
      </c>
    </row>
    <row r="377" spans="1:8" x14ac:dyDescent="0.3">
      <c r="A377" s="4" t="s">
        <v>12</v>
      </c>
      <c r="B377" s="4" t="str">
        <f>VLOOKUP(A377,Cleandata!G377:H1376,2,FALSE)</f>
        <v>Electronics</v>
      </c>
      <c r="G377" t="s">
        <v>68</v>
      </c>
      <c r="H377">
        <f>INDEX(Cleandata!D377:D1376,MATCH(G377,G377:G1376,0))</f>
        <v>19</v>
      </c>
    </row>
    <row r="378" spans="1:8" x14ac:dyDescent="0.3">
      <c r="A378" s="4" t="s">
        <v>44</v>
      </c>
      <c r="B378" s="4" t="str">
        <f>VLOOKUP(A378,Cleandata!G378:H1377,2,FALSE)</f>
        <v>Accessories</v>
      </c>
      <c r="G378" t="s">
        <v>57</v>
      </c>
      <c r="H378">
        <f>INDEX(Cleandata!D378:D1377,MATCH(G378,G378:G1377,0))</f>
        <v>26</v>
      </c>
    </row>
    <row r="379" spans="1:8" x14ac:dyDescent="0.3">
      <c r="A379" s="4" t="s">
        <v>12</v>
      </c>
      <c r="B379" s="4" t="str">
        <f>VLOOKUP(A379,Cleandata!G379:H1378,2,FALSE)</f>
        <v>Electronics</v>
      </c>
      <c r="G379" t="s">
        <v>62</v>
      </c>
      <c r="H379">
        <f>INDEX(Cleandata!D379:D1378,MATCH(G379,G379:G1378,0))</f>
        <v>30</v>
      </c>
    </row>
    <row r="380" spans="1:8" x14ac:dyDescent="0.3">
      <c r="A380" s="4" t="s">
        <v>12</v>
      </c>
      <c r="B380" s="4" t="str">
        <f>VLOOKUP(A380,Cleandata!G380:H1379,2,FALSE)</f>
        <v>Electronics</v>
      </c>
      <c r="G380" t="s">
        <v>64</v>
      </c>
      <c r="H380">
        <f>INDEX(Cleandata!D380:D1379,MATCH(G380,G380:G1379,0))</f>
        <v>27</v>
      </c>
    </row>
    <row r="381" spans="1:8" x14ac:dyDescent="0.3">
      <c r="A381" s="4" t="s">
        <v>18</v>
      </c>
      <c r="B381" s="4" t="str">
        <f>VLOOKUP(A381,Cleandata!G381:H1380,2,FALSE)</f>
        <v>Clothing</v>
      </c>
      <c r="G381" t="s">
        <v>38</v>
      </c>
      <c r="H381">
        <f>INDEX(Cleandata!D381:D1380,MATCH(G381,G381:G1380,0))</f>
        <v>30</v>
      </c>
    </row>
    <row r="382" spans="1:8" x14ac:dyDescent="0.3">
      <c r="A382" s="4" t="s">
        <v>44</v>
      </c>
      <c r="B382" s="4" t="str">
        <f>VLOOKUP(A382,Cleandata!G382:H1381,2,FALSE)</f>
        <v>Accessories</v>
      </c>
      <c r="G382" t="s">
        <v>78</v>
      </c>
      <c r="H382">
        <f>INDEX(Cleandata!D382:D1381,MATCH(G382,G382:G1381,0))</f>
        <v>30</v>
      </c>
    </row>
    <row r="383" spans="1:8" x14ac:dyDescent="0.3">
      <c r="A383" s="4" t="s">
        <v>18</v>
      </c>
      <c r="B383" s="4" t="str">
        <f>VLOOKUP(A383,Cleandata!G383:H1382,2,FALSE)</f>
        <v>Clothing</v>
      </c>
      <c r="G383" t="s">
        <v>38</v>
      </c>
      <c r="H383">
        <f>INDEX(Cleandata!D383:D1382,MATCH(G383,G383:G1382,0))</f>
        <v>30</v>
      </c>
    </row>
    <row r="384" spans="1:8" x14ac:dyDescent="0.3">
      <c r="A384" s="4" t="s">
        <v>27</v>
      </c>
      <c r="B384" s="4" t="str">
        <f>VLOOKUP(A384,Cleandata!G384:H1383,2,FALSE)</f>
        <v>Electronics</v>
      </c>
      <c r="G384" t="s">
        <v>10</v>
      </c>
      <c r="H384">
        <f>INDEX(Cleandata!D384:D1383,MATCH(G384,G384:G1383,0))</f>
        <v>30</v>
      </c>
    </row>
    <row r="385" spans="1:8" x14ac:dyDescent="0.3">
      <c r="A385" s="4" t="s">
        <v>41</v>
      </c>
      <c r="B385" s="4" t="str">
        <f>VLOOKUP(A385,Cleandata!G385:H1384,2,FALSE)</f>
        <v>Accessories</v>
      </c>
      <c r="G385" t="s">
        <v>54</v>
      </c>
      <c r="H385">
        <f>INDEX(Cleandata!D385:D1384,MATCH(G385,G385:G1384,0))</f>
        <v>32</v>
      </c>
    </row>
    <row r="386" spans="1:8" x14ac:dyDescent="0.3">
      <c r="A386" s="4" t="s">
        <v>23</v>
      </c>
      <c r="B386" s="4" t="str">
        <f>VLOOKUP(A386,Cleandata!G386:H1385,2,FALSE)</f>
        <v>Clothing</v>
      </c>
      <c r="G386" t="s">
        <v>35</v>
      </c>
      <c r="H386">
        <f>INDEX(Cleandata!D386:D1385,MATCH(G386,G386:G1385,0))</f>
        <v>30</v>
      </c>
    </row>
    <row r="387" spans="1:8" x14ac:dyDescent="0.3">
      <c r="A387" s="4" t="s">
        <v>18</v>
      </c>
      <c r="B387" s="4" t="str">
        <f>VLOOKUP(A387,Cleandata!G387:H1386,2,FALSE)</f>
        <v>Clothing</v>
      </c>
      <c r="G387" t="s">
        <v>46</v>
      </c>
      <c r="H387">
        <f>INDEX(Cleandata!D387:D1386,MATCH(G387,G387:G1386,0))</f>
        <v>35</v>
      </c>
    </row>
    <row r="388" spans="1:8" x14ac:dyDescent="0.3">
      <c r="A388" s="4" t="s">
        <v>12</v>
      </c>
      <c r="B388" s="4" t="str">
        <f>VLOOKUP(A388,Cleandata!G388:H1387,2,FALSE)</f>
        <v>Electronics</v>
      </c>
      <c r="G388" t="s">
        <v>16</v>
      </c>
      <c r="H388">
        <f>INDEX(Cleandata!D388:D1387,MATCH(G388,G388:G1387,0))</f>
        <v>30</v>
      </c>
    </row>
    <row r="389" spans="1:8" x14ac:dyDescent="0.3">
      <c r="A389" s="4" t="s">
        <v>51</v>
      </c>
      <c r="B389" s="4" t="str">
        <f>VLOOKUP(A389,Cleandata!G389:H1388,2,FALSE)</f>
        <v>Electronics</v>
      </c>
      <c r="G389" t="s">
        <v>68</v>
      </c>
      <c r="H389">
        <f>INDEX(Cleandata!D389:D1388,MATCH(G389,G389:G1388,0))</f>
        <v>30</v>
      </c>
    </row>
    <row r="390" spans="1:8" x14ac:dyDescent="0.3">
      <c r="A390" s="4" t="s">
        <v>41</v>
      </c>
      <c r="B390" s="4" t="str">
        <f>VLOOKUP(A390,Cleandata!G390:H1389,2,FALSE)</f>
        <v>Accessories</v>
      </c>
      <c r="G390" t="s">
        <v>10</v>
      </c>
      <c r="H390">
        <f>INDEX(Cleandata!D390:D1389,MATCH(G390,G390:G1389,0))</f>
        <v>45</v>
      </c>
    </row>
    <row r="391" spans="1:8" x14ac:dyDescent="0.3">
      <c r="A391" s="4" t="s">
        <v>23</v>
      </c>
      <c r="B391" s="4" t="str">
        <f>VLOOKUP(A391,Cleandata!G391:H1390,2,FALSE)</f>
        <v>Clothing</v>
      </c>
      <c r="G391" t="s">
        <v>62</v>
      </c>
      <c r="H391">
        <f>INDEX(Cleandata!D391:D1390,MATCH(G391,G391:G1390,0))</f>
        <v>30</v>
      </c>
    </row>
    <row r="392" spans="1:8" x14ac:dyDescent="0.3">
      <c r="A392" s="4" t="s">
        <v>55</v>
      </c>
      <c r="B392" s="4" t="str">
        <f>VLOOKUP(A392,Cleandata!G392:H1391,2,FALSE)</f>
        <v>Accessories</v>
      </c>
      <c r="G392" t="s">
        <v>38</v>
      </c>
      <c r="H392">
        <f>INDEX(Cleandata!D392:D1391,MATCH(G392,G392:G1391,0))</f>
        <v>30</v>
      </c>
    </row>
    <row r="393" spans="1:8" x14ac:dyDescent="0.3">
      <c r="A393" s="4" t="s">
        <v>41</v>
      </c>
      <c r="B393" s="4" t="str">
        <f>VLOOKUP(A393,Cleandata!G393:H1392,2,FALSE)</f>
        <v>Accessories</v>
      </c>
      <c r="G393" t="s">
        <v>46</v>
      </c>
      <c r="H393">
        <f>INDEX(Cleandata!D393:D1392,MATCH(G393,G393:G1392,0))</f>
        <v>30</v>
      </c>
    </row>
    <row r="394" spans="1:8" x14ac:dyDescent="0.3">
      <c r="A394" s="4" t="s">
        <v>51</v>
      </c>
      <c r="B394" s="4" t="str">
        <f>VLOOKUP(A394,Cleandata!G394:H1393,2,FALSE)</f>
        <v>Electronics</v>
      </c>
      <c r="G394" t="s">
        <v>69</v>
      </c>
      <c r="H394">
        <f>INDEX(Cleandata!D394:D1393,MATCH(G394,G394:G1393,0))</f>
        <v>30</v>
      </c>
    </row>
    <row r="395" spans="1:8" x14ac:dyDescent="0.3">
      <c r="A395" s="4" t="s">
        <v>55</v>
      </c>
      <c r="B395" s="4" t="str">
        <f>VLOOKUP(A395,Cleandata!G395:H1394,2,FALSE)</f>
        <v>Accessories</v>
      </c>
      <c r="G395" t="s">
        <v>59</v>
      </c>
      <c r="H395">
        <f>INDEX(Cleandata!D395:D1394,MATCH(G395,G395:G1394,0))</f>
        <v>30</v>
      </c>
    </row>
    <row r="396" spans="1:8" x14ac:dyDescent="0.3">
      <c r="A396" s="4" t="s">
        <v>41</v>
      </c>
      <c r="B396" s="4" t="str">
        <f>VLOOKUP(A396,Cleandata!G396:H1395,2,FALSE)</f>
        <v>Accessories</v>
      </c>
      <c r="G396" t="s">
        <v>16</v>
      </c>
      <c r="H396">
        <f>INDEX(Cleandata!D396:D1395,MATCH(G396,G396:G1395,0))</f>
        <v>30</v>
      </c>
    </row>
    <row r="397" spans="1:8" x14ac:dyDescent="0.3">
      <c r="A397" s="4" t="s">
        <v>18</v>
      </c>
      <c r="B397" s="4" t="str">
        <f>VLOOKUP(A397,Cleandata!G397:H1396,2,FALSE)</f>
        <v>Clothing</v>
      </c>
      <c r="G397" t="s">
        <v>62</v>
      </c>
      <c r="H397">
        <f>INDEX(Cleandata!D397:D1396,MATCH(G397,G397:G1396,0))</f>
        <v>21</v>
      </c>
    </row>
    <row r="398" spans="1:8" x14ac:dyDescent="0.3">
      <c r="A398" s="4" t="s">
        <v>44</v>
      </c>
      <c r="B398" s="4" t="str">
        <f>VLOOKUP(A398,Cleandata!G398:H1397,2,FALSE)</f>
        <v>Accessories</v>
      </c>
      <c r="G398" t="s">
        <v>48</v>
      </c>
      <c r="H398">
        <f>INDEX(Cleandata!D398:D1397,MATCH(G398,G398:G1397,0))</f>
        <v>33</v>
      </c>
    </row>
    <row r="399" spans="1:8" x14ac:dyDescent="0.3">
      <c r="A399" s="4" t="s">
        <v>27</v>
      </c>
      <c r="B399" s="4" t="str">
        <f>VLOOKUP(A399,Cleandata!G399:H1398,2,FALSE)</f>
        <v>Electronics</v>
      </c>
      <c r="G399" t="s">
        <v>16</v>
      </c>
      <c r="H399">
        <f>INDEX(Cleandata!D399:D1398,MATCH(G399,G399:G1398,0))</f>
        <v>39</v>
      </c>
    </row>
    <row r="400" spans="1:8" x14ac:dyDescent="0.3">
      <c r="A400" s="4" t="s">
        <v>23</v>
      </c>
      <c r="B400" s="4" t="str">
        <f>VLOOKUP(A400,Cleandata!G400:H1399,2,FALSE)</f>
        <v>Clothing</v>
      </c>
      <c r="G400" t="s">
        <v>38</v>
      </c>
      <c r="H400">
        <f>INDEX(Cleandata!D400:D1399,MATCH(G400,G400:G1399,0))</f>
        <v>32</v>
      </c>
    </row>
    <row r="401" spans="1:8" x14ac:dyDescent="0.3">
      <c r="A401" s="4" t="s">
        <v>44</v>
      </c>
      <c r="B401" s="4" t="str">
        <f>VLOOKUP(A401,Cleandata!G401:H1400,2,FALSE)</f>
        <v>Accessories</v>
      </c>
      <c r="G401" t="s">
        <v>32</v>
      </c>
      <c r="H401">
        <f>INDEX(Cleandata!D401:D1400,MATCH(G401,G401:G1400,0))</f>
        <v>50</v>
      </c>
    </row>
    <row r="402" spans="1:8" x14ac:dyDescent="0.3">
      <c r="A402" s="4" t="s">
        <v>23</v>
      </c>
      <c r="B402" s="4" t="str">
        <f>VLOOKUP(A402,Cleandata!G402:H1401,2,FALSE)</f>
        <v>Clothing</v>
      </c>
      <c r="G402" t="s">
        <v>10</v>
      </c>
      <c r="H402">
        <f>INDEX(Cleandata!D402:D1401,MATCH(G402,G402:G1401,0))</f>
        <v>25</v>
      </c>
    </row>
    <row r="403" spans="1:8" x14ac:dyDescent="0.3">
      <c r="A403" s="4" t="s">
        <v>44</v>
      </c>
      <c r="B403" s="4" t="str">
        <f>VLOOKUP(A403,Cleandata!G403:H1402,2,FALSE)</f>
        <v>Accessories</v>
      </c>
      <c r="G403" t="s">
        <v>68</v>
      </c>
      <c r="H403">
        <f>INDEX(Cleandata!D403:D1402,MATCH(G403,G403:G1402,0))</f>
        <v>33</v>
      </c>
    </row>
    <row r="404" spans="1:8" x14ac:dyDescent="0.3">
      <c r="A404" s="4" t="s">
        <v>27</v>
      </c>
      <c r="B404" s="4" t="str">
        <f>VLOOKUP(A404,Cleandata!G404:H1403,2,FALSE)</f>
        <v>Electronics</v>
      </c>
      <c r="G404" t="s">
        <v>32</v>
      </c>
      <c r="H404">
        <f>INDEX(Cleandata!D404:D1403,MATCH(G404,G404:G1403,0))</f>
        <v>38</v>
      </c>
    </row>
    <row r="405" spans="1:8" x14ac:dyDescent="0.3">
      <c r="A405" s="4" t="s">
        <v>27</v>
      </c>
      <c r="B405" s="4" t="str">
        <f>VLOOKUP(A405,Cleandata!G405:H1404,2,FALSE)</f>
        <v>Electronics</v>
      </c>
      <c r="G405" t="s">
        <v>48</v>
      </c>
      <c r="H405">
        <f>INDEX(Cleandata!D405:D1404,MATCH(G405,G405:G1404,0))</f>
        <v>34</v>
      </c>
    </row>
    <row r="406" spans="1:8" x14ac:dyDescent="0.3">
      <c r="A406" s="4" t="s">
        <v>18</v>
      </c>
      <c r="B406" s="4" t="str">
        <f>VLOOKUP(A406,Cleandata!G406:H1405,2,FALSE)</f>
        <v>Clothing</v>
      </c>
      <c r="G406" t="s">
        <v>21</v>
      </c>
      <c r="H406">
        <f>INDEX(Cleandata!D406:D1405,MATCH(G406,G406:G1405,0))</f>
        <v>48</v>
      </c>
    </row>
    <row r="407" spans="1:8" x14ac:dyDescent="0.3">
      <c r="A407" s="4" t="s">
        <v>27</v>
      </c>
      <c r="B407" s="4" t="str">
        <f>VLOOKUP(A407,Cleandata!G407:H1406,2,FALSE)</f>
        <v>Electronics</v>
      </c>
      <c r="G407" t="s">
        <v>32</v>
      </c>
      <c r="H407">
        <f>INDEX(Cleandata!D407:D1406,MATCH(G407,G407:G1406,0))</f>
        <v>43</v>
      </c>
    </row>
    <row r="408" spans="1:8" x14ac:dyDescent="0.3">
      <c r="A408" s="4" t="s">
        <v>23</v>
      </c>
      <c r="B408" s="4" t="str">
        <f>VLOOKUP(A408,Cleandata!G408:H1407,2,FALSE)</f>
        <v>Clothing</v>
      </c>
      <c r="G408" t="s">
        <v>21</v>
      </c>
      <c r="H408">
        <f>INDEX(Cleandata!D408:D1407,MATCH(G408,G408:G1407,0))</f>
        <v>30</v>
      </c>
    </row>
    <row r="409" spans="1:8" x14ac:dyDescent="0.3">
      <c r="A409" s="4" t="s">
        <v>12</v>
      </c>
      <c r="B409" s="4" t="str">
        <f>VLOOKUP(A409,Cleandata!G409:H1408,2,FALSE)</f>
        <v>Electronics</v>
      </c>
      <c r="G409" t="s">
        <v>46</v>
      </c>
      <c r="H409">
        <f>INDEX(Cleandata!D409:D1408,MATCH(G409,G409:G1408,0))</f>
        <v>30</v>
      </c>
    </row>
    <row r="410" spans="1:8" x14ac:dyDescent="0.3">
      <c r="A410" s="4" t="s">
        <v>44</v>
      </c>
      <c r="B410" s="4" t="str">
        <f>VLOOKUP(A410,Cleandata!G410:H1409,2,FALSE)</f>
        <v>Accessories</v>
      </c>
      <c r="G410" t="s">
        <v>38</v>
      </c>
      <c r="H410">
        <f>INDEX(Cleandata!D410:D1409,MATCH(G410,G410:G1409,0))</f>
        <v>46</v>
      </c>
    </row>
    <row r="411" spans="1:8" x14ac:dyDescent="0.3">
      <c r="A411" s="4" t="s">
        <v>23</v>
      </c>
      <c r="B411" s="4" t="str">
        <f>VLOOKUP(A411,Cleandata!G411:H1410,2,FALSE)</f>
        <v>Clothing</v>
      </c>
      <c r="G411" t="s">
        <v>68</v>
      </c>
      <c r="H411">
        <f>INDEX(Cleandata!D411:D1410,MATCH(G411,G411:G1410,0))</f>
        <v>21</v>
      </c>
    </row>
    <row r="412" spans="1:8" x14ac:dyDescent="0.3">
      <c r="A412" s="4" t="s">
        <v>51</v>
      </c>
      <c r="B412" s="4" t="str">
        <f>VLOOKUP(A412,Cleandata!G412:H1411,2,FALSE)</f>
        <v>Electronics</v>
      </c>
      <c r="G412" t="s">
        <v>62</v>
      </c>
      <c r="H412">
        <f>INDEX(Cleandata!D412:D1411,MATCH(G412,G412:G1411,0))</f>
        <v>30</v>
      </c>
    </row>
    <row r="413" spans="1:8" x14ac:dyDescent="0.3">
      <c r="A413" s="4" t="s">
        <v>18</v>
      </c>
      <c r="B413" s="4" t="str">
        <f>VLOOKUP(A413,Cleandata!G413:H1412,2,FALSE)</f>
        <v>Clothing</v>
      </c>
      <c r="G413" t="s">
        <v>54</v>
      </c>
      <c r="H413">
        <f>INDEX(Cleandata!D413:D1412,MATCH(G413,G413:G1412,0))</f>
        <v>30</v>
      </c>
    </row>
    <row r="414" spans="1:8" x14ac:dyDescent="0.3">
      <c r="A414" s="4" t="s">
        <v>51</v>
      </c>
      <c r="B414" s="4" t="str">
        <f>VLOOKUP(A414,Cleandata!G414:H1413,2,FALSE)</f>
        <v>Electronics</v>
      </c>
      <c r="G414" t="s">
        <v>35</v>
      </c>
      <c r="H414">
        <f>INDEX(Cleandata!D414:D1413,MATCH(G414,G414:G1413,0))</f>
        <v>30</v>
      </c>
    </row>
    <row r="415" spans="1:8" x14ac:dyDescent="0.3">
      <c r="A415" s="4" t="s">
        <v>51</v>
      </c>
      <c r="B415" s="4" t="str">
        <f>VLOOKUP(A415,Cleandata!G415:H1414,2,FALSE)</f>
        <v>Electronics</v>
      </c>
      <c r="G415" t="s">
        <v>73</v>
      </c>
      <c r="H415">
        <f>INDEX(Cleandata!D415:D1414,MATCH(G415,G415:G1414,0))</f>
        <v>30</v>
      </c>
    </row>
    <row r="416" spans="1:8" x14ac:dyDescent="0.3">
      <c r="A416" s="4" t="s">
        <v>51</v>
      </c>
      <c r="B416" s="4" t="str">
        <f>VLOOKUP(A416,Cleandata!G416:H1415,2,FALSE)</f>
        <v>Electronics</v>
      </c>
      <c r="G416" t="s">
        <v>57</v>
      </c>
      <c r="H416">
        <f>INDEX(Cleandata!D416:D1415,MATCH(G416,G416:G1415,0))</f>
        <v>36</v>
      </c>
    </row>
    <row r="417" spans="1:8" x14ac:dyDescent="0.3">
      <c r="A417" s="4" t="s">
        <v>18</v>
      </c>
      <c r="B417" s="4" t="str">
        <f>VLOOKUP(A417,Cleandata!G417:H1416,2,FALSE)</f>
        <v>Clothing</v>
      </c>
      <c r="G417" t="s">
        <v>57</v>
      </c>
      <c r="H417">
        <f>INDEX(Cleandata!D417:D1416,MATCH(G417,G417:G1416,0))</f>
        <v>27</v>
      </c>
    </row>
    <row r="418" spans="1:8" x14ac:dyDescent="0.3">
      <c r="A418" s="4" t="s">
        <v>23</v>
      </c>
      <c r="B418" s="4" t="str">
        <f>VLOOKUP(A418,Cleandata!G418:H1417,2,FALSE)</f>
        <v>Clothing</v>
      </c>
      <c r="G418" t="s">
        <v>48</v>
      </c>
      <c r="H418">
        <f>INDEX(Cleandata!D418:D1417,MATCH(G418,G418:G1417,0))</f>
        <v>30</v>
      </c>
    </row>
    <row r="419" spans="1:8" x14ac:dyDescent="0.3">
      <c r="A419" s="4" t="s">
        <v>51</v>
      </c>
      <c r="B419" s="4" t="str">
        <f>VLOOKUP(A419,Cleandata!G419:H1418,2,FALSE)</f>
        <v>Electronics</v>
      </c>
      <c r="G419" t="s">
        <v>57</v>
      </c>
      <c r="H419">
        <f>INDEX(Cleandata!D419:D1418,MATCH(G419,G419:G1418,0))</f>
        <v>30</v>
      </c>
    </row>
    <row r="420" spans="1:8" x14ac:dyDescent="0.3">
      <c r="A420" s="4" t="s">
        <v>51</v>
      </c>
      <c r="B420" s="4" t="str">
        <f>VLOOKUP(A420,Cleandata!G420:H1419,2,FALSE)</f>
        <v>Electronics</v>
      </c>
      <c r="G420" t="s">
        <v>64</v>
      </c>
      <c r="H420">
        <f>INDEX(Cleandata!D420:D1419,MATCH(G420,G420:G1419,0))</f>
        <v>30</v>
      </c>
    </row>
    <row r="421" spans="1:8" x14ac:dyDescent="0.3">
      <c r="A421" s="4" t="s">
        <v>18</v>
      </c>
      <c r="B421" s="4" t="str">
        <f>VLOOKUP(A421,Cleandata!G421:H1420,2,FALSE)</f>
        <v>Clothing</v>
      </c>
      <c r="G421" t="s">
        <v>59</v>
      </c>
      <c r="H421">
        <f>INDEX(Cleandata!D421:D1420,MATCH(G421,G421:G1420,0))</f>
        <v>30</v>
      </c>
    </row>
    <row r="422" spans="1:8" x14ac:dyDescent="0.3">
      <c r="A422" s="4" t="s">
        <v>27</v>
      </c>
      <c r="B422" s="4" t="str">
        <f>VLOOKUP(A422,Cleandata!G422:H1421,2,FALSE)</f>
        <v>Electronics</v>
      </c>
      <c r="G422" t="s">
        <v>35</v>
      </c>
      <c r="H422">
        <f>INDEX(Cleandata!D422:D1421,MATCH(G422,G422:G1421,0))</f>
        <v>30</v>
      </c>
    </row>
    <row r="423" spans="1:8" x14ac:dyDescent="0.3">
      <c r="A423" s="4" t="s">
        <v>12</v>
      </c>
      <c r="B423" s="4" t="str">
        <f>VLOOKUP(A423,Cleandata!G423:H1422,2,FALSE)</f>
        <v>Electronics</v>
      </c>
      <c r="G423" t="s">
        <v>46</v>
      </c>
      <c r="H423">
        <f>INDEX(Cleandata!D423:D1422,MATCH(G423,G423:G1422,0))</f>
        <v>32</v>
      </c>
    </row>
    <row r="424" spans="1:8" x14ac:dyDescent="0.3">
      <c r="A424" s="4" t="s">
        <v>51</v>
      </c>
      <c r="B424" s="4" t="str">
        <f>VLOOKUP(A424,Cleandata!G424:H1423,2,FALSE)</f>
        <v>Electronics</v>
      </c>
      <c r="G424" t="s">
        <v>10</v>
      </c>
      <c r="H424">
        <f>INDEX(Cleandata!D424:D1423,MATCH(G424,G424:G1423,0))</f>
        <v>31</v>
      </c>
    </row>
    <row r="425" spans="1:8" x14ac:dyDescent="0.3">
      <c r="A425" s="4" t="s">
        <v>12</v>
      </c>
      <c r="B425" s="4" t="str">
        <f>VLOOKUP(A425,Cleandata!G425:H1424,2,FALSE)</f>
        <v>Electronics</v>
      </c>
      <c r="G425" t="s">
        <v>54</v>
      </c>
      <c r="H425">
        <f>INDEX(Cleandata!D425:D1424,MATCH(G425,G425:G1424,0))</f>
        <v>30</v>
      </c>
    </row>
    <row r="426" spans="1:8" x14ac:dyDescent="0.3">
      <c r="A426" s="4" t="s">
        <v>51</v>
      </c>
      <c r="B426" s="4" t="str">
        <f>VLOOKUP(A426,Cleandata!G426:H1425,2,FALSE)</f>
        <v>Electronics</v>
      </c>
      <c r="G426" t="s">
        <v>32</v>
      </c>
      <c r="H426">
        <f>INDEX(Cleandata!D426:D1425,MATCH(G426,G426:G1425,0))</f>
        <v>25</v>
      </c>
    </row>
    <row r="427" spans="1:8" x14ac:dyDescent="0.3">
      <c r="A427" s="4" t="s">
        <v>44</v>
      </c>
      <c r="B427" s="4" t="str">
        <f>VLOOKUP(A427,Cleandata!G427:H1426,2,FALSE)</f>
        <v>Accessories</v>
      </c>
      <c r="G427" t="s">
        <v>46</v>
      </c>
      <c r="H427">
        <f>INDEX(Cleandata!D427:D1426,MATCH(G427,G427:G1426,0))</f>
        <v>45</v>
      </c>
    </row>
    <row r="428" spans="1:8" x14ac:dyDescent="0.3">
      <c r="A428" s="4" t="s">
        <v>55</v>
      </c>
      <c r="B428" s="4" t="str">
        <f>VLOOKUP(A428,Cleandata!G428:H1427,2,FALSE)</f>
        <v>Accessories</v>
      </c>
      <c r="G428" t="s">
        <v>64</v>
      </c>
      <c r="H428">
        <f>INDEX(Cleandata!D428:D1427,MATCH(G428,G428:G1427,0))</f>
        <v>30</v>
      </c>
    </row>
    <row r="429" spans="1:8" x14ac:dyDescent="0.3">
      <c r="A429" s="4" t="s">
        <v>18</v>
      </c>
      <c r="B429" s="4" t="str">
        <f>VLOOKUP(A429,Cleandata!G429:H1428,2,FALSE)</f>
        <v>Clothing</v>
      </c>
      <c r="G429" t="s">
        <v>35</v>
      </c>
      <c r="H429">
        <f>INDEX(Cleandata!D429:D1428,MATCH(G429,G429:G1428,0))</f>
        <v>30</v>
      </c>
    </row>
    <row r="430" spans="1:8" x14ac:dyDescent="0.3">
      <c r="A430" s="4" t="s">
        <v>55</v>
      </c>
      <c r="B430" s="4" t="str">
        <f>VLOOKUP(A430,Cleandata!G430:H1429,2,FALSE)</f>
        <v>Accessories</v>
      </c>
      <c r="G430" t="s">
        <v>25</v>
      </c>
      <c r="H430">
        <f>INDEX(Cleandata!D430:D1429,MATCH(G430,G430:G1429,0))</f>
        <v>30</v>
      </c>
    </row>
    <row r="431" spans="1:8" x14ac:dyDescent="0.3">
      <c r="A431" s="4" t="s">
        <v>55</v>
      </c>
      <c r="B431" s="4" t="str">
        <f>VLOOKUP(A431,Cleandata!G431:H1430,2,FALSE)</f>
        <v>Accessories</v>
      </c>
      <c r="G431" t="s">
        <v>35</v>
      </c>
      <c r="H431">
        <f>INDEX(Cleandata!D431:D1430,MATCH(G431,G431:G1430,0))</f>
        <v>31</v>
      </c>
    </row>
    <row r="432" spans="1:8" x14ac:dyDescent="0.3">
      <c r="A432" s="4" t="s">
        <v>44</v>
      </c>
      <c r="B432" s="4" t="str">
        <f>VLOOKUP(A432,Cleandata!G432:H1431,2,FALSE)</f>
        <v>Accessories</v>
      </c>
      <c r="G432" t="s">
        <v>62</v>
      </c>
      <c r="H432">
        <f>INDEX(Cleandata!D432:D1431,MATCH(G432,G432:G1431,0))</f>
        <v>30</v>
      </c>
    </row>
    <row r="433" spans="1:8" x14ac:dyDescent="0.3">
      <c r="A433" s="4" t="s">
        <v>12</v>
      </c>
      <c r="B433" s="4" t="str">
        <f>VLOOKUP(A433,Cleandata!G433:H1432,2,FALSE)</f>
        <v>Electronics</v>
      </c>
      <c r="G433" t="s">
        <v>64</v>
      </c>
      <c r="H433">
        <f>INDEX(Cleandata!D433:D1432,MATCH(G433,G433:G1432,0))</f>
        <v>39</v>
      </c>
    </row>
    <row r="434" spans="1:8" x14ac:dyDescent="0.3">
      <c r="A434" s="4" t="s">
        <v>55</v>
      </c>
      <c r="B434" s="4" t="str">
        <f>VLOOKUP(A434,Cleandata!G434:H1433,2,FALSE)</f>
        <v>Accessories</v>
      </c>
      <c r="G434" t="s">
        <v>16</v>
      </c>
      <c r="H434">
        <f>INDEX(Cleandata!D434:D1433,MATCH(G434,G434:G1433,0))</f>
        <v>42</v>
      </c>
    </row>
    <row r="435" spans="1:8" x14ac:dyDescent="0.3">
      <c r="A435" s="4" t="s">
        <v>23</v>
      </c>
      <c r="B435" s="4" t="str">
        <f>VLOOKUP(A435,Cleandata!G435:H1434,2,FALSE)</f>
        <v>Clothing</v>
      </c>
      <c r="G435" t="s">
        <v>35</v>
      </c>
      <c r="H435">
        <f>INDEX(Cleandata!D435:D1434,MATCH(G435,G435:G1434,0))</f>
        <v>30</v>
      </c>
    </row>
    <row r="436" spans="1:8" x14ac:dyDescent="0.3">
      <c r="A436" s="4" t="s">
        <v>23</v>
      </c>
      <c r="B436" s="4" t="str">
        <f>VLOOKUP(A436,Cleandata!G436:H1435,2,FALSE)</f>
        <v>Clothing</v>
      </c>
      <c r="G436" t="s">
        <v>69</v>
      </c>
      <c r="H436">
        <f>INDEX(Cleandata!D436:D1435,MATCH(G436,G436:G1435,0))</f>
        <v>27</v>
      </c>
    </row>
    <row r="437" spans="1:8" x14ac:dyDescent="0.3">
      <c r="A437" s="4" t="s">
        <v>12</v>
      </c>
      <c r="B437" s="4" t="str">
        <f>VLOOKUP(A437,Cleandata!G437:H1436,2,FALSE)</f>
        <v>Electronics</v>
      </c>
      <c r="G437" t="s">
        <v>69</v>
      </c>
      <c r="H437">
        <f>INDEX(Cleandata!D437:D1436,MATCH(G437,G437:G1436,0))</f>
        <v>30</v>
      </c>
    </row>
    <row r="438" spans="1:8" x14ac:dyDescent="0.3">
      <c r="A438" s="4" t="s">
        <v>41</v>
      </c>
      <c r="B438" s="4" t="str">
        <f>VLOOKUP(A438,Cleandata!G438:H1437,2,FALSE)</f>
        <v>Accessories</v>
      </c>
      <c r="G438" t="s">
        <v>46</v>
      </c>
      <c r="H438">
        <f>INDEX(Cleandata!D438:D1437,MATCH(G438,G438:G1437,0))</f>
        <v>24</v>
      </c>
    </row>
    <row r="439" spans="1:8" x14ac:dyDescent="0.3">
      <c r="A439" s="4" t="s">
        <v>23</v>
      </c>
      <c r="B439" s="4" t="str">
        <f>VLOOKUP(A439,Cleandata!G439:H1438,2,FALSE)</f>
        <v>Clothing</v>
      </c>
      <c r="G439" t="s">
        <v>10</v>
      </c>
      <c r="H439">
        <f>INDEX(Cleandata!D439:D1438,MATCH(G439,G439:G1438,0))</f>
        <v>30</v>
      </c>
    </row>
    <row r="440" spans="1:8" x14ac:dyDescent="0.3">
      <c r="A440" s="4" t="s">
        <v>27</v>
      </c>
      <c r="B440" s="4" t="str">
        <f>VLOOKUP(A440,Cleandata!G440:H1439,2,FALSE)</f>
        <v>Electronics</v>
      </c>
      <c r="G440" t="s">
        <v>46</v>
      </c>
      <c r="H440">
        <f>INDEX(Cleandata!D440:D1439,MATCH(G440,G440:G1439,0))</f>
        <v>49</v>
      </c>
    </row>
    <row r="441" spans="1:8" x14ac:dyDescent="0.3">
      <c r="A441" s="4" t="s">
        <v>18</v>
      </c>
      <c r="B441" s="4" t="str">
        <f>VLOOKUP(A441,Cleandata!G441:H1440,2,FALSE)</f>
        <v>Clothing</v>
      </c>
      <c r="G441" t="s">
        <v>73</v>
      </c>
      <c r="H441">
        <f>INDEX(Cleandata!D441:D1440,MATCH(G441,G441:G1440,0))</f>
        <v>39</v>
      </c>
    </row>
    <row r="442" spans="1:8" x14ac:dyDescent="0.3">
      <c r="A442" s="4" t="s">
        <v>12</v>
      </c>
      <c r="B442" s="4" t="str">
        <f>VLOOKUP(A442,Cleandata!G442:H1441,2,FALSE)</f>
        <v>Electronics</v>
      </c>
      <c r="G442" t="s">
        <v>69</v>
      </c>
      <c r="H442">
        <f>INDEX(Cleandata!D442:D1441,MATCH(G442,G442:G1441,0))</f>
        <v>32</v>
      </c>
    </row>
    <row r="443" spans="1:8" x14ac:dyDescent="0.3">
      <c r="A443" s="4" t="s">
        <v>23</v>
      </c>
      <c r="B443" s="4" t="str">
        <f>VLOOKUP(A443,Cleandata!G443:H1442,2,FALSE)</f>
        <v>Clothing</v>
      </c>
      <c r="G443" t="s">
        <v>78</v>
      </c>
      <c r="H443">
        <f>INDEX(Cleandata!D443:D1442,MATCH(G443,G443:G1442,0))</f>
        <v>30</v>
      </c>
    </row>
    <row r="444" spans="1:8" x14ac:dyDescent="0.3">
      <c r="A444" s="4" t="s">
        <v>12</v>
      </c>
      <c r="B444" s="4" t="str">
        <f>VLOOKUP(A444,Cleandata!G444:H1443,2,FALSE)</f>
        <v>Electronics</v>
      </c>
      <c r="G444" t="s">
        <v>21</v>
      </c>
      <c r="H444">
        <f>INDEX(Cleandata!D444:D1443,MATCH(G444,G444:G1443,0))</f>
        <v>18</v>
      </c>
    </row>
    <row r="445" spans="1:8" x14ac:dyDescent="0.3">
      <c r="A445" s="4" t="s">
        <v>23</v>
      </c>
      <c r="B445" s="4" t="str">
        <f>VLOOKUP(A445,Cleandata!G445:H1444,2,FALSE)</f>
        <v>Clothing</v>
      </c>
      <c r="G445" t="s">
        <v>46</v>
      </c>
      <c r="H445">
        <f>INDEX(Cleandata!D445:D1444,MATCH(G445,G445:G1444,0))</f>
        <v>30</v>
      </c>
    </row>
    <row r="446" spans="1:8" x14ac:dyDescent="0.3">
      <c r="A446" s="4" t="s">
        <v>51</v>
      </c>
      <c r="B446" s="4" t="str">
        <f>VLOOKUP(A446,Cleandata!G446:H1445,2,FALSE)</f>
        <v>Electronics</v>
      </c>
      <c r="G446" t="s">
        <v>62</v>
      </c>
      <c r="H446">
        <f>INDEX(Cleandata!D446:D1445,MATCH(G446,G446:G1445,0))</f>
        <v>23</v>
      </c>
    </row>
    <row r="447" spans="1:8" x14ac:dyDescent="0.3">
      <c r="A447" s="4" t="s">
        <v>41</v>
      </c>
      <c r="B447" s="4" t="str">
        <f>VLOOKUP(A447,Cleandata!G447:H1446,2,FALSE)</f>
        <v>Accessories</v>
      </c>
      <c r="G447" t="s">
        <v>32</v>
      </c>
      <c r="H447">
        <f>INDEX(Cleandata!D447:D1446,MATCH(G447,G447:G1446,0))</f>
        <v>19</v>
      </c>
    </row>
    <row r="448" spans="1:8" x14ac:dyDescent="0.3">
      <c r="A448" s="4" t="s">
        <v>41</v>
      </c>
      <c r="B448" s="4" t="str">
        <f>VLOOKUP(A448,Cleandata!G448:H1447,2,FALSE)</f>
        <v>Accessories</v>
      </c>
      <c r="G448" t="s">
        <v>21</v>
      </c>
      <c r="H448">
        <f>INDEX(Cleandata!D448:D1447,MATCH(G448,G448:G1447,0))</f>
        <v>42</v>
      </c>
    </row>
    <row r="449" spans="1:8" x14ac:dyDescent="0.3">
      <c r="A449" s="4" t="s">
        <v>55</v>
      </c>
      <c r="B449" s="4" t="str">
        <f>VLOOKUP(A449,Cleandata!G449:H1448,2,FALSE)</f>
        <v>Accessories</v>
      </c>
      <c r="G449" t="s">
        <v>21</v>
      </c>
      <c r="H449">
        <f>INDEX(Cleandata!D449:D1448,MATCH(G449,G449:G1448,0))</f>
        <v>32</v>
      </c>
    </row>
    <row r="450" spans="1:8" x14ac:dyDescent="0.3">
      <c r="A450" s="4" t="s">
        <v>18</v>
      </c>
      <c r="B450" s="4" t="str">
        <f>VLOOKUP(A450,Cleandata!G450:H1449,2,FALSE)</f>
        <v>Clothing</v>
      </c>
      <c r="G450" t="s">
        <v>68</v>
      </c>
      <c r="H450">
        <f>INDEX(Cleandata!D450:D1449,MATCH(G450,G450:G1449,0))</f>
        <v>38</v>
      </c>
    </row>
    <row r="451" spans="1:8" x14ac:dyDescent="0.3">
      <c r="A451" s="4" t="s">
        <v>27</v>
      </c>
      <c r="B451" s="4" t="str">
        <f>VLOOKUP(A451,Cleandata!G451:H1450,2,FALSE)</f>
        <v>Electronics</v>
      </c>
      <c r="G451" t="s">
        <v>78</v>
      </c>
      <c r="H451">
        <f>INDEX(Cleandata!D451:D1450,MATCH(G451,G451:G1450,0))</f>
        <v>30</v>
      </c>
    </row>
    <row r="452" spans="1:8" x14ac:dyDescent="0.3">
      <c r="A452" s="4" t="s">
        <v>41</v>
      </c>
      <c r="B452" s="4" t="str">
        <f>VLOOKUP(A452,Cleandata!G452:H1451,2,FALSE)</f>
        <v>Accessories</v>
      </c>
      <c r="G452" t="s">
        <v>46</v>
      </c>
      <c r="H452">
        <f>INDEX(Cleandata!D452:D1451,MATCH(G452,G452:G1451,0))</f>
        <v>19</v>
      </c>
    </row>
    <row r="453" spans="1:8" x14ac:dyDescent="0.3">
      <c r="A453" s="4" t="s">
        <v>12</v>
      </c>
      <c r="B453" s="4" t="str">
        <f>VLOOKUP(A453,Cleandata!G453:H1452,2,FALSE)</f>
        <v>Electronics</v>
      </c>
      <c r="G453" t="s">
        <v>16</v>
      </c>
      <c r="H453">
        <f>INDEX(Cleandata!D453:D1452,MATCH(G453,G453:G1452,0))</f>
        <v>30</v>
      </c>
    </row>
    <row r="454" spans="1:8" x14ac:dyDescent="0.3">
      <c r="A454" s="4" t="s">
        <v>41</v>
      </c>
      <c r="B454" s="4" t="str">
        <f>VLOOKUP(A454,Cleandata!G454:H1453,2,FALSE)</f>
        <v>Accessories</v>
      </c>
      <c r="G454" t="s">
        <v>78</v>
      </c>
      <c r="H454">
        <f>INDEX(Cleandata!D454:D1453,MATCH(G454,G454:G1453,0))</f>
        <v>30</v>
      </c>
    </row>
    <row r="455" spans="1:8" x14ac:dyDescent="0.3">
      <c r="A455" s="4" t="s">
        <v>23</v>
      </c>
      <c r="B455" s="4" t="str">
        <f>VLOOKUP(A455,Cleandata!G455:H1454,2,FALSE)</f>
        <v>Clothing</v>
      </c>
      <c r="G455" t="s">
        <v>54</v>
      </c>
      <c r="H455">
        <f>INDEX(Cleandata!D455:D1454,MATCH(G455,G455:G1454,0))</f>
        <v>27</v>
      </c>
    </row>
    <row r="456" spans="1:8" x14ac:dyDescent="0.3">
      <c r="A456" s="4" t="s">
        <v>41</v>
      </c>
      <c r="B456" s="4" t="str">
        <f>VLOOKUP(A456,Cleandata!G456:H1455,2,FALSE)</f>
        <v>Accessories</v>
      </c>
      <c r="G456" t="s">
        <v>57</v>
      </c>
      <c r="H456">
        <f>INDEX(Cleandata!D456:D1455,MATCH(G456,G456:G1455,0))</f>
        <v>28</v>
      </c>
    </row>
    <row r="457" spans="1:8" x14ac:dyDescent="0.3">
      <c r="A457" s="4" t="s">
        <v>12</v>
      </c>
      <c r="B457" s="4" t="str">
        <f>VLOOKUP(A457,Cleandata!G457:H1456,2,FALSE)</f>
        <v>Electronics</v>
      </c>
      <c r="G457" t="s">
        <v>68</v>
      </c>
      <c r="H457">
        <f>INDEX(Cleandata!D457:D1456,MATCH(G457,G457:G1456,0))</f>
        <v>26</v>
      </c>
    </row>
    <row r="458" spans="1:8" x14ac:dyDescent="0.3">
      <c r="A458" s="4" t="s">
        <v>23</v>
      </c>
      <c r="B458" s="4" t="str">
        <f>VLOOKUP(A458,Cleandata!G458:H1457,2,FALSE)</f>
        <v>Clothing</v>
      </c>
      <c r="G458" t="s">
        <v>57</v>
      </c>
      <c r="H458">
        <f>INDEX(Cleandata!D458:D1457,MATCH(G458,G458:G1457,0))</f>
        <v>46</v>
      </c>
    </row>
    <row r="459" spans="1:8" x14ac:dyDescent="0.3">
      <c r="A459" s="4" t="s">
        <v>18</v>
      </c>
      <c r="B459" s="4" t="str">
        <f>VLOOKUP(A459,Cleandata!G459:H1458,2,FALSE)</f>
        <v>Clothing</v>
      </c>
      <c r="G459" t="s">
        <v>21</v>
      </c>
      <c r="H459">
        <f>INDEX(Cleandata!D459:D1458,MATCH(G459,G459:G1458,0))</f>
        <v>30</v>
      </c>
    </row>
    <row r="460" spans="1:8" x14ac:dyDescent="0.3">
      <c r="A460" s="4" t="s">
        <v>18</v>
      </c>
      <c r="B460" s="4" t="str">
        <f>VLOOKUP(A460,Cleandata!G460:H1459,2,FALSE)</f>
        <v>Clothing</v>
      </c>
      <c r="G460" t="s">
        <v>69</v>
      </c>
      <c r="H460">
        <f>INDEX(Cleandata!D460:D1459,MATCH(G460,G460:G1459,0))</f>
        <v>26</v>
      </c>
    </row>
    <row r="461" spans="1:8" x14ac:dyDescent="0.3">
      <c r="A461" s="4" t="s">
        <v>51</v>
      </c>
      <c r="B461" s="4" t="str">
        <f>VLOOKUP(A461,Cleandata!G461:H1460,2,FALSE)</f>
        <v>Electronics</v>
      </c>
      <c r="G461" t="s">
        <v>69</v>
      </c>
      <c r="H461">
        <f>INDEX(Cleandata!D461:D1460,MATCH(G461,G461:G1460,0))</f>
        <v>30</v>
      </c>
    </row>
    <row r="462" spans="1:8" x14ac:dyDescent="0.3">
      <c r="A462" s="4" t="s">
        <v>23</v>
      </c>
      <c r="B462" s="4" t="str">
        <f>VLOOKUP(A462,Cleandata!G462:H1461,2,FALSE)</f>
        <v>Clothing</v>
      </c>
      <c r="G462" t="s">
        <v>59</v>
      </c>
      <c r="H462">
        <f>INDEX(Cleandata!D462:D1461,MATCH(G462,G462:G1461,0))</f>
        <v>30</v>
      </c>
    </row>
    <row r="463" spans="1:8" x14ac:dyDescent="0.3">
      <c r="A463" s="4" t="s">
        <v>41</v>
      </c>
      <c r="B463" s="4" t="str">
        <f>VLOOKUP(A463,Cleandata!G463:H1462,2,FALSE)</f>
        <v>Accessories</v>
      </c>
      <c r="G463" t="s">
        <v>46</v>
      </c>
      <c r="H463">
        <f>INDEX(Cleandata!D463:D1462,MATCH(G463,G463:G1462,0))</f>
        <v>30</v>
      </c>
    </row>
    <row r="464" spans="1:8" x14ac:dyDescent="0.3">
      <c r="A464" s="4" t="s">
        <v>55</v>
      </c>
      <c r="B464" s="4" t="str">
        <f>VLOOKUP(A464,Cleandata!G464:H1463,2,FALSE)</f>
        <v>Accessories</v>
      </c>
      <c r="G464" t="s">
        <v>57</v>
      </c>
      <c r="H464">
        <f>INDEX(Cleandata!D464:D1463,MATCH(G464,G464:G1463,0))</f>
        <v>30</v>
      </c>
    </row>
    <row r="465" spans="1:8" x14ac:dyDescent="0.3">
      <c r="A465" s="4" t="s">
        <v>12</v>
      </c>
      <c r="B465" s="4" t="str">
        <f>VLOOKUP(A465,Cleandata!G465:H1464,2,FALSE)</f>
        <v>Electronics</v>
      </c>
      <c r="G465" t="s">
        <v>73</v>
      </c>
      <c r="H465">
        <f>INDEX(Cleandata!D465:D1464,MATCH(G465,G465:G1464,0))</f>
        <v>30</v>
      </c>
    </row>
    <row r="466" spans="1:8" x14ac:dyDescent="0.3">
      <c r="A466" s="4" t="s">
        <v>51</v>
      </c>
      <c r="B466" s="4" t="str">
        <f>VLOOKUP(A466,Cleandata!G466:H1465,2,FALSE)</f>
        <v>Electronics</v>
      </c>
      <c r="G466" t="s">
        <v>46</v>
      </c>
      <c r="H466">
        <f>INDEX(Cleandata!D466:D1465,MATCH(G466,G466:G1465,0))</f>
        <v>47</v>
      </c>
    </row>
    <row r="467" spans="1:8" x14ac:dyDescent="0.3">
      <c r="A467" s="4" t="s">
        <v>27</v>
      </c>
      <c r="B467" s="4" t="str">
        <f>VLOOKUP(A467,Cleandata!G467:H1466,2,FALSE)</f>
        <v>Electronics</v>
      </c>
      <c r="G467" t="s">
        <v>38</v>
      </c>
      <c r="H467">
        <f>INDEX(Cleandata!D467:D1466,MATCH(G467,G467:G1466,0))</f>
        <v>38</v>
      </c>
    </row>
    <row r="468" spans="1:8" x14ac:dyDescent="0.3">
      <c r="A468" s="4" t="s">
        <v>27</v>
      </c>
      <c r="B468" s="4" t="str">
        <f>VLOOKUP(A468,Cleandata!G468:H1467,2,FALSE)</f>
        <v>Electronics</v>
      </c>
      <c r="G468" t="s">
        <v>48</v>
      </c>
      <c r="H468">
        <f>INDEX(Cleandata!D468:D1467,MATCH(G468,G468:G1467,0))</f>
        <v>30</v>
      </c>
    </row>
    <row r="469" spans="1:8" x14ac:dyDescent="0.3">
      <c r="A469" s="4" t="s">
        <v>44</v>
      </c>
      <c r="B469" s="4" t="str">
        <f>VLOOKUP(A469,Cleandata!G469:H1468,2,FALSE)</f>
        <v>Accessories</v>
      </c>
      <c r="G469" t="s">
        <v>25</v>
      </c>
      <c r="H469">
        <f>INDEX(Cleandata!D469:D1468,MATCH(G469,G469:G1468,0))</f>
        <v>35</v>
      </c>
    </row>
    <row r="470" spans="1:8" x14ac:dyDescent="0.3">
      <c r="A470" s="4" t="s">
        <v>23</v>
      </c>
      <c r="B470" s="4" t="str">
        <f>VLOOKUP(A470,Cleandata!G470:H1469,2,FALSE)</f>
        <v>Clothing</v>
      </c>
      <c r="G470" t="s">
        <v>10</v>
      </c>
      <c r="H470">
        <f>INDEX(Cleandata!D470:D1469,MATCH(G470,G470:G1469,0))</f>
        <v>30</v>
      </c>
    </row>
    <row r="471" spans="1:8" x14ac:dyDescent="0.3">
      <c r="A471" s="4" t="s">
        <v>44</v>
      </c>
      <c r="B471" s="4" t="str">
        <f>VLOOKUP(A471,Cleandata!G471:H1470,2,FALSE)</f>
        <v>Accessories</v>
      </c>
      <c r="G471" t="s">
        <v>62</v>
      </c>
      <c r="H471">
        <f>INDEX(Cleandata!D471:D1470,MATCH(G471,G471:G1470,0))</f>
        <v>47</v>
      </c>
    </row>
    <row r="472" spans="1:8" x14ac:dyDescent="0.3">
      <c r="A472" s="4" t="s">
        <v>27</v>
      </c>
      <c r="B472" s="4" t="str">
        <f>VLOOKUP(A472,Cleandata!G472:H1471,2,FALSE)</f>
        <v>Electronics</v>
      </c>
      <c r="G472" t="s">
        <v>68</v>
      </c>
      <c r="H472">
        <f>INDEX(Cleandata!D472:D1471,MATCH(G472,G472:G1471,0))</f>
        <v>30</v>
      </c>
    </row>
    <row r="473" spans="1:8" x14ac:dyDescent="0.3">
      <c r="A473" s="4" t="s">
        <v>55</v>
      </c>
      <c r="B473" s="4" t="str">
        <f>VLOOKUP(A473,Cleandata!G473:H1472,2,FALSE)</f>
        <v>Accessories</v>
      </c>
      <c r="G473" t="s">
        <v>48</v>
      </c>
      <c r="H473">
        <f>INDEX(Cleandata!D473:D1472,MATCH(G473,G473:G1472,0))</f>
        <v>39</v>
      </c>
    </row>
    <row r="474" spans="1:8" x14ac:dyDescent="0.3">
      <c r="A474" s="4" t="s">
        <v>18</v>
      </c>
      <c r="B474" s="4" t="str">
        <f>VLOOKUP(A474,Cleandata!G474:H1473,2,FALSE)</f>
        <v>Clothing</v>
      </c>
      <c r="G474" t="s">
        <v>10</v>
      </c>
      <c r="H474">
        <f>INDEX(Cleandata!D474:D1473,MATCH(G474,G474:G1473,0))</f>
        <v>30</v>
      </c>
    </row>
    <row r="475" spans="1:8" x14ac:dyDescent="0.3">
      <c r="A475" s="4" t="s">
        <v>18</v>
      </c>
      <c r="B475" s="4" t="str">
        <f>VLOOKUP(A475,Cleandata!G475:H1474,2,FALSE)</f>
        <v>Clothing</v>
      </c>
      <c r="G475" t="s">
        <v>32</v>
      </c>
      <c r="H475">
        <f>INDEX(Cleandata!D475:D1474,MATCH(G475,G475:G1474,0))</f>
        <v>36</v>
      </c>
    </row>
    <row r="476" spans="1:8" x14ac:dyDescent="0.3">
      <c r="A476" s="4" t="s">
        <v>23</v>
      </c>
      <c r="B476" s="4" t="str">
        <f>VLOOKUP(A476,Cleandata!G476:H1475,2,FALSE)</f>
        <v>Clothing</v>
      </c>
      <c r="G476" t="s">
        <v>64</v>
      </c>
      <c r="H476">
        <f>INDEX(Cleandata!D476:D1475,MATCH(G476,G476:G1475,0))</f>
        <v>30</v>
      </c>
    </row>
    <row r="477" spans="1:8" x14ac:dyDescent="0.3">
      <c r="A477" s="4" t="s">
        <v>44</v>
      </c>
      <c r="B477" s="4" t="str">
        <f>VLOOKUP(A477,Cleandata!G477:H1476,2,FALSE)</f>
        <v>Accessories</v>
      </c>
      <c r="G477" t="s">
        <v>25</v>
      </c>
      <c r="H477">
        <f>INDEX(Cleandata!D477:D1476,MATCH(G477,G477:G1476,0))</f>
        <v>28</v>
      </c>
    </row>
    <row r="478" spans="1:8" x14ac:dyDescent="0.3">
      <c r="A478" s="4" t="s">
        <v>23</v>
      </c>
      <c r="B478" s="4" t="str">
        <f>VLOOKUP(A478,Cleandata!G478:H1477,2,FALSE)</f>
        <v>Clothing</v>
      </c>
      <c r="G478" t="s">
        <v>25</v>
      </c>
      <c r="H478">
        <f>INDEX(Cleandata!D478:D1477,MATCH(G478,G478:G1477,0))</f>
        <v>28</v>
      </c>
    </row>
    <row r="479" spans="1:8" x14ac:dyDescent="0.3">
      <c r="A479" s="4" t="s">
        <v>41</v>
      </c>
      <c r="B479" s="4" t="str">
        <f>VLOOKUP(A479,Cleandata!G479:H1478,2,FALSE)</f>
        <v>Accessories</v>
      </c>
      <c r="G479" t="s">
        <v>46</v>
      </c>
      <c r="H479">
        <f>INDEX(Cleandata!D479:D1478,MATCH(G479,G479:G1478,0))</f>
        <v>30</v>
      </c>
    </row>
    <row r="480" spans="1:8" x14ac:dyDescent="0.3">
      <c r="A480" s="4" t="s">
        <v>41</v>
      </c>
      <c r="B480" s="4" t="str">
        <f>VLOOKUP(A480,Cleandata!G480:H1479,2,FALSE)</f>
        <v>Accessories</v>
      </c>
      <c r="G480" t="s">
        <v>69</v>
      </c>
      <c r="H480">
        <f>INDEX(Cleandata!D480:D1479,MATCH(G480,G480:G1479,0))</f>
        <v>43</v>
      </c>
    </row>
    <row r="481" spans="1:8" x14ac:dyDescent="0.3">
      <c r="A481" s="4" t="s">
        <v>41</v>
      </c>
      <c r="B481" s="4" t="str">
        <f>VLOOKUP(A481,Cleandata!G481:H1480,2,FALSE)</f>
        <v>Accessories</v>
      </c>
      <c r="G481" t="s">
        <v>32</v>
      </c>
      <c r="H481">
        <f>INDEX(Cleandata!D481:D1480,MATCH(G481,G481:G1480,0))</f>
        <v>30</v>
      </c>
    </row>
    <row r="482" spans="1:8" x14ac:dyDescent="0.3">
      <c r="A482" s="4" t="s">
        <v>23</v>
      </c>
      <c r="B482" s="4" t="str">
        <f>VLOOKUP(A482,Cleandata!G482:H1481,2,FALSE)</f>
        <v>Clothing</v>
      </c>
      <c r="G482" t="s">
        <v>10</v>
      </c>
      <c r="H482">
        <f>INDEX(Cleandata!D482:D1481,MATCH(G482,G482:G1481,0))</f>
        <v>30</v>
      </c>
    </row>
    <row r="483" spans="1:8" x14ac:dyDescent="0.3">
      <c r="A483" s="4" t="s">
        <v>44</v>
      </c>
      <c r="B483" s="4" t="str">
        <f>VLOOKUP(A483,Cleandata!G483:H1482,2,FALSE)</f>
        <v>Accessories</v>
      </c>
      <c r="G483" t="s">
        <v>48</v>
      </c>
      <c r="H483">
        <f>INDEX(Cleandata!D483:D1482,MATCH(G483,G483:G1482,0))</f>
        <v>18</v>
      </c>
    </row>
    <row r="484" spans="1:8" x14ac:dyDescent="0.3">
      <c r="A484" s="4" t="s">
        <v>23</v>
      </c>
      <c r="B484" s="4" t="str">
        <f>VLOOKUP(A484,Cleandata!G484:H1483,2,FALSE)</f>
        <v>Clothing</v>
      </c>
      <c r="G484" t="s">
        <v>62</v>
      </c>
      <c r="H484">
        <f>INDEX(Cleandata!D484:D1483,MATCH(G484,G484:G1483,0))</f>
        <v>42</v>
      </c>
    </row>
    <row r="485" spans="1:8" x14ac:dyDescent="0.3">
      <c r="A485" s="4" t="s">
        <v>18</v>
      </c>
      <c r="B485" s="4" t="str">
        <f>VLOOKUP(A485,Cleandata!G485:H1484,2,FALSE)</f>
        <v>Clothing</v>
      </c>
      <c r="G485" t="s">
        <v>46</v>
      </c>
      <c r="H485">
        <f>INDEX(Cleandata!D485:D1484,MATCH(G485,G485:G1484,0))</f>
        <v>30</v>
      </c>
    </row>
    <row r="486" spans="1:8" x14ac:dyDescent="0.3">
      <c r="A486" s="4" t="s">
        <v>55</v>
      </c>
      <c r="B486" s="4" t="str">
        <f>VLOOKUP(A486,Cleandata!G486:H1485,2,FALSE)</f>
        <v>Accessories</v>
      </c>
      <c r="G486" t="s">
        <v>64</v>
      </c>
      <c r="H486">
        <f>INDEX(Cleandata!D486:D1485,MATCH(G486,G486:G1485,0))</f>
        <v>30</v>
      </c>
    </row>
    <row r="487" spans="1:8" x14ac:dyDescent="0.3">
      <c r="A487" s="4" t="s">
        <v>12</v>
      </c>
      <c r="B487" s="4" t="str">
        <f>VLOOKUP(A487,Cleandata!G487:H1486,2,FALSE)</f>
        <v>Electronics</v>
      </c>
      <c r="G487" t="s">
        <v>57</v>
      </c>
      <c r="H487">
        <f>INDEX(Cleandata!D487:D1486,MATCH(G487,G487:G1486,0))</f>
        <v>22</v>
      </c>
    </row>
    <row r="488" spans="1:8" x14ac:dyDescent="0.3">
      <c r="A488" s="4" t="s">
        <v>27</v>
      </c>
      <c r="B488" s="4" t="str">
        <f>VLOOKUP(A488,Cleandata!G488:H1487,2,FALSE)</f>
        <v>Electronics</v>
      </c>
      <c r="G488" t="s">
        <v>21</v>
      </c>
      <c r="H488">
        <f>INDEX(Cleandata!D488:D1487,MATCH(G488,G488:G1487,0))</f>
        <v>44</v>
      </c>
    </row>
    <row r="489" spans="1:8" x14ac:dyDescent="0.3">
      <c r="A489" s="4" t="s">
        <v>18</v>
      </c>
      <c r="B489" s="4" t="str">
        <f>VLOOKUP(A489,Cleandata!G489:H1488,2,FALSE)</f>
        <v>Clothing</v>
      </c>
      <c r="G489" t="s">
        <v>64</v>
      </c>
      <c r="H489">
        <f>INDEX(Cleandata!D489:D1488,MATCH(G489,G489:G1488,0))</f>
        <v>37</v>
      </c>
    </row>
    <row r="490" spans="1:8" x14ac:dyDescent="0.3">
      <c r="A490" s="4" t="s">
        <v>18</v>
      </c>
      <c r="B490" s="4" t="str">
        <f>VLOOKUP(A490,Cleandata!G490:H1489,2,FALSE)</f>
        <v>Clothing</v>
      </c>
      <c r="G490" t="s">
        <v>46</v>
      </c>
      <c r="H490">
        <f>INDEX(Cleandata!D490:D1489,MATCH(G490,G490:G1489,0))</f>
        <v>30</v>
      </c>
    </row>
    <row r="491" spans="1:8" x14ac:dyDescent="0.3">
      <c r="A491" s="4" t="s">
        <v>41</v>
      </c>
      <c r="B491" s="4" t="str">
        <f>VLOOKUP(A491,Cleandata!G491:H1490,2,FALSE)</f>
        <v>Accessories</v>
      </c>
      <c r="G491" t="s">
        <v>64</v>
      </c>
      <c r="H491">
        <f>INDEX(Cleandata!D491:D1490,MATCH(G491,G491:G1490,0))</f>
        <v>30</v>
      </c>
    </row>
    <row r="492" spans="1:8" x14ac:dyDescent="0.3">
      <c r="A492" s="4" t="s">
        <v>55</v>
      </c>
      <c r="B492" s="4" t="str">
        <f>VLOOKUP(A492,Cleandata!G492:H1491,2,FALSE)</f>
        <v>Accessories</v>
      </c>
      <c r="G492" t="s">
        <v>69</v>
      </c>
      <c r="H492">
        <f>INDEX(Cleandata!D492:D1491,MATCH(G492,G492:G1491,0))</f>
        <v>35</v>
      </c>
    </row>
    <row r="493" spans="1:8" x14ac:dyDescent="0.3">
      <c r="A493" s="4" t="s">
        <v>23</v>
      </c>
      <c r="B493" s="4" t="str">
        <f>VLOOKUP(A493,Cleandata!G493:H1492,2,FALSE)</f>
        <v>Clothing</v>
      </c>
      <c r="G493" t="s">
        <v>32</v>
      </c>
      <c r="H493">
        <f>INDEX(Cleandata!D493:D1492,MATCH(G493,G493:G1492,0))</f>
        <v>30</v>
      </c>
    </row>
    <row r="494" spans="1:8" x14ac:dyDescent="0.3">
      <c r="A494" s="4" t="s">
        <v>41</v>
      </c>
      <c r="B494" s="4" t="str">
        <f>VLOOKUP(A494,Cleandata!G494:H1493,2,FALSE)</f>
        <v>Accessories</v>
      </c>
      <c r="G494" t="s">
        <v>54</v>
      </c>
      <c r="H494">
        <f>INDEX(Cleandata!D494:D1493,MATCH(G494,G494:G1493,0))</f>
        <v>30</v>
      </c>
    </row>
    <row r="495" spans="1:8" x14ac:dyDescent="0.3">
      <c r="A495" s="4" t="s">
        <v>51</v>
      </c>
      <c r="B495" s="4" t="str">
        <f>VLOOKUP(A495,Cleandata!G495:H1494,2,FALSE)</f>
        <v>Electronics</v>
      </c>
      <c r="G495" t="s">
        <v>32</v>
      </c>
      <c r="H495">
        <f>INDEX(Cleandata!D495:D1494,MATCH(G495,G495:G1494,0))</f>
        <v>42</v>
      </c>
    </row>
    <row r="496" spans="1:8" x14ac:dyDescent="0.3">
      <c r="A496" s="4" t="s">
        <v>41</v>
      </c>
      <c r="B496" s="4" t="str">
        <f>VLOOKUP(A496,Cleandata!G496:H1495,2,FALSE)</f>
        <v>Accessories</v>
      </c>
      <c r="G496" t="s">
        <v>64</v>
      </c>
      <c r="H496">
        <f>INDEX(Cleandata!D496:D1495,MATCH(G496,G496:G1495,0))</f>
        <v>30</v>
      </c>
    </row>
    <row r="497" spans="1:8" x14ac:dyDescent="0.3">
      <c r="A497" s="4" t="s">
        <v>55</v>
      </c>
      <c r="B497" s="4" t="str">
        <f>VLOOKUP(A497,Cleandata!G497:H1496,2,FALSE)</f>
        <v>Accessories</v>
      </c>
      <c r="G497" t="s">
        <v>54</v>
      </c>
      <c r="H497">
        <f>INDEX(Cleandata!D497:D1496,MATCH(G497,G497:G1496,0))</f>
        <v>30</v>
      </c>
    </row>
    <row r="498" spans="1:8" x14ac:dyDescent="0.3">
      <c r="A498" s="4" t="s">
        <v>44</v>
      </c>
      <c r="B498" s="4" t="str">
        <f>VLOOKUP(A498,Cleandata!G498:H1497,2,FALSE)</f>
        <v>Accessories</v>
      </c>
      <c r="G498" t="s">
        <v>57</v>
      </c>
      <c r="H498">
        <f>INDEX(Cleandata!D498:D1497,MATCH(G498,G498:G1497,0))</f>
        <v>30</v>
      </c>
    </row>
    <row r="499" spans="1:8" x14ac:dyDescent="0.3">
      <c r="A499" s="4" t="s">
        <v>18</v>
      </c>
      <c r="B499" s="4" t="str">
        <f>VLOOKUP(A499,Cleandata!G499:H1498,2,FALSE)</f>
        <v>Clothing</v>
      </c>
      <c r="G499" t="s">
        <v>68</v>
      </c>
      <c r="H499">
        <f>INDEX(Cleandata!D499:D1498,MATCH(G499,G499:G1498,0))</f>
        <v>21</v>
      </c>
    </row>
    <row r="500" spans="1:8" x14ac:dyDescent="0.3">
      <c r="A500" s="4" t="s">
        <v>44</v>
      </c>
      <c r="B500" s="4" t="str">
        <f>VLOOKUP(A500,Cleandata!G500:H1499,2,FALSE)</f>
        <v>Accessories</v>
      </c>
      <c r="G500" t="s">
        <v>78</v>
      </c>
      <c r="H500">
        <f>INDEX(Cleandata!D500:D1499,MATCH(G500,G500:G1499,0))</f>
        <v>45</v>
      </c>
    </row>
    <row r="501" spans="1:8" x14ac:dyDescent="0.3">
      <c r="A501" s="4" t="s">
        <v>23</v>
      </c>
      <c r="B501" s="4" t="str">
        <f>VLOOKUP(A501,Cleandata!G501:H1500,2,FALSE)</f>
        <v>Clothing</v>
      </c>
      <c r="G501" t="s">
        <v>69</v>
      </c>
      <c r="H501">
        <f>INDEX(Cleandata!D501:D1500,MATCH(G501,G501:G1500,0))</f>
        <v>35</v>
      </c>
    </row>
    <row r="502" spans="1:8" x14ac:dyDescent="0.3">
      <c r="A502" s="4" t="s">
        <v>41</v>
      </c>
      <c r="B502" s="4" t="str">
        <f>VLOOKUP(A502,Cleandata!G502:H1501,2,FALSE)</f>
        <v>Accessories</v>
      </c>
      <c r="G502" t="s">
        <v>35</v>
      </c>
      <c r="H502">
        <f>INDEX(Cleandata!D502:D1501,MATCH(G502,G502:G1501,0))</f>
        <v>30</v>
      </c>
    </row>
    <row r="503" spans="1:8" x14ac:dyDescent="0.3">
      <c r="A503" s="4" t="s">
        <v>23</v>
      </c>
      <c r="B503" s="4" t="str">
        <f>VLOOKUP(A503,Cleandata!G503:H1502,2,FALSE)</f>
        <v>Clothing</v>
      </c>
      <c r="G503" t="s">
        <v>16</v>
      </c>
      <c r="H503">
        <f>INDEX(Cleandata!D503:D1502,MATCH(G503,G503:G1502,0))</f>
        <v>30</v>
      </c>
    </row>
    <row r="504" spans="1:8" x14ac:dyDescent="0.3">
      <c r="A504" s="4" t="s">
        <v>44</v>
      </c>
      <c r="B504" s="4" t="str">
        <f>VLOOKUP(A504,Cleandata!G504:H1503,2,FALSE)</f>
        <v>Accessories</v>
      </c>
      <c r="G504" t="s">
        <v>21</v>
      </c>
      <c r="H504">
        <f>INDEX(Cleandata!D504:D1503,MATCH(G504,G504:G1503,0))</f>
        <v>30</v>
      </c>
    </row>
    <row r="505" spans="1:8" x14ac:dyDescent="0.3">
      <c r="A505" s="4" t="s">
        <v>18</v>
      </c>
      <c r="B505" s="4" t="str">
        <f>VLOOKUP(A505,Cleandata!G505:H1504,2,FALSE)</f>
        <v>Clothing</v>
      </c>
      <c r="G505" t="s">
        <v>62</v>
      </c>
      <c r="H505">
        <f>INDEX(Cleandata!D505:D1504,MATCH(G505,G505:G1504,0))</f>
        <v>30</v>
      </c>
    </row>
    <row r="506" spans="1:8" x14ac:dyDescent="0.3">
      <c r="A506" s="4" t="s">
        <v>23</v>
      </c>
      <c r="B506" s="4" t="str">
        <f>VLOOKUP(A506,Cleandata!G506:H1505,2,FALSE)</f>
        <v>Clothing</v>
      </c>
      <c r="G506" t="s">
        <v>69</v>
      </c>
      <c r="H506">
        <f>INDEX(Cleandata!D506:D1505,MATCH(G506,G506:G1505,0))</f>
        <v>41</v>
      </c>
    </row>
    <row r="507" spans="1:8" x14ac:dyDescent="0.3">
      <c r="A507" s="4" t="s">
        <v>23</v>
      </c>
      <c r="B507" s="4" t="str">
        <f>VLOOKUP(A507,Cleandata!G507:H1506,2,FALSE)</f>
        <v>Clothing</v>
      </c>
      <c r="G507" t="s">
        <v>54</v>
      </c>
      <c r="H507">
        <f>INDEX(Cleandata!D507:D1506,MATCH(G507,G507:G1506,0))</f>
        <v>21</v>
      </c>
    </row>
    <row r="508" spans="1:8" x14ac:dyDescent="0.3">
      <c r="A508" s="4" t="s">
        <v>23</v>
      </c>
      <c r="B508" s="4" t="str">
        <f>VLOOKUP(A508,Cleandata!G508:H1507,2,FALSE)</f>
        <v>Clothing</v>
      </c>
      <c r="G508" t="s">
        <v>62</v>
      </c>
      <c r="H508">
        <f>INDEX(Cleandata!D508:D1507,MATCH(G508,G508:G1507,0))</f>
        <v>28</v>
      </c>
    </row>
    <row r="509" spans="1:8" x14ac:dyDescent="0.3">
      <c r="A509" s="4" t="s">
        <v>23</v>
      </c>
      <c r="B509" s="4" t="str">
        <f>VLOOKUP(A509,Cleandata!G509:H1508,2,FALSE)</f>
        <v>Clothing</v>
      </c>
      <c r="G509" t="s">
        <v>25</v>
      </c>
      <c r="H509">
        <f>INDEX(Cleandata!D509:D1508,MATCH(G509,G509:G1508,0))</f>
        <v>30</v>
      </c>
    </row>
    <row r="510" spans="1:8" x14ac:dyDescent="0.3">
      <c r="A510" s="4" t="s">
        <v>55</v>
      </c>
      <c r="B510" s="4" t="str">
        <f>VLOOKUP(A510,Cleandata!G510:H1509,2,FALSE)</f>
        <v>Accessories</v>
      </c>
      <c r="G510" t="s">
        <v>69</v>
      </c>
      <c r="H510">
        <f>INDEX(Cleandata!D510:D1509,MATCH(G510,G510:G1509,0))</f>
        <v>30</v>
      </c>
    </row>
    <row r="511" spans="1:8" x14ac:dyDescent="0.3">
      <c r="A511" s="4" t="s">
        <v>23</v>
      </c>
      <c r="B511" s="4" t="str">
        <f>VLOOKUP(A511,Cleandata!G511:H1510,2,FALSE)</f>
        <v>Clothing</v>
      </c>
      <c r="G511" t="s">
        <v>32</v>
      </c>
      <c r="H511">
        <f>INDEX(Cleandata!D511:D1510,MATCH(G511,G511:G1510,0))</f>
        <v>20</v>
      </c>
    </row>
    <row r="512" spans="1:8" x14ac:dyDescent="0.3">
      <c r="A512" s="4" t="s">
        <v>44</v>
      </c>
      <c r="B512" s="4" t="str">
        <f>VLOOKUP(A512,Cleandata!G512:H1511,2,FALSE)</f>
        <v>Accessories</v>
      </c>
      <c r="G512" t="s">
        <v>25</v>
      </c>
      <c r="H512">
        <f>INDEX(Cleandata!D512:D1511,MATCH(G512,G512:G1511,0))</f>
        <v>30</v>
      </c>
    </row>
    <row r="513" spans="1:8" x14ac:dyDescent="0.3">
      <c r="A513" s="4" t="s">
        <v>18</v>
      </c>
      <c r="B513" s="4" t="str">
        <f>VLOOKUP(A513,Cleandata!G513:H1512,2,FALSE)</f>
        <v>Clothing</v>
      </c>
      <c r="G513" t="s">
        <v>57</v>
      </c>
      <c r="H513">
        <f>INDEX(Cleandata!D513:D1512,MATCH(G513,G513:G1512,0))</f>
        <v>23</v>
      </c>
    </row>
    <row r="514" spans="1:8" x14ac:dyDescent="0.3">
      <c r="A514" s="4" t="s">
        <v>44</v>
      </c>
      <c r="B514" s="4" t="str">
        <f>VLOOKUP(A514,Cleandata!G514:H1513,2,FALSE)</f>
        <v>Accessories</v>
      </c>
      <c r="G514" t="s">
        <v>38</v>
      </c>
      <c r="H514">
        <f>INDEX(Cleandata!D514:D1513,MATCH(G514,G514:G1513,0))</f>
        <v>30</v>
      </c>
    </row>
    <row r="515" spans="1:8" x14ac:dyDescent="0.3">
      <c r="A515" s="4" t="s">
        <v>18</v>
      </c>
      <c r="B515" s="4" t="str">
        <f>VLOOKUP(A515,Cleandata!G515:H1514,2,FALSE)</f>
        <v>Clothing</v>
      </c>
      <c r="G515" t="s">
        <v>32</v>
      </c>
      <c r="H515">
        <f>INDEX(Cleandata!D515:D1514,MATCH(G515,G515:G1514,0))</f>
        <v>30</v>
      </c>
    </row>
    <row r="516" spans="1:8" x14ac:dyDescent="0.3">
      <c r="A516" s="4" t="s">
        <v>51</v>
      </c>
      <c r="B516" s="4" t="str">
        <f>VLOOKUP(A516,Cleandata!G516:H1515,2,FALSE)</f>
        <v>Electronics</v>
      </c>
      <c r="G516" t="s">
        <v>57</v>
      </c>
      <c r="H516">
        <f>INDEX(Cleandata!D516:D1515,MATCH(G516,G516:G1515,0))</f>
        <v>41</v>
      </c>
    </row>
    <row r="517" spans="1:8" x14ac:dyDescent="0.3">
      <c r="A517" s="4" t="s">
        <v>55</v>
      </c>
      <c r="B517" s="4" t="str">
        <f>VLOOKUP(A517,Cleandata!G517:H1516,2,FALSE)</f>
        <v>Accessories</v>
      </c>
      <c r="G517" t="s">
        <v>59</v>
      </c>
      <c r="H517">
        <f>INDEX(Cleandata!D517:D1516,MATCH(G517,G517:G1516,0))</f>
        <v>30</v>
      </c>
    </row>
    <row r="518" spans="1:8" x14ac:dyDescent="0.3">
      <c r="A518" s="4" t="s">
        <v>12</v>
      </c>
      <c r="B518" s="4" t="str">
        <f>VLOOKUP(A518,Cleandata!G518:H1517,2,FALSE)</f>
        <v>Electronics</v>
      </c>
      <c r="G518" t="s">
        <v>78</v>
      </c>
      <c r="H518">
        <f>INDEX(Cleandata!D518:D1517,MATCH(G518,G518:G1517,0))</f>
        <v>30</v>
      </c>
    </row>
    <row r="519" spans="1:8" x14ac:dyDescent="0.3">
      <c r="A519" s="4" t="s">
        <v>44</v>
      </c>
      <c r="B519" s="4" t="str">
        <f>VLOOKUP(A519,Cleandata!G519:H1518,2,FALSE)</f>
        <v>Accessories</v>
      </c>
      <c r="G519" t="s">
        <v>32</v>
      </c>
      <c r="H519">
        <f>INDEX(Cleandata!D519:D1518,MATCH(G519,G519:G1518,0))</f>
        <v>23</v>
      </c>
    </row>
    <row r="520" spans="1:8" x14ac:dyDescent="0.3">
      <c r="A520" s="4" t="s">
        <v>18</v>
      </c>
      <c r="B520" s="4" t="str">
        <f>VLOOKUP(A520,Cleandata!G520:H1519,2,FALSE)</f>
        <v>Clothing</v>
      </c>
      <c r="G520" t="s">
        <v>69</v>
      </c>
      <c r="H520">
        <f>INDEX(Cleandata!D520:D1519,MATCH(G520,G520:G1519,0))</f>
        <v>30</v>
      </c>
    </row>
    <row r="521" spans="1:8" x14ac:dyDescent="0.3">
      <c r="A521" s="4" t="s">
        <v>55</v>
      </c>
      <c r="B521" s="4" t="str">
        <f>VLOOKUP(A521,Cleandata!G521:H1520,2,FALSE)</f>
        <v>Accessories</v>
      </c>
      <c r="G521" t="s">
        <v>32</v>
      </c>
      <c r="H521">
        <f>INDEX(Cleandata!D521:D1520,MATCH(G521,G521:G1520,0))</f>
        <v>50</v>
      </c>
    </row>
    <row r="522" spans="1:8" x14ac:dyDescent="0.3">
      <c r="A522" s="4" t="s">
        <v>55</v>
      </c>
      <c r="B522" s="4" t="str">
        <f>VLOOKUP(A522,Cleandata!G522:H1521,2,FALSE)</f>
        <v>Accessories</v>
      </c>
      <c r="G522" t="s">
        <v>10</v>
      </c>
      <c r="H522">
        <f>INDEX(Cleandata!D522:D1521,MATCH(G522,G522:G1521,0))</f>
        <v>39</v>
      </c>
    </row>
    <row r="523" spans="1:8" x14ac:dyDescent="0.3">
      <c r="A523" s="4" t="s">
        <v>51</v>
      </c>
      <c r="B523" s="4" t="str">
        <f>VLOOKUP(A523,Cleandata!G523:H1522,2,FALSE)</f>
        <v>Electronics</v>
      </c>
      <c r="G523" t="s">
        <v>21</v>
      </c>
      <c r="H523">
        <f>INDEX(Cleandata!D523:D1522,MATCH(G523,G523:G1522,0))</f>
        <v>30</v>
      </c>
    </row>
    <row r="524" spans="1:8" x14ac:dyDescent="0.3">
      <c r="A524" s="4" t="s">
        <v>27</v>
      </c>
      <c r="B524" s="4" t="str">
        <f>VLOOKUP(A524,Cleandata!G524:H1523,2,FALSE)</f>
        <v>Electronics</v>
      </c>
      <c r="G524" t="s">
        <v>59</v>
      </c>
      <c r="H524">
        <f>INDEX(Cleandata!D524:D1523,MATCH(G524,G524:G1523,0))</f>
        <v>30</v>
      </c>
    </row>
    <row r="525" spans="1:8" x14ac:dyDescent="0.3">
      <c r="A525" s="4" t="s">
        <v>41</v>
      </c>
      <c r="B525" s="4" t="str">
        <f>VLOOKUP(A525,Cleandata!G525:H1524,2,FALSE)</f>
        <v>Accessories</v>
      </c>
      <c r="G525" t="s">
        <v>21</v>
      </c>
      <c r="H525">
        <f>INDEX(Cleandata!D525:D1524,MATCH(G525,G525:G1524,0))</f>
        <v>33</v>
      </c>
    </row>
    <row r="526" spans="1:8" x14ac:dyDescent="0.3">
      <c r="A526" s="4" t="s">
        <v>18</v>
      </c>
      <c r="B526" s="4" t="str">
        <f>VLOOKUP(A526,Cleandata!G526:H1525,2,FALSE)</f>
        <v>Clothing</v>
      </c>
      <c r="G526" t="s">
        <v>25</v>
      </c>
      <c r="H526">
        <f>INDEX(Cleandata!D526:D1525,MATCH(G526,G526:G1525,0))</f>
        <v>30</v>
      </c>
    </row>
    <row r="527" spans="1:8" x14ac:dyDescent="0.3">
      <c r="A527" s="4" t="s">
        <v>18</v>
      </c>
      <c r="B527" s="4" t="str">
        <f>VLOOKUP(A527,Cleandata!G527:H1526,2,FALSE)</f>
        <v>Clothing</v>
      </c>
      <c r="G527" t="s">
        <v>35</v>
      </c>
      <c r="H527">
        <f>INDEX(Cleandata!D527:D1526,MATCH(G527,G527:G1526,0))</f>
        <v>30</v>
      </c>
    </row>
    <row r="528" spans="1:8" x14ac:dyDescent="0.3">
      <c r="A528" s="4" t="s">
        <v>12</v>
      </c>
      <c r="B528" s="4" t="str">
        <f>VLOOKUP(A528,Cleandata!G528:H1527,2,FALSE)</f>
        <v>Electronics</v>
      </c>
      <c r="G528" t="s">
        <v>25</v>
      </c>
      <c r="H528">
        <f>INDEX(Cleandata!D528:D1527,MATCH(G528,G528:G1527,0))</f>
        <v>34</v>
      </c>
    </row>
    <row r="529" spans="1:8" x14ac:dyDescent="0.3">
      <c r="A529" s="4" t="s">
        <v>55</v>
      </c>
      <c r="B529" s="4" t="str">
        <f>VLOOKUP(A529,Cleandata!G529:H1528,2,FALSE)</f>
        <v>Accessories</v>
      </c>
      <c r="G529" t="s">
        <v>21</v>
      </c>
      <c r="H529">
        <f>INDEX(Cleandata!D529:D1528,MATCH(G529,G529:G1528,0))</f>
        <v>45</v>
      </c>
    </row>
    <row r="530" spans="1:8" x14ac:dyDescent="0.3">
      <c r="A530" s="4" t="s">
        <v>44</v>
      </c>
      <c r="B530" s="4" t="str">
        <f>VLOOKUP(A530,Cleandata!G530:H1529,2,FALSE)</f>
        <v>Accessories</v>
      </c>
      <c r="G530" t="s">
        <v>69</v>
      </c>
      <c r="H530">
        <f>INDEX(Cleandata!D530:D1529,MATCH(G530,G530:G1529,0))</f>
        <v>30</v>
      </c>
    </row>
    <row r="531" spans="1:8" x14ac:dyDescent="0.3">
      <c r="A531" s="4" t="s">
        <v>27</v>
      </c>
      <c r="B531" s="4" t="str">
        <f>VLOOKUP(A531,Cleandata!G531:H1530,2,FALSE)</f>
        <v>Electronics</v>
      </c>
      <c r="G531" t="s">
        <v>25</v>
      </c>
      <c r="H531">
        <f>INDEX(Cleandata!D531:D1530,MATCH(G531,G531:G1530,0))</f>
        <v>48</v>
      </c>
    </row>
    <row r="532" spans="1:8" x14ac:dyDescent="0.3">
      <c r="A532" s="4" t="s">
        <v>27</v>
      </c>
      <c r="B532" s="4" t="str">
        <f>VLOOKUP(A532,Cleandata!G532:H1531,2,FALSE)</f>
        <v>Electronics</v>
      </c>
      <c r="G532" t="s">
        <v>78</v>
      </c>
      <c r="H532">
        <f>INDEX(Cleandata!D532:D1531,MATCH(G532,G532:G1531,0))</f>
        <v>30</v>
      </c>
    </row>
    <row r="533" spans="1:8" x14ac:dyDescent="0.3">
      <c r="A533" s="4" t="s">
        <v>12</v>
      </c>
      <c r="B533" s="4" t="str">
        <f>VLOOKUP(A533,Cleandata!G533:H1532,2,FALSE)</f>
        <v>Electronics</v>
      </c>
      <c r="G533" t="s">
        <v>59</v>
      </c>
      <c r="H533">
        <f>INDEX(Cleandata!D533:D1532,MATCH(G533,G533:G1532,0))</f>
        <v>30</v>
      </c>
    </row>
    <row r="534" spans="1:8" x14ac:dyDescent="0.3">
      <c r="A534" s="4" t="s">
        <v>12</v>
      </c>
      <c r="B534" s="4" t="str">
        <f>VLOOKUP(A534,Cleandata!G534:H1533,2,FALSE)</f>
        <v>Electronics</v>
      </c>
      <c r="G534" t="s">
        <v>32</v>
      </c>
      <c r="H534">
        <f>INDEX(Cleandata!D534:D1533,MATCH(G534,G534:G1533,0))</f>
        <v>30</v>
      </c>
    </row>
    <row r="535" spans="1:8" x14ac:dyDescent="0.3">
      <c r="A535" s="4" t="s">
        <v>55</v>
      </c>
      <c r="B535" s="4" t="str">
        <f>VLOOKUP(A535,Cleandata!G535:H1534,2,FALSE)</f>
        <v>Accessories</v>
      </c>
      <c r="G535" t="s">
        <v>73</v>
      </c>
      <c r="H535">
        <f>INDEX(Cleandata!D535:D1534,MATCH(G535,G535:G1534,0))</f>
        <v>30</v>
      </c>
    </row>
    <row r="536" spans="1:8" x14ac:dyDescent="0.3">
      <c r="A536" s="4" t="s">
        <v>27</v>
      </c>
      <c r="B536" s="4" t="str">
        <f>VLOOKUP(A536,Cleandata!G536:H1535,2,FALSE)</f>
        <v>Electronics</v>
      </c>
      <c r="G536" t="s">
        <v>68</v>
      </c>
      <c r="H536">
        <f>INDEX(Cleandata!D536:D1535,MATCH(G536,G536:G1535,0))</f>
        <v>46</v>
      </c>
    </row>
    <row r="537" spans="1:8" x14ac:dyDescent="0.3">
      <c r="A537" s="4" t="s">
        <v>55</v>
      </c>
      <c r="B537" s="4" t="str">
        <f>VLOOKUP(A537,Cleandata!G537:H1536,2,FALSE)</f>
        <v>Accessories</v>
      </c>
      <c r="G537" t="s">
        <v>57</v>
      </c>
      <c r="H537">
        <f>INDEX(Cleandata!D537:D1536,MATCH(G537,G537:G1536,0))</f>
        <v>30</v>
      </c>
    </row>
    <row r="538" spans="1:8" x14ac:dyDescent="0.3">
      <c r="A538" s="4" t="s">
        <v>41</v>
      </c>
      <c r="B538" s="4" t="str">
        <f>VLOOKUP(A538,Cleandata!G538:H1537,2,FALSE)</f>
        <v>Accessories</v>
      </c>
      <c r="G538" t="s">
        <v>16</v>
      </c>
      <c r="H538">
        <f>INDEX(Cleandata!D538:D1537,MATCH(G538,G538:G1537,0))</f>
        <v>47</v>
      </c>
    </row>
    <row r="539" spans="1:8" x14ac:dyDescent="0.3">
      <c r="A539" s="4" t="s">
        <v>27</v>
      </c>
      <c r="B539" s="4" t="str">
        <f>VLOOKUP(A539,Cleandata!G539:H1538,2,FALSE)</f>
        <v>Electronics</v>
      </c>
      <c r="G539" t="s">
        <v>69</v>
      </c>
      <c r="H539">
        <f>INDEX(Cleandata!D539:D1538,MATCH(G539,G539:G1538,0))</f>
        <v>29</v>
      </c>
    </row>
    <row r="540" spans="1:8" x14ac:dyDescent="0.3">
      <c r="A540" s="4" t="s">
        <v>41</v>
      </c>
      <c r="B540" s="4" t="str">
        <f>VLOOKUP(A540,Cleandata!G540:H1539,2,FALSE)</f>
        <v>Accessories</v>
      </c>
      <c r="G540" t="s">
        <v>32</v>
      </c>
      <c r="H540">
        <f>INDEX(Cleandata!D540:D1539,MATCH(G540,G540:G1539,0))</f>
        <v>34</v>
      </c>
    </row>
    <row r="541" spans="1:8" x14ac:dyDescent="0.3">
      <c r="A541" s="4" t="s">
        <v>44</v>
      </c>
      <c r="B541" s="4" t="str">
        <f>VLOOKUP(A541,Cleandata!G541:H1540,2,FALSE)</f>
        <v>Accessories</v>
      </c>
      <c r="G541" t="s">
        <v>69</v>
      </c>
      <c r="H541">
        <f>INDEX(Cleandata!D541:D1540,MATCH(G541,G541:G1540,0))</f>
        <v>30</v>
      </c>
    </row>
    <row r="542" spans="1:8" x14ac:dyDescent="0.3">
      <c r="A542" s="4" t="s">
        <v>23</v>
      </c>
      <c r="B542" s="4" t="str">
        <f>VLOOKUP(A542,Cleandata!G542:H1541,2,FALSE)</f>
        <v>Clothing</v>
      </c>
      <c r="G542" t="s">
        <v>73</v>
      </c>
      <c r="H542">
        <f>INDEX(Cleandata!D542:D1541,MATCH(G542,G542:G1541,0))</f>
        <v>30</v>
      </c>
    </row>
    <row r="543" spans="1:8" x14ac:dyDescent="0.3">
      <c r="A543" s="4" t="s">
        <v>44</v>
      </c>
      <c r="B543" s="4" t="str">
        <f>VLOOKUP(A543,Cleandata!G543:H1542,2,FALSE)</f>
        <v>Accessories</v>
      </c>
      <c r="G543" t="s">
        <v>25</v>
      </c>
      <c r="H543">
        <f>INDEX(Cleandata!D543:D1542,MATCH(G543,G543:G1542,0))</f>
        <v>30</v>
      </c>
    </row>
    <row r="544" spans="1:8" x14ac:dyDescent="0.3">
      <c r="A544" s="4" t="s">
        <v>12</v>
      </c>
      <c r="B544" s="4" t="str">
        <f>VLOOKUP(A544,Cleandata!G544:H1543,2,FALSE)</f>
        <v>Electronics</v>
      </c>
      <c r="G544" t="s">
        <v>32</v>
      </c>
      <c r="H544">
        <f>INDEX(Cleandata!D544:D1543,MATCH(G544,G544:G1543,0))</f>
        <v>30</v>
      </c>
    </row>
    <row r="545" spans="1:8" x14ac:dyDescent="0.3">
      <c r="A545" s="4" t="s">
        <v>51</v>
      </c>
      <c r="B545" s="4" t="str">
        <f>VLOOKUP(A545,Cleandata!G545:H1544,2,FALSE)</f>
        <v>Electronics</v>
      </c>
      <c r="G545" t="s">
        <v>35</v>
      </c>
      <c r="H545">
        <f>INDEX(Cleandata!D545:D1544,MATCH(G545,G545:G1544,0))</f>
        <v>30</v>
      </c>
    </row>
    <row r="546" spans="1:8" x14ac:dyDescent="0.3">
      <c r="A546" s="4" t="s">
        <v>41</v>
      </c>
      <c r="B546" s="4" t="str">
        <f>VLOOKUP(A546,Cleandata!G546:H1545,2,FALSE)</f>
        <v>Accessories</v>
      </c>
      <c r="G546" t="s">
        <v>64</v>
      </c>
      <c r="H546">
        <f>INDEX(Cleandata!D546:D1545,MATCH(G546,G546:G1545,0))</f>
        <v>30</v>
      </c>
    </row>
    <row r="547" spans="1:8" x14ac:dyDescent="0.3">
      <c r="A547" s="4" t="s">
        <v>44</v>
      </c>
      <c r="B547" s="4" t="str">
        <f>VLOOKUP(A547,Cleandata!G547:H1546,2,FALSE)</f>
        <v>Accessories</v>
      </c>
      <c r="G547" t="s">
        <v>78</v>
      </c>
      <c r="H547">
        <f>INDEX(Cleandata!D547:D1546,MATCH(G547,G547:G1546,0))</f>
        <v>30</v>
      </c>
    </row>
    <row r="548" spans="1:8" x14ac:dyDescent="0.3">
      <c r="A548" s="4" t="s">
        <v>44</v>
      </c>
      <c r="B548" s="4" t="str">
        <f>VLOOKUP(A548,Cleandata!G548:H1547,2,FALSE)</f>
        <v>Accessories</v>
      </c>
      <c r="G548" t="s">
        <v>73</v>
      </c>
      <c r="H548">
        <f>INDEX(Cleandata!D548:D1547,MATCH(G548,G548:G1547,0))</f>
        <v>24</v>
      </c>
    </row>
    <row r="549" spans="1:8" x14ac:dyDescent="0.3">
      <c r="A549" s="4" t="s">
        <v>18</v>
      </c>
      <c r="B549" s="4" t="str">
        <f>VLOOKUP(A549,Cleandata!G549:H1548,2,FALSE)</f>
        <v>Clothing</v>
      </c>
      <c r="G549" t="s">
        <v>32</v>
      </c>
      <c r="H549">
        <f>INDEX(Cleandata!D549:D1548,MATCH(G549,G549:G1548,0))</f>
        <v>27</v>
      </c>
    </row>
    <row r="550" spans="1:8" x14ac:dyDescent="0.3">
      <c r="A550" s="4" t="s">
        <v>27</v>
      </c>
      <c r="B550" s="4" t="str">
        <f>VLOOKUP(A550,Cleandata!G550:H1549,2,FALSE)</f>
        <v>Electronics</v>
      </c>
      <c r="G550" t="s">
        <v>32</v>
      </c>
      <c r="H550">
        <f>INDEX(Cleandata!D550:D1549,MATCH(G550,G550:G1549,0))</f>
        <v>30</v>
      </c>
    </row>
    <row r="551" spans="1:8" x14ac:dyDescent="0.3">
      <c r="A551" s="4" t="s">
        <v>18</v>
      </c>
      <c r="B551" s="4" t="str">
        <f>VLOOKUP(A551,Cleandata!G551:H1550,2,FALSE)</f>
        <v>Clothing</v>
      </c>
      <c r="G551" t="s">
        <v>10</v>
      </c>
      <c r="H551">
        <f>INDEX(Cleandata!D551:D1550,MATCH(G551,G551:G1550,0))</f>
        <v>23</v>
      </c>
    </row>
    <row r="552" spans="1:8" x14ac:dyDescent="0.3">
      <c r="A552" s="4" t="s">
        <v>44</v>
      </c>
      <c r="B552" s="4" t="str">
        <f>VLOOKUP(A552,Cleandata!G552:H1551,2,FALSE)</f>
        <v>Accessories</v>
      </c>
      <c r="G552" t="s">
        <v>54</v>
      </c>
      <c r="H552">
        <f>INDEX(Cleandata!D552:D1551,MATCH(G552,G552:G1551,0))</f>
        <v>30</v>
      </c>
    </row>
    <row r="553" spans="1:8" x14ac:dyDescent="0.3">
      <c r="A553" s="4" t="s">
        <v>12</v>
      </c>
      <c r="B553" s="4" t="str">
        <f>VLOOKUP(A553,Cleandata!G553:H1552,2,FALSE)</f>
        <v>Electronics</v>
      </c>
      <c r="G553" t="s">
        <v>16</v>
      </c>
      <c r="H553">
        <f>INDEX(Cleandata!D553:D1552,MATCH(G553,G553:G1552,0))</f>
        <v>41</v>
      </c>
    </row>
    <row r="554" spans="1:8" x14ac:dyDescent="0.3">
      <c r="A554" s="4" t="s">
        <v>55</v>
      </c>
      <c r="B554" s="4" t="str">
        <f>VLOOKUP(A554,Cleandata!G554:H1553,2,FALSE)</f>
        <v>Accessories</v>
      </c>
      <c r="G554" t="s">
        <v>73</v>
      </c>
      <c r="H554">
        <f>INDEX(Cleandata!D554:D1553,MATCH(G554,G554:G1553,0))</f>
        <v>25</v>
      </c>
    </row>
    <row r="555" spans="1:8" x14ac:dyDescent="0.3">
      <c r="A555" s="4" t="s">
        <v>27</v>
      </c>
      <c r="B555" s="4" t="str">
        <f>VLOOKUP(A555,Cleandata!G555:H1554,2,FALSE)</f>
        <v>Electronics</v>
      </c>
      <c r="G555" t="s">
        <v>59</v>
      </c>
      <c r="H555">
        <f>INDEX(Cleandata!D555:D1554,MATCH(G555,G555:G1554,0))</f>
        <v>23</v>
      </c>
    </row>
    <row r="556" spans="1:8" x14ac:dyDescent="0.3">
      <c r="A556" s="4" t="s">
        <v>41</v>
      </c>
      <c r="B556" s="4" t="str">
        <f>VLOOKUP(A556,Cleandata!G556:H1555,2,FALSE)</f>
        <v>Accessories</v>
      </c>
      <c r="G556" t="s">
        <v>48</v>
      </c>
      <c r="H556">
        <f>INDEX(Cleandata!D556:D1555,MATCH(G556,G556:G1555,0))</f>
        <v>30</v>
      </c>
    </row>
    <row r="557" spans="1:8" x14ac:dyDescent="0.3">
      <c r="A557" s="4" t="s">
        <v>44</v>
      </c>
      <c r="B557" s="4" t="str">
        <f>VLOOKUP(A557,Cleandata!G557:H1556,2,FALSE)</f>
        <v>Accessories</v>
      </c>
      <c r="G557" t="s">
        <v>38</v>
      </c>
      <c r="H557">
        <f>INDEX(Cleandata!D557:D1556,MATCH(G557,G557:G1556,0))</f>
        <v>30</v>
      </c>
    </row>
    <row r="558" spans="1:8" x14ac:dyDescent="0.3">
      <c r="A558" s="4" t="s">
        <v>12</v>
      </c>
      <c r="B558" s="4" t="str">
        <f>VLOOKUP(A558,Cleandata!G558:H1557,2,FALSE)</f>
        <v>Electronics</v>
      </c>
      <c r="G558" t="s">
        <v>73</v>
      </c>
      <c r="H558">
        <f>INDEX(Cleandata!D558:D1557,MATCH(G558,G558:G1557,0))</f>
        <v>30</v>
      </c>
    </row>
    <row r="559" spans="1:8" x14ac:dyDescent="0.3">
      <c r="A559" s="4" t="s">
        <v>51</v>
      </c>
      <c r="B559" s="4" t="str">
        <f>VLOOKUP(A559,Cleandata!G559:H1558,2,FALSE)</f>
        <v>Electronics</v>
      </c>
      <c r="G559" t="s">
        <v>10</v>
      </c>
      <c r="H559">
        <f>INDEX(Cleandata!D559:D1558,MATCH(G559,G559:G1558,0))</f>
        <v>30</v>
      </c>
    </row>
    <row r="560" spans="1:8" x14ac:dyDescent="0.3">
      <c r="A560" s="4" t="s">
        <v>55</v>
      </c>
      <c r="B560" s="4" t="str">
        <f>VLOOKUP(A560,Cleandata!G560:H1559,2,FALSE)</f>
        <v>Accessories</v>
      </c>
      <c r="G560" t="s">
        <v>68</v>
      </c>
      <c r="H560">
        <f>INDEX(Cleandata!D560:D1559,MATCH(G560,G560:G1559,0))</f>
        <v>30</v>
      </c>
    </row>
    <row r="561" spans="1:8" x14ac:dyDescent="0.3">
      <c r="A561" s="4" t="s">
        <v>44</v>
      </c>
      <c r="B561" s="4" t="str">
        <f>VLOOKUP(A561,Cleandata!G561:H1560,2,FALSE)</f>
        <v>Accessories</v>
      </c>
      <c r="G561" t="s">
        <v>32</v>
      </c>
      <c r="H561">
        <f>INDEX(Cleandata!D561:D1560,MATCH(G561,G561:G1560,0))</f>
        <v>30</v>
      </c>
    </row>
    <row r="562" spans="1:8" x14ac:dyDescent="0.3">
      <c r="A562" s="4" t="s">
        <v>51</v>
      </c>
      <c r="B562" s="4" t="str">
        <f>VLOOKUP(A562,Cleandata!G562:H1561,2,FALSE)</f>
        <v>Electronics</v>
      </c>
      <c r="G562" t="s">
        <v>62</v>
      </c>
      <c r="H562">
        <f>INDEX(Cleandata!D562:D1561,MATCH(G562,G562:G1561,0))</f>
        <v>22</v>
      </c>
    </row>
    <row r="563" spans="1:8" x14ac:dyDescent="0.3">
      <c r="A563" s="4" t="s">
        <v>55</v>
      </c>
      <c r="B563" s="4" t="str">
        <f>VLOOKUP(A563,Cleandata!G563:H1562,2,FALSE)</f>
        <v>Accessories</v>
      </c>
      <c r="G563" t="s">
        <v>57</v>
      </c>
      <c r="H563">
        <f>INDEX(Cleandata!D563:D1562,MATCH(G563,G563:G1562,0))</f>
        <v>30</v>
      </c>
    </row>
    <row r="564" spans="1:8" x14ac:dyDescent="0.3">
      <c r="A564" s="4" t="s">
        <v>55</v>
      </c>
      <c r="B564" s="4" t="str">
        <f>VLOOKUP(A564,Cleandata!G564:H1563,2,FALSE)</f>
        <v>Accessories</v>
      </c>
      <c r="G564" t="s">
        <v>69</v>
      </c>
      <c r="H564">
        <f>INDEX(Cleandata!D564:D1563,MATCH(G564,G564:G1563,0))</f>
        <v>30</v>
      </c>
    </row>
    <row r="565" spans="1:8" x14ac:dyDescent="0.3">
      <c r="A565" s="4" t="s">
        <v>44</v>
      </c>
      <c r="B565" s="4" t="str">
        <f>VLOOKUP(A565,Cleandata!G565:H1564,2,FALSE)</f>
        <v>Accessories</v>
      </c>
      <c r="G565" t="s">
        <v>64</v>
      </c>
      <c r="H565">
        <f>INDEX(Cleandata!D565:D1564,MATCH(G565,G565:G1564,0))</f>
        <v>30</v>
      </c>
    </row>
    <row r="566" spans="1:8" x14ac:dyDescent="0.3">
      <c r="A566" s="4" t="s">
        <v>44</v>
      </c>
      <c r="B566" s="4" t="str">
        <f>VLOOKUP(A566,Cleandata!G566:H1565,2,FALSE)</f>
        <v>Accessories</v>
      </c>
      <c r="G566" t="s">
        <v>25</v>
      </c>
      <c r="H566">
        <f>INDEX(Cleandata!D566:D1565,MATCH(G566,G566:G1565,0))</f>
        <v>45</v>
      </c>
    </row>
    <row r="567" spans="1:8" x14ac:dyDescent="0.3">
      <c r="A567" s="4" t="s">
        <v>12</v>
      </c>
      <c r="B567" s="4" t="str">
        <f>VLOOKUP(A567,Cleandata!G567:H1566,2,FALSE)</f>
        <v>Electronics</v>
      </c>
      <c r="G567" t="s">
        <v>21</v>
      </c>
      <c r="H567">
        <f>INDEX(Cleandata!D567:D1566,MATCH(G567,G567:G1566,0))</f>
        <v>30</v>
      </c>
    </row>
    <row r="568" spans="1:8" x14ac:dyDescent="0.3">
      <c r="A568" s="4" t="s">
        <v>27</v>
      </c>
      <c r="B568" s="4" t="str">
        <f>VLOOKUP(A568,Cleandata!G568:H1567,2,FALSE)</f>
        <v>Electronics</v>
      </c>
      <c r="G568" t="s">
        <v>35</v>
      </c>
      <c r="H568">
        <f>INDEX(Cleandata!D568:D1567,MATCH(G568,G568:G1567,0))</f>
        <v>30</v>
      </c>
    </row>
    <row r="569" spans="1:8" x14ac:dyDescent="0.3">
      <c r="A569" s="4" t="s">
        <v>18</v>
      </c>
      <c r="B569" s="4" t="str">
        <f>VLOOKUP(A569,Cleandata!G569:H1568,2,FALSE)</f>
        <v>Clothing</v>
      </c>
      <c r="G569" t="s">
        <v>25</v>
      </c>
      <c r="H569">
        <f>INDEX(Cleandata!D569:D1568,MATCH(G569,G569:G1568,0))</f>
        <v>30</v>
      </c>
    </row>
    <row r="570" spans="1:8" x14ac:dyDescent="0.3">
      <c r="A570" s="4" t="s">
        <v>23</v>
      </c>
      <c r="B570" s="4" t="str">
        <f>VLOOKUP(A570,Cleandata!G570:H1569,2,FALSE)</f>
        <v>Clothing</v>
      </c>
      <c r="G570" t="s">
        <v>16</v>
      </c>
      <c r="H570">
        <f>INDEX(Cleandata!D570:D1569,MATCH(G570,G570:G1569,0))</f>
        <v>45</v>
      </c>
    </row>
    <row r="571" spans="1:8" x14ac:dyDescent="0.3">
      <c r="A571" s="4" t="s">
        <v>55</v>
      </c>
      <c r="B571" s="4" t="str">
        <f>VLOOKUP(A571,Cleandata!G571:H1570,2,FALSE)</f>
        <v>Accessories</v>
      </c>
      <c r="G571" t="s">
        <v>59</v>
      </c>
      <c r="H571">
        <f>INDEX(Cleandata!D571:D1570,MATCH(G571,G571:G1570,0))</f>
        <v>31</v>
      </c>
    </row>
    <row r="572" spans="1:8" x14ac:dyDescent="0.3">
      <c r="A572" s="4" t="s">
        <v>55</v>
      </c>
      <c r="B572" s="4" t="str">
        <f>VLOOKUP(A572,Cleandata!G572:H1571,2,FALSE)</f>
        <v>Accessories</v>
      </c>
      <c r="G572" t="s">
        <v>16</v>
      </c>
      <c r="H572">
        <f>INDEX(Cleandata!D572:D1571,MATCH(G572,G572:G1571,0))</f>
        <v>35</v>
      </c>
    </row>
    <row r="573" spans="1:8" x14ac:dyDescent="0.3">
      <c r="A573" s="4" t="s">
        <v>27</v>
      </c>
      <c r="B573" s="4" t="str">
        <f>VLOOKUP(A573,Cleandata!G573:H1572,2,FALSE)</f>
        <v>Electronics</v>
      </c>
      <c r="G573" t="s">
        <v>68</v>
      </c>
      <c r="H573">
        <f>INDEX(Cleandata!D573:D1572,MATCH(G573,G573:G1572,0))</f>
        <v>27</v>
      </c>
    </row>
    <row r="574" spans="1:8" x14ac:dyDescent="0.3">
      <c r="A574" s="4" t="s">
        <v>44</v>
      </c>
      <c r="B574" s="4" t="str">
        <f>VLOOKUP(A574,Cleandata!G574:H1573,2,FALSE)</f>
        <v>Accessories</v>
      </c>
      <c r="G574" t="s">
        <v>62</v>
      </c>
      <c r="H574">
        <f>INDEX(Cleandata!D574:D1573,MATCH(G574,G574:G1573,0))</f>
        <v>46</v>
      </c>
    </row>
    <row r="575" spans="1:8" x14ac:dyDescent="0.3">
      <c r="A575" s="4" t="s">
        <v>23</v>
      </c>
      <c r="B575" s="4" t="str">
        <f>VLOOKUP(A575,Cleandata!G575:H1574,2,FALSE)</f>
        <v>Clothing</v>
      </c>
      <c r="G575" t="s">
        <v>21</v>
      </c>
      <c r="H575">
        <f>INDEX(Cleandata!D575:D1574,MATCH(G575,G575:G1574,0))</f>
        <v>29</v>
      </c>
    </row>
    <row r="576" spans="1:8" x14ac:dyDescent="0.3">
      <c r="A576" s="4" t="s">
        <v>44</v>
      </c>
      <c r="B576" s="4" t="str">
        <f>VLOOKUP(A576,Cleandata!G576:H1575,2,FALSE)</f>
        <v>Accessories</v>
      </c>
      <c r="G576" t="s">
        <v>48</v>
      </c>
      <c r="H576">
        <f>INDEX(Cleandata!D576:D1575,MATCH(G576,G576:G1575,0))</f>
        <v>21</v>
      </c>
    </row>
    <row r="577" spans="1:8" x14ac:dyDescent="0.3">
      <c r="A577" s="4" t="s">
        <v>51</v>
      </c>
      <c r="B577" s="4" t="str">
        <f>VLOOKUP(A577,Cleandata!G577:H1576,2,FALSE)</f>
        <v>Electronics</v>
      </c>
      <c r="G577" t="s">
        <v>21</v>
      </c>
      <c r="H577">
        <f>INDEX(Cleandata!D577:D1576,MATCH(G577,G577:G1576,0))</f>
        <v>47</v>
      </c>
    </row>
    <row r="578" spans="1:8" x14ac:dyDescent="0.3">
      <c r="A578" s="4" t="s">
        <v>44</v>
      </c>
      <c r="B578" s="4" t="str">
        <f>VLOOKUP(A578,Cleandata!G578:H1577,2,FALSE)</f>
        <v>Accessories</v>
      </c>
      <c r="G578" t="s">
        <v>73</v>
      </c>
      <c r="H578">
        <f>INDEX(Cleandata!D578:D1577,MATCH(G578,G578:G1577,0))</f>
        <v>35</v>
      </c>
    </row>
    <row r="579" spans="1:8" x14ac:dyDescent="0.3">
      <c r="A579" s="4" t="s">
        <v>41</v>
      </c>
      <c r="B579" s="4" t="str">
        <f>VLOOKUP(A579,Cleandata!G579:H1578,2,FALSE)</f>
        <v>Accessories</v>
      </c>
      <c r="G579" t="s">
        <v>25</v>
      </c>
      <c r="H579">
        <f>INDEX(Cleandata!D579:D1578,MATCH(G579,G579:G1578,0))</f>
        <v>41</v>
      </c>
    </row>
    <row r="580" spans="1:8" x14ac:dyDescent="0.3">
      <c r="A580" s="4" t="s">
        <v>18</v>
      </c>
      <c r="B580" s="4" t="str">
        <f>VLOOKUP(A580,Cleandata!G580:H1579,2,FALSE)</f>
        <v>Clothing</v>
      </c>
      <c r="G580" t="s">
        <v>21</v>
      </c>
      <c r="H580">
        <f>INDEX(Cleandata!D580:D1579,MATCH(G580,G580:G1579,0))</f>
        <v>25</v>
      </c>
    </row>
    <row r="581" spans="1:8" x14ac:dyDescent="0.3">
      <c r="A581" s="4" t="s">
        <v>27</v>
      </c>
      <c r="B581" s="4" t="str">
        <f>VLOOKUP(A581,Cleandata!G581:H1580,2,FALSE)</f>
        <v>Electronics</v>
      </c>
      <c r="G581" t="s">
        <v>78</v>
      </c>
      <c r="H581">
        <f>INDEX(Cleandata!D581:D1580,MATCH(G581,G581:G1580,0))</f>
        <v>28</v>
      </c>
    </row>
    <row r="582" spans="1:8" x14ac:dyDescent="0.3">
      <c r="A582" s="4" t="s">
        <v>41</v>
      </c>
      <c r="B582" s="4" t="str">
        <f>VLOOKUP(A582,Cleandata!G582:H1581,2,FALSE)</f>
        <v>Accessories</v>
      </c>
      <c r="G582" t="s">
        <v>48</v>
      </c>
      <c r="H582">
        <f>INDEX(Cleandata!D582:D1581,MATCH(G582,G582:G1581,0))</f>
        <v>30</v>
      </c>
    </row>
    <row r="583" spans="1:8" x14ac:dyDescent="0.3">
      <c r="A583" s="4" t="s">
        <v>12</v>
      </c>
      <c r="B583" s="4" t="str">
        <f>VLOOKUP(A583,Cleandata!G583:H1582,2,FALSE)</f>
        <v>Electronics</v>
      </c>
      <c r="G583" t="s">
        <v>64</v>
      </c>
      <c r="H583">
        <f>INDEX(Cleandata!D583:D1582,MATCH(G583,G583:G1582,0))</f>
        <v>39</v>
      </c>
    </row>
    <row r="584" spans="1:8" x14ac:dyDescent="0.3">
      <c r="A584" s="4" t="s">
        <v>55</v>
      </c>
      <c r="B584" s="4" t="str">
        <f>VLOOKUP(A584,Cleandata!G584:H1583,2,FALSE)</f>
        <v>Accessories</v>
      </c>
      <c r="G584" t="s">
        <v>69</v>
      </c>
      <c r="H584">
        <f>INDEX(Cleandata!D584:D1583,MATCH(G584,G584:G1583,0))</f>
        <v>27</v>
      </c>
    </row>
    <row r="585" spans="1:8" x14ac:dyDescent="0.3">
      <c r="A585" s="4" t="s">
        <v>27</v>
      </c>
      <c r="B585" s="4" t="str">
        <f>VLOOKUP(A585,Cleandata!G585:H1584,2,FALSE)</f>
        <v>Electronics</v>
      </c>
      <c r="G585" t="s">
        <v>78</v>
      </c>
      <c r="H585">
        <f>INDEX(Cleandata!D585:D1584,MATCH(G585,G585:G1584,0))</f>
        <v>30</v>
      </c>
    </row>
    <row r="586" spans="1:8" x14ac:dyDescent="0.3">
      <c r="A586" s="4" t="s">
        <v>27</v>
      </c>
      <c r="B586" s="4" t="str">
        <f>VLOOKUP(A586,Cleandata!G586:H1585,2,FALSE)</f>
        <v>Electronics</v>
      </c>
      <c r="G586" t="s">
        <v>78</v>
      </c>
      <c r="H586">
        <f>INDEX(Cleandata!D586:D1585,MATCH(G586,G586:G1585,0))</f>
        <v>30</v>
      </c>
    </row>
    <row r="587" spans="1:8" x14ac:dyDescent="0.3">
      <c r="A587" s="4" t="s">
        <v>41</v>
      </c>
      <c r="B587" s="4" t="str">
        <f>VLOOKUP(A587,Cleandata!G587:H1586,2,FALSE)</f>
        <v>Accessories</v>
      </c>
      <c r="G587" t="s">
        <v>68</v>
      </c>
      <c r="H587">
        <f>INDEX(Cleandata!D587:D1586,MATCH(G587,G587:G1586,0))</f>
        <v>30</v>
      </c>
    </row>
    <row r="588" spans="1:8" x14ac:dyDescent="0.3">
      <c r="A588" s="4" t="s">
        <v>44</v>
      </c>
      <c r="B588" s="4" t="str">
        <f>VLOOKUP(A588,Cleandata!G588:H1587,2,FALSE)</f>
        <v>Accessories</v>
      </c>
      <c r="G588" t="s">
        <v>10</v>
      </c>
      <c r="H588">
        <f>INDEX(Cleandata!D588:D1587,MATCH(G588,G588:G1587,0))</f>
        <v>42</v>
      </c>
    </row>
    <row r="589" spans="1:8" x14ac:dyDescent="0.3">
      <c r="A589" s="4" t="s">
        <v>41</v>
      </c>
      <c r="B589" s="4" t="str">
        <f>VLOOKUP(A589,Cleandata!G589:H1588,2,FALSE)</f>
        <v>Accessories</v>
      </c>
      <c r="G589" t="s">
        <v>25</v>
      </c>
      <c r="H589">
        <f>INDEX(Cleandata!D589:D1588,MATCH(G589,G589:G1588,0))</f>
        <v>22</v>
      </c>
    </row>
    <row r="590" spans="1:8" x14ac:dyDescent="0.3">
      <c r="A590" s="4" t="s">
        <v>23</v>
      </c>
      <c r="B590" s="4" t="str">
        <f>VLOOKUP(A590,Cleandata!G590:H1589,2,FALSE)</f>
        <v>Clothing</v>
      </c>
      <c r="G590" t="s">
        <v>57</v>
      </c>
      <c r="H590">
        <f>INDEX(Cleandata!D590:D1589,MATCH(G590,G590:G1589,0))</f>
        <v>42</v>
      </c>
    </row>
    <row r="591" spans="1:8" x14ac:dyDescent="0.3">
      <c r="A591" s="4" t="s">
        <v>41</v>
      </c>
      <c r="B591" s="4" t="str">
        <f>VLOOKUP(A591,Cleandata!G591:H1590,2,FALSE)</f>
        <v>Accessories</v>
      </c>
      <c r="G591" t="s">
        <v>59</v>
      </c>
      <c r="H591">
        <f>INDEX(Cleandata!D591:D1590,MATCH(G591,G591:G1590,0))</f>
        <v>24</v>
      </c>
    </row>
    <row r="592" spans="1:8" x14ac:dyDescent="0.3">
      <c r="A592" s="4" t="s">
        <v>27</v>
      </c>
      <c r="B592" s="4" t="str">
        <f>VLOOKUP(A592,Cleandata!G592:H1591,2,FALSE)</f>
        <v>Electronics</v>
      </c>
      <c r="G592" t="s">
        <v>38</v>
      </c>
      <c r="H592">
        <f>INDEX(Cleandata!D592:D1591,MATCH(G592,G592:G1591,0))</f>
        <v>30</v>
      </c>
    </row>
    <row r="593" spans="1:8" x14ac:dyDescent="0.3">
      <c r="A593" s="4" t="s">
        <v>44</v>
      </c>
      <c r="B593" s="4" t="str">
        <f>VLOOKUP(A593,Cleandata!G593:H1592,2,FALSE)</f>
        <v>Accessories</v>
      </c>
      <c r="G593" t="s">
        <v>38</v>
      </c>
      <c r="H593">
        <f>INDEX(Cleandata!D593:D1592,MATCH(G593,G593:G1592,0))</f>
        <v>44</v>
      </c>
    </row>
    <row r="594" spans="1:8" x14ac:dyDescent="0.3">
      <c r="A594" s="4" t="s">
        <v>55</v>
      </c>
      <c r="B594" s="4" t="str">
        <f>VLOOKUP(A594,Cleandata!G594:H1593,2,FALSE)</f>
        <v>Accessories</v>
      </c>
      <c r="G594" t="s">
        <v>38</v>
      </c>
      <c r="H594">
        <f>INDEX(Cleandata!D594:D1593,MATCH(G594,G594:G1593,0))</f>
        <v>35</v>
      </c>
    </row>
    <row r="595" spans="1:8" x14ac:dyDescent="0.3">
      <c r="A595" s="4" t="s">
        <v>44</v>
      </c>
      <c r="B595" s="4" t="str">
        <f>VLOOKUP(A595,Cleandata!G595:H1594,2,FALSE)</f>
        <v>Accessories</v>
      </c>
      <c r="G595" t="s">
        <v>68</v>
      </c>
      <c r="H595">
        <f>INDEX(Cleandata!D595:D1594,MATCH(G595,G595:G1594,0))</f>
        <v>46</v>
      </c>
    </row>
    <row r="596" spans="1:8" x14ac:dyDescent="0.3">
      <c r="A596" s="4" t="s">
        <v>23</v>
      </c>
      <c r="B596" s="4" t="str">
        <f>VLOOKUP(A596,Cleandata!G596:H1595,2,FALSE)</f>
        <v>Clothing</v>
      </c>
      <c r="G596" t="s">
        <v>35</v>
      </c>
      <c r="H596">
        <f>INDEX(Cleandata!D596:D1595,MATCH(G596,G596:G1595,0))</f>
        <v>30</v>
      </c>
    </row>
    <row r="597" spans="1:8" x14ac:dyDescent="0.3">
      <c r="A597" s="4" t="s">
        <v>12</v>
      </c>
      <c r="B597" s="4" t="str">
        <f>VLOOKUP(A597,Cleandata!G597:H1596,2,FALSE)</f>
        <v>Electronics</v>
      </c>
      <c r="G597" t="s">
        <v>68</v>
      </c>
      <c r="H597">
        <f>INDEX(Cleandata!D597:D1596,MATCH(G597,G597:G1596,0))</f>
        <v>46</v>
      </c>
    </row>
    <row r="598" spans="1:8" x14ac:dyDescent="0.3">
      <c r="A598" s="4" t="s">
        <v>27</v>
      </c>
      <c r="B598" s="4" t="str">
        <f>VLOOKUP(A598,Cleandata!G598:H1597,2,FALSE)</f>
        <v>Electronics</v>
      </c>
      <c r="G598" t="s">
        <v>10</v>
      </c>
      <c r="H598">
        <f>INDEX(Cleandata!D598:D1597,MATCH(G598,G598:G1597,0))</f>
        <v>30</v>
      </c>
    </row>
    <row r="599" spans="1:8" x14ac:dyDescent="0.3">
      <c r="A599" s="4" t="s">
        <v>27</v>
      </c>
      <c r="B599" s="4" t="str">
        <f>VLOOKUP(A599,Cleandata!G599:H1598,2,FALSE)</f>
        <v>Electronics</v>
      </c>
      <c r="G599" t="s">
        <v>35</v>
      </c>
      <c r="H599">
        <f>INDEX(Cleandata!D599:D1598,MATCH(G599,G599:G1598,0))</f>
        <v>30</v>
      </c>
    </row>
    <row r="600" spans="1:8" x14ac:dyDescent="0.3">
      <c r="A600" s="4" t="s">
        <v>18</v>
      </c>
      <c r="B600" s="4" t="str">
        <f>VLOOKUP(A600,Cleandata!G600:H1599,2,FALSE)</f>
        <v>Clothing</v>
      </c>
      <c r="G600" t="s">
        <v>35</v>
      </c>
      <c r="H600">
        <f>INDEX(Cleandata!D600:D1599,MATCH(G600,G600:G1599,0))</f>
        <v>34</v>
      </c>
    </row>
    <row r="601" spans="1:8" x14ac:dyDescent="0.3">
      <c r="A601" s="4" t="s">
        <v>27</v>
      </c>
      <c r="B601" s="4" t="str">
        <f>VLOOKUP(A601,Cleandata!G601:H1600,2,FALSE)</f>
        <v>Electronics</v>
      </c>
      <c r="G601" t="s">
        <v>73</v>
      </c>
      <c r="H601">
        <f>INDEX(Cleandata!D601:D1600,MATCH(G601,G601:G1600,0))</f>
        <v>35</v>
      </c>
    </row>
    <row r="602" spans="1:8" x14ac:dyDescent="0.3">
      <c r="A602" s="4" t="s">
        <v>27</v>
      </c>
      <c r="B602" s="4" t="str">
        <f>VLOOKUP(A602,Cleandata!G602:H1601,2,FALSE)</f>
        <v>Electronics</v>
      </c>
      <c r="G602" t="s">
        <v>16</v>
      </c>
      <c r="H602">
        <f>INDEX(Cleandata!D602:D1601,MATCH(G602,G602:G1601,0))</f>
        <v>30</v>
      </c>
    </row>
    <row r="603" spans="1:8" x14ac:dyDescent="0.3">
      <c r="A603" s="4" t="s">
        <v>23</v>
      </c>
      <c r="B603" s="4" t="str">
        <f>VLOOKUP(A603,Cleandata!G603:H1602,2,FALSE)</f>
        <v>Clothing</v>
      </c>
      <c r="G603" t="s">
        <v>68</v>
      </c>
      <c r="H603">
        <f>INDEX(Cleandata!D603:D1602,MATCH(G603,G603:G1602,0))</f>
        <v>22</v>
      </c>
    </row>
    <row r="604" spans="1:8" x14ac:dyDescent="0.3">
      <c r="A604" s="4" t="s">
        <v>55</v>
      </c>
      <c r="B604" s="4" t="str">
        <f>VLOOKUP(A604,Cleandata!G604:H1603,2,FALSE)</f>
        <v>Accessories</v>
      </c>
      <c r="G604" t="s">
        <v>25</v>
      </c>
      <c r="H604">
        <f>INDEX(Cleandata!D604:D1603,MATCH(G604,G604:G1603,0))</f>
        <v>30</v>
      </c>
    </row>
    <row r="605" spans="1:8" x14ac:dyDescent="0.3">
      <c r="A605" s="4" t="s">
        <v>44</v>
      </c>
      <c r="B605" s="4" t="str">
        <f>VLOOKUP(A605,Cleandata!G605:H1604,2,FALSE)</f>
        <v>Accessories</v>
      </c>
      <c r="G605" t="s">
        <v>57</v>
      </c>
      <c r="H605">
        <f>INDEX(Cleandata!D605:D1604,MATCH(G605,G605:G1604,0))</f>
        <v>42</v>
      </c>
    </row>
    <row r="606" spans="1:8" x14ac:dyDescent="0.3">
      <c r="A606" s="4" t="s">
        <v>55</v>
      </c>
      <c r="B606" s="4" t="str">
        <f>VLOOKUP(A606,Cleandata!G606:H1605,2,FALSE)</f>
        <v>Accessories</v>
      </c>
      <c r="G606" t="s">
        <v>64</v>
      </c>
      <c r="H606">
        <f>INDEX(Cleandata!D606:D1605,MATCH(G606,G606:G1605,0))</f>
        <v>45</v>
      </c>
    </row>
    <row r="607" spans="1:8" x14ac:dyDescent="0.3">
      <c r="A607" s="4" t="s">
        <v>51</v>
      </c>
      <c r="B607" s="4" t="str">
        <f>VLOOKUP(A607,Cleandata!G607:H1606,2,FALSE)</f>
        <v>Electronics</v>
      </c>
      <c r="G607" t="s">
        <v>25</v>
      </c>
      <c r="H607">
        <f>INDEX(Cleandata!D607:D1606,MATCH(G607,G607:G1606,0))</f>
        <v>32</v>
      </c>
    </row>
    <row r="608" spans="1:8" x14ac:dyDescent="0.3">
      <c r="A608" s="4" t="s">
        <v>55</v>
      </c>
      <c r="B608" s="4" t="str">
        <f>VLOOKUP(A608,Cleandata!G608:H1607,2,FALSE)</f>
        <v>Accessories</v>
      </c>
      <c r="G608" t="s">
        <v>25</v>
      </c>
      <c r="H608">
        <f>INDEX(Cleandata!D608:D1607,MATCH(G608,G608:G1607,0))</f>
        <v>32</v>
      </c>
    </row>
    <row r="609" spans="1:8" x14ac:dyDescent="0.3">
      <c r="A609" s="4" t="s">
        <v>44</v>
      </c>
      <c r="B609" s="4" t="str">
        <f>VLOOKUP(A609,Cleandata!G609:H1608,2,FALSE)</f>
        <v>Accessories</v>
      </c>
      <c r="G609" t="s">
        <v>21</v>
      </c>
      <c r="H609">
        <f>INDEX(Cleandata!D609:D1608,MATCH(G609,G609:G1608,0))</f>
        <v>30</v>
      </c>
    </row>
    <row r="610" spans="1:8" x14ac:dyDescent="0.3">
      <c r="A610" s="4" t="s">
        <v>41</v>
      </c>
      <c r="B610" s="4" t="str">
        <f>VLOOKUP(A610,Cleandata!G610:H1609,2,FALSE)</f>
        <v>Accessories</v>
      </c>
      <c r="G610" t="s">
        <v>48</v>
      </c>
      <c r="H610">
        <f>INDEX(Cleandata!D610:D1609,MATCH(G610,G610:G1609,0))</f>
        <v>30</v>
      </c>
    </row>
    <row r="611" spans="1:8" x14ac:dyDescent="0.3">
      <c r="A611" s="4" t="s">
        <v>51</v>
      </c>
      <c r="B611" s="4" t="str">
        <f>VLOOKUP(A611,Cleandata!G611:H1610,2,FALSE)</f>
        <v>Electronics</v>
      </c>
      <c r="G611" t="s">
        <v>46</v>
      </c>
      <c r="H611">
        <f>INDEX(Cleandata!D611:D1610,MATCH(G611,G611:G1610,0))</f>
        <v>30</v>
      </c>
    </row>
    <row r="612" spans="1:8" x14ac:dyDescent="0.3">
      <c r="A612" s="4" t="s">
        <v>55</v>
      </c>
      <c r="B612" s="4" t="str">
        <f>VLOOKUP(A612,Cleandata!G612:H1611,2,FALSE)</f>
        <v>Accessories</v>
      </c>
      <c r="G612" t="s">
        <v>35</v>
      </c>
      <c r="H612">
        <f>INDEX(Cleandata!D612:D1611,MATCH(G612,G612:G1611,0))</f>
        <v>30</v>
      </c>
    </row>
    <row r="613" spans="1:8" x14ac:dyDescent="0.3">
      <c r="A613" s="4" t="s">
        <v>55</v>
      </c>
      <c r="B613" s="4" t="str">
        <f>VLOOKUP(A613,Cleandata!G613:H1612,2,FALSE)</f>
        <v>Accessories</v>
      </c>
      <c r="G613" t="s">
        <v>25</v>
      </c>
      <c r="H613">
        <f>INDEX(Cleandata!D613:D1612,MATCH(G613,G613:G1612,0))</f>
        <v>42</v>
      </c>
    </row>
    <row r="614" spans="1:8" x14ac:dyDescent="0.3">
      <c r="A614" s="4" t="s">
        <v>41</v>
      </c>
      <c r="B614" s="4" t="str">
        <f>VLOOKUP(A614,Cleandata!G614:H1613,2,FALSE)</f>
        <v>Accessories</v>
      </c>
      <c r="G614" t="s">
        <v>78</v>
      </c>
      <c r="H614">
        <f>INDEX(Cleandata!D614:D1613,MATCH(G614,G614:G1613,0))</f>
        <v>30</v>
      </c>
    </row>
    <row r="615" spans="1:8" x14ac:dyDescent="0.3">
      <c r="A615" s="4" t="s">
        <v>27</v>
      </c>
      <c r="B615" s="4" t="str">
        <f>VLOOKUP(A615,Cleandata!G615:H1614,2,FALSE)</f>
        <v>Electronics</v>
      </c>
      <c r="G615" t="s">
        <v>57</v>
      </c>
      <c r="H615">
        <f>INDEX(Cleandata!D615:D1614,MATCH(G615,G615:G1614,0))</f>
        <v>30</v>
      </c>
    </row>
    <row r="616" spans="1:8" x14ac:dyDescent="0.3">
      <c r="A616" s="4" t="s">
        <v>41</v>
      </c>
      <c r="B616" s="4" t="str">
        <f>VLOOKUP(A616,Cleandata!G616:H1615,2,FALSE)</f>
        <v>Accessories</v>
      </c>
      <c r="G616" t="s">
        <v>10</v>
      </c>
      <c r="H616">
        <f>INDEX(Cleandata!D616:D1615,MATCH(G616,G616:G1615,0))</f>
        <v>19</v>
      </c>
    </row>
    <row r="617" spans="1:8" x14ac:dyDescent="0.3">
      <c r="A617" s="4" t="s">
        <v>55</v>
      </c>
      <c r="B617" s="4" t="str">
        <f>VLOOKUP(A617,Cleandata!G617:H1616,2,FALSE)</f>
        <v>Accessories</v>
      </c>
      <c r="G617" t="s">
        <v>78</v>
      </c>
      <c r="H617">
        <f>INDEX(Cleandata!D617:D1616,MATCH(G617,G617:G1616,0))</f>
        <v>30</v>
      </c>
    </row>
    <row r="618" spans="1:8" x14ac:dyDescent="0.3">
      <c r="A618" s="4" t="s">
        <v>41</v>
      </c>
      <c r="B618" s="4" t="str">
        <f>VLOOKUP(A618,Cleandata!G618:H1617,2,FALSE)</f>
        <v>Accessories</v>
      </c>
      <c r="G618" t="s">
        <v>38</v>
      </c>
      <c r="H618">
        <f>INDEX(Cleandata!D618:D1617,MATCH(G618,G618:G1617,0))</f>
        <v>50</v>
      </c>
    </row>
    <row r="619" spans="1:8" x14ac:dyDescent="0.3">
      <c r="A619" s="4" t="s">
        <v>18</v>
      </c>
      <c r="B619" s="4" t="str">
        <f>VLOOKUP(A619,Cleandata!G619:H1618,2,FALSE)</f>
        <v>Clothing</v>
      </c>
      <c r="G619" t="s">
        <v>21</v>
      </c>
      <c r="H619">
        <f>INDEX(Cleandata!D619:D1618,MATCH(G619,G619:G1618,0))</f>
        <v>36</v>
      </c>
    </row>
    <row r="620" spans="1:8" x14ac:dyDescent="0.3">
      <c r="A620" s="4" t="s">
        <v>12</v>
      </c>
      <c r="B620" s="4" t="str">
        <f>VLOOKUP(A620,Cleandata!G620:H1619,2,FALSE)</f>
        <v>Electronics</v>
      </c>
      <c r="G620" t="s">
        <v>68</v>
      </c>
      <c r="H620">
        <f>INDEX(Cleandata!D620:D1619,MATCH(G620,G620:G1619,0))</f>
        <v>21</v>
      </c>
    </row>
    <row r="621" spans="1:8" x14ac:dyDescent="0.3">
      <c r="A621" s="4" t="s">
        <v>23</v>
      </c>
      <c r="B621" s="4" t="str">
        <f>VLOOKUP(A621,Cleandata!G621:H1620,2,FALSE)</f>
        <v>Clothing</v>
      </c>
      <c r="G621" t="s">
        <v>78</v>
      </c>
      <c r="H621">
        <f>INDEX(Cleandata!D621:D1620,MATCH(G621,G621:G1620,0))</f>
        <v>29</v>
      </c>
    </row>
    <row r="622" spans="1:8" x14ac:dyDescent="0.3">
      <c r="A622" s="4" t="s">
        <v>27</v>
      </c>
      <c r="B622" s="4" t="str">
        <f>VLOOKUP(A622,Cleandata!G622:H1621,2,FALSE)</f>
        <v>Electronics</v>
      </c>
      <c r="G622" t="s">
        <v>25</v>
      </c>
      <c r="H622">
        <f>INDEX(Cleandata!D622:D1621,MATCH(G622,G622:G1621,0))</f>
        <v>48</v>
      </c>
    </row>
    <row r="623" spans="1:8" x14ac:dyDescent="0.3">
      <c r="A623" s="4" t="s">
        <v>44</v>
      </c>
      <c r="B623" s="4" t="str">
        <f>VLOOKUP(A623,Cleandata!G623:H1622,2,FALSE)</f>
        <v>Accessories</v>
      </c>
      <c r="G623" t="s">
        <v>59</v>
      </c>
      <c r="H623">
        <f>INDEX(Cleandata!D623:D1622,MATCH(G623,G623:G1622,0))</f>
        <v>47</v>
      </c>
    </row>
    <row r="624" spans="1:8" x14ac:dyDescent="0.3">
      <c r="A624" s="4" t="s">
        <v>55</v>
      </c>
      <c r="B624" s="4" t="str">
        <f>VLOOKUP(A624,Cleandata!G624:H1623,2,FALSE)</f>
        <v>Accessories</v>
      </c>
      <c r="G624" t="s">
        <v>32</v>
      </c>
      <c r="H624">
        <f>INDEX(Cleandata!D624:D1623,MATCH(G624,G624:G1623,0))</f>
        <v>30</v>
      </c>
    </row>
    <row r="625" spans="1:8" x14ac:dyDescent="0.3">
      <c r="A625" s="4" t="s">
        <v>18</v>
      </c>
      <c r="B625" s="4" t="str">
        <f>VLOOKUP(A625,Cleandata!G625:H1624,2,FALSE)</f>
        <v>Clothing</v>
      </c>
      <c r="G625" t="s">
        <v>69</v>
      </c>
      <c r="H625">
        <f>INDEX(Cleandata!D625:D1624,MATCH(G625,G625:G1624,0))</f>
        <v>30</v>
      </c>
    </row>
    <row r="626" spans="1:8" x14ac:dyDescent="0.3">
      <c r="A626" s="4" t="s">
        <v>55</v>
      </c>
      <c r="B626" s="4" t="str">
        <f>VLOOKUP(A626,Cleandata!G626:H1625,2,FALSE)</f>
        <v>Accessories</v>
      </c>
      <c r="G626" t="s">
        <v>54</v>
      </c>
      <c r="H626">
        <f>INDEX(Cleandata!D626:D1625,MATCH(G626,G626:G1625,0))</f>
        <v>48</v>
      </c>
    </row>
    <row r="627" spans="1:8" x14ac:dyDescent="0.3">
      <c r="A627" s="4" t="s">
        <v>27</v>
      </c>
      <c r="B627" s="4" t="str">
        <f>VLOOKUP(A627,Cleandata!G627:H1626,2,FALSE)</f>
        <v>Electronics</v>
      </c>
      <c r="G627" t="s">
        <v>69</v>
      </c>
      <c r="H627">
        <f>INDEX(Cleandata!D627:D1626,MATCH(G627,G627:G1626,0))</f>
        <v>50</v>
      </c>
    </row>
    <row r="628" spans="1:8" x14ac:dyDescent="0.3">
      <c r="A628" s="4" t="s">
        <v>55</v>
      </c>
      <c r="B628" s="4" t="str">
        <f>VLOOKUP(A628,Cleandata!G628:H1627,2,FALSE)</f>
        <v>Accessories</v>
      </c>
      <c r="G628" t="s">
        <v>57</v>
      </c>
      <c r="H628">
        <f>INDEX(Cleandata!D628:D1627,MATCH(G628,G628:G1627,0))</f>
        <v>30</v>
      </c>
    </row>
    <row r="629" spans="1:8" x14ac:dyDescent="0.3">
      <c r="A629" s="4" t="s">
        <v>44</v>
      </c>
      <c r="B629" s="4" t="str">
        <f>VLOOKUP(A629,Cleandata!G629:H1628,2,FALSE)</f>
        <v>Accessories</v>
      </c>
      <c r="G629" t="s">
        <v>59</v>
      </c>
      <c r="H629">
        <f>INDEX(Cleandata!D629:D1628,MATCH(G629,G629:G1628,0))</f>
        <v>30</v>
      </c>
    </row>
    <row r="630" spans="1:8" x14ac:dyDescent="0.3">
      <c r="A630" s="4" t="s">
        <v>51</v>
      </c>
      <c r="B630" s="4" t="str">
        <f>VLOOKUP(A630,Cleandata!G630:H1629,2,FALSE)</f>
        <v>Electronics</v>
      </c>
      <c r="G630" t="s">
        <v>21</v>
      </c>
      <c r="H630">
        <f>INDEX(Cleandata!D630:D1629,MATCH(G630,G630:G1629,0))</f>
        <v>30</v>
      </c>
    </row>
    <row r="631" spans="1:8" x14ac:dyDescent="0.3">
      <c r="A631" s="4" t="s">
        <v>12</v>
      </c>
      <c r="B631" s="4" t="str">
        <f>VLOOKUP(A631,Cleandata!G631:H1630,2,FALSE)</f>
        <v>Electronics</v>
      </c>
      <c r="G631" t="s">
        <v>64</v>
      </c>
      <c r="H631">
        <f>INDEX(Cleandata!D631:D1630,MATCH(G631,G631:G1630,0))</f>
        <v>30</v>
      </c>
    </row>
    <row r="632" spans="1:8" x14ac:dyDescent="0.3">
      <c r="A632" s="4" t="s">
        <v>18</v>
      </c>
      <c r="B632" s="4" t="str">
        <f>VLOOKUP(A632,Cleandata!G632:H1631,2,FALSE)</f>
        <v>Clothing</v>
      </c>
      <c r="G632" t="s">
        <v>62</v>
      </c>
      <c r="H632">
        <f>INDEX(Cleandata!D632:D1631,MATCH(G632,G632:G1631,0))</f>
        <v>42</v>
      </c>
    </row>
    <row r="633" spans="1:8" x14ac:dyDescent="0.3">
      <c r="A633" s="4" t="s">
        <v>55</v>
      </c>
      <c r="B633" s="4" t="str">
        <f>VLOOKUP(A633,Cleandata!G633:H1632,2,FALSE)</f>
        <v>Accessories</v>
      </c>
      <c r="G633" t="s">
        <v>54</v>
      </c>
      <c r="H633">
        <f>INDEX(Cleandata!D633:D1632,MATCH(G633,G633:G1632,0))</f>
        <v>30</v>
      </c>
    </row>
    <row r="634" spans="1:8" x14ac:dyDescent="0.3">
      <c r="A634" s="4" t="s">
        <v>12</v>
      </c>
      <c r="B634" s="4" t="str">
        <f>VLOOKUP(A634,Cleandata!G634:H1633,2,FALSE)</f>
        <v>Electronics</v>
      </c>
      <c r="G634" t="s">
        <v>48</v>
      </c>
      <c r="H634">
        <f>INDEX(Cleandata!D634:D1633,MATCH(G634,G634:G1633,0))</f>
        <v>38</v>
      </c>
    </row>
    <row r="635" spans="1:8" x14ac:dyDescent="0.3">
      <c r="A635" s="4" t="s">
        <v>41</v>
      </c>
      <c r="B635" s="4" t="str">
        <f>VLOOKUP(A635,Cleandata!G635:H1634,2,FALSE)</f>
        <v>Accessories</v>
      </c>
      <c r="G635" t="s">
        <v>73</v>
      </c>
      <c r="H635">
        <f>INDEX(Cleandata!D635:D1634,MATCH(G635,G635:G1634,0))</f>
        <v>30</v>
      </c>
    </row>
    <row r="636" spans="1:8" x14ac:dyDescent="0.3">
      <c r="A636" s="4" t="s">
        <v>23</v>
      </c>
      <c r="B636" s="4" t="str">
        <f>VLOOKUP(A636,Cleandata!G636:H1635,2,FALSE)</f>
        <v>Clothing</v>
      </c>
      <c r="G636" t="s">
        <v>57</v>
      </c>
      <c r="H636">
        <f>INDEX(Cleandata!D636:D1635,MATCH(G636,G636:G1635,0))</f>
        <v>30</v>
      </c>
    </row>
    <row r="637" spans="1:8" x14ac:dyDescent="0.3">
      <c r="A637" s="4" t="s">
        <v>44</v>
      </c>
      <c r="B637" s="4" t="str">
        <f>VLOOKUP(A637,Cleandata!G637:H1636,2,FALSE)</f>
        <v>Accessories</v>
      </c>
      <c r="G637" t="s">
        <v>38</v>
      </c>
      <c r="H637">
        <f>INDEX(Cleandata!D637:D1636,MATCH(G637,G637:G1636,0))</f>
        <v>30</v>
      </c>
    </row>
    <row r="638" spans="1:8" x14ac:dyDescent="0.3">
      <c r="A638" s="4" t="s">
        <v>27</v>
      </c>
      <c r="B638" s="4" t="str">
        <f>VLOOKUP(A638,Cleandata!G638:H1637,2,FALSE)</f>
        <v>Electronics</v>
      </c>
      <c r="G638" t="s">
        <v>68</v>
      </c>
      <c r="H638">
        <f>INDEX(Cleandata!D638:D1637,MATCH(G638,G638:G1637,0))</f>
        <v>30</v>
      </c>
    </row>
    <row r="639" spans="1:8" x14ac:dyDescent="0.3">
      <c r="A639" s="4" t="s">
        <v>23</v>
      </c>
      <c r="B639" s="4" t="str">
        <f>VLOOKUP(A639,Cleandata!G639:H1638,2,FALSE)</f>
        <v>Clothing</v>
      </c>
      <c r="G639" t="s">
        <v>25</v>
      </c>
      <c r="H639">
        <f>INDEX(Cleandata!D639:D1638,MATCH(G639,G639:G1638,0))</f>
        <v>36</v>
      </c>
    </row>
    <row r="640" spans="1:8" x14ac:dyDescent="0.3">
      <c r="A640" s="4" t="s">
        <v>44</v>
      </c>
      <c r="B640" s="4" t="str">
        <f>VLOOKUP(A640,Cleandata!G640:H1639,2,FALSE)</f>
        <v>Accessories</v>
      </c>
      <c r="G640" t="s">
        <v>16</v>
      </c>
      <c r="H640">
        <f>INDEX(Cleandata!D640:D1639,MATCH(G640,G640:G1639,0))</f>
        <v>18</v>
      </c>
    </row>
    <row r="641" spans="1:8" x14ac:dyDescent="0.3">
      <c r="A641" s="4" t="s">
        <v>23</v>
      </c>
      <c r="B641" s="4" t="str">
        <f>VLOOKUP(A641,Cleandata!G641:H1640,2,FALSE)</f>
        <v>Clothing</v>
      </c>
      <c r="G641" t="s">
        <v>38</v>
      </c>
      <c r="H641">
        <f>INDEX(Cleandata!D641:D1640,MATCH(G641,G641:G1640,0))</f>
        <v>30</v>
      </c>
    </row>
    <row r="642" spans="1:8" x14ac:dyDescent="0.3">
      <c r="A642" s="4" t="s">
        <v>27</v>
      </c>
      <c r="B642" s="4" t="str">
        <f>VLOOKUP(A642,Cleandata!G642:H1641,2,FALSE)</f>
        <v>Electronics</v>
      </c>
      <c r="G642" t="s">
        <v>62</v>
      </c>
      <c r="H642">
        <f>INDEX(Cleandata!D642:D1641,MATCH(G642,G642:G1641,0))</f>
        <v>30</v>
      </c>
    </row>
    <row r="643" spans="1:8" x14ac:dyDescent="0.3">
      <c r="A643" s="4" t="s">
        <v>12</v>
      </c>
      <c r="B643" s="4" t="str">
        <f>VLOOKUP(A643,Cleandata!G643:H1642,2,FALSE)</f>
        <v>Electronics</v>
      </c>
      <c r="G643" t="s">
        <v>10</v>
      </c>
      <c r="H643">
        <f>INDEX(Cleandata!D643:D1642,MATCH(G643,G643:G1642,0))</f>
        <v>37</v>
      </c>
    </row>
    <row r="644" spans="1:8" x14ac:dyDescent="0.3">
      <c r="A644" s="4" t="s">
        <v>23</v>
      </c>
      <c r="B644" s="4" t="str">
        <f>VLOOKUP(A644,Cleandata!G644:H1643,2,FALSE)</f>
        <v>Clothing</v>
      </c>
      <c r="G644" t="s">
        <v>32</v>
      </c>
      <c r="H644">
        <f>INDEX(Cleandata!D644:D1643,MATCH(G644,G644:G1643,0))</f>
        <v>30</v>
      </c>
    </row>
    <row r="645" spans="1:8" x14ac:dyDescent="0.3">
      <c r="A645" s="4" t="s">
        <v>44</v>
      </c>
      <c r="B645" s="4" t="str">
        <f>VLOOKUP(A645,Cleandata!G645:H1644,2,FALSE)</f>
        <v>Accessories</v>
      </c>
      <c r="G645" t="s">
        <v>16</v>
      </c>
      <c r="H645">
        <f>INDEX(Cleandata!D645:D1644,MATCH(G645,G645:G1644,0))</f>
        <v>30</v>
      </c>
    </row>
    <row r="646" spans="1:8" x14ac:dyDescent="0.3">
      <c r="A646" s="4" t="s">
        <v>18</v>
      </c>
      <c r="B646" s="4" t="str">
        <f>VLOOKUP(A646,Cleandata!G646:H1645,2,FALSE)</f>
        <v>Clothing</v>
      </c>
      <c r="G646" t="s">
        <v>73</v>
      </c>
      <c r="H646">
        <f>INDEX(Cleandata!D646:D1645,MATCH(G646,G646:G1645,0))</f>
        <v>30</v>
      </c>
    </row>
    <row r="647" spans="1:8" x14ac:dyDescent="0.3">
      <c r="A647" s="4" t="s">
        <v>27</v>
      </c>
      <c r="B647" s="4" t="str">
        <f>VLOOKUP(A647,Cleandata!G647:H1646,2,FALSE)</f>
        <v>Electronics</v>
      </c>
      <c r="G647" t="s">
        <v>68</v>
      </c>
      <c r="H647">
        <f>INDEX(Cleandata!D647:D1646,MATCH(G647,G647:G1646,0))</f>
        <v>30</v>
      </c>
    </row>
    <row r="648" spans="1:8" x14ac:dyDescent="0.3">
      <c r="A648" s="4" t="s">
        <v>27</v>
      </c>
      <c r="B648" s="4" t="str">
        <f>VLOOKUP(A648,Cleandata!G648:H1647,2,FALSE)</f>
        <v>Electronics</v>
      </c>
      <c r="G648" t="s">
        <v>57</v>
      </c>
      <c r="H648">
        <f>INDEX(Cleandata!D648:D1647,MATCH(G648,G648:G1647,0))</f>
        <v>30</v>
      </c>
    </row>
    <row r="649" spans="1:8" x14ac:dyDescent="0.3">
      <c r="A649" s="4" t="s">
        <v>27</v>
      </c>
      <c r="B649" s="4" t="str">
        <f>VLOOKUP(A649,Cleandata!G649:H1648,2,FALSE)</f>
        <v>Electronics</v>
      </c>
      <c r="G649" t="s">
        <v>73</v>
      </c>
      <c r="H649">
        <f>INDEX(Cleandata!D649:D1648,MATCH(G649,G649:G1648,0))</f>
        <v>30</v>
      </c>
    </row>
    <row r="650" spans="1:8" x14ac:dyDescent="0.3">
      <c r="A650" s="4" t="s">
        <v>51</v>
      </c>
      <c r="B650" s="4" t="str">
        <f>VLOOKUP(A650,Cleandata!G650:H1649,2,FALSE)</f>
        <v>Electronics</v>
      </c>
      <c r="G650" t="s">
        <v>25</v>
      </c>
      <c r="H650">
        <f>INDEX(Cleandata!D650:D1649,MATCH(G650,G650:G1649,0))</f>
        <v>19</v>
      </c>
    </row>
    <row r="651" spans="1:8" x14ac:dyDescent="0.3">
      <c r="A651" s="4" t="s">
        <v>27</v>
      </c>
      <c r="B651" s="4" t="str">
        <f>VLOOKUP(A651,Cleandata!G651:H1650,2,FALSE)</f>
        <v>Electronics</v>
      </c>
      <c r="G651" t="s">
        <v>57</v>
      </c>
      <c r="H651">
        <f>INDEX(Cleandata!D651:D1650,MATCH(G651,G651:G1650,0))</f>
        <v>30</v>
      </c>
    </row>
    <row r="652" spans="1:8" x14ac:dyDescent="0.3">
      <c r="A652" s="4" t="s">
        <v>12</v>
      </c>
      <c r="B652" s="4" t="str">
        <f>VLOOKUP(A652,Cleandata!G652:H1651,2,FALSE)</f>
        <v>Electronics</v>
      </c>
      <c r="G652" t="s">
        <v>35</v>
      </c>
      <c r="H652">
        <f>INDEX(Cleandata!D652:D1651,MATCH(G652,G652:G1651,0))</f>
        <v>30</v>
      </c>
    </row>
    <row r="653" spans="1:8" x14ac:dyDescent="0.3">
      <c r="A653" s="4" t="s">
        <v>41</v>
      </c>
      <c r="B653" s="4" t="str">
        <f>VLOOKUP(A653,Cleandata!G653:H1652,2,FALSE)</f>
        <v>Accessories</v>
      </c>
      <c r="G653" t="s">
        <v>16</v>
      </c>
      <c r="H653">
        <f>INDEX(Cleandata!D653:D1652,MATCH(G653,G653:G1652,0))</f>
        <v>30</v>
      </c>
    </row>
    <row r="654" spans="1:8" x14ac:dyDescent="0.3">
      <c r="A654" s="4" t="s">
        <v>27</v>
      </c>
      <c r="B654" s="4" t="str">
        <f>VLOOKUP(A654,Cleandata!G654:H1653,2,FALSE)</f>
        <v>Electronics</v>
      </c>
      <c r="G654" t="s">
        <v>10</v>
      </c>
      <c r="H654">
        <f>INDEX(Cleandata!D654:D1653,MATCH(G654,G654:G1653,0))</f>
        <v>30</v>
      </c>
    </row>
    <row r="655" spans="1:8" x14ac:dyDescent="0.3">
      <c r="A655" s="4" t="s">
        <v>51</v>
      </c>
      <c r="B655" s="4" t="str">
        <f>VLOOKUP(A655,Cleandata!G655:H1654,2,FALSE)</f>
        <v>Electronics</v>
      </c>
      <c r="G655" t="s">
        <v>46</v>
      </c>
      <c r="H655">
        <f>INDEX(Cleandata!D655:D1654,MATCH(G655,G655:G1654,0))</f>
        <v>26</v>
      </c>
    </row>
    <row r="656" spans="1:8" x14ac:dyDescent="0.3">
      <c r="A656" s="4" t="s">
        <v>18</v>
      </c>
      <c r="B656" s="4" t="str">
        <f>VLOOKUP(A656,Cleandata!G656:H1655,2,FALSE)</f>
        <v>Clothing</v>
      </c>
      <c r="G656" t="s">
        <v>64</v>
      </c>
      <c r="H656">
        <f>INDEX(Cleandata!D656:D1655,MATCH(G656,G656:G1655,0))</f>
        <v>49</v>
      </c>
    </row>
    <row r="657" spans="1:8" x14ac:dyDescent="0.3">
      <c r="A657" s="4" t="s">
        <v>27</v>
      </c>
      <c r="B657" s="4" t="str">
        <f>VLOOKUP(A657,Cleandata!G657:H1656,2,FALSE)</f>
        <v>Electronics</v>
      </c>
      <c r="G657" t="s">
        <v>73</v>
      </c>
      <c r="H657">
        <f>INDEX(Cleandata!D657:D1656,MATCH(G657,G657:G1656,0))</f>
        <v>24</v>
      </c>
    </row>
    <row r="658" spans="1:8" x14ac:dyDescent="0.3">
      <c r="A658" s="4" t="s">
        <v>27</v>
      </c>
      <c r="B658" s="4" t="str">
        <f>VLOOKUP(A658,Cleandata!G658:H1657,2,FALSE)</f>
        <v>Electronics</v>
      </c>
      <c r="G658" t="s">
        <v>16</v>
      </c>
      <c r="H658">
        <f>INDEX(Cleandata!D658:D1657,MATCH(G658,G658:G1657,0))</f>
        <v>45</v>
      </c>
    </row>
    <row r="659" spans="1:8" x14ac:dyDescent="0.3">
      <c r="A659" s="4" t="s">
        <v>18</v>
      </c>
      <c r="B659" s="4" t="str">
        <f>VLOOKUP(A659,Cleandata!G659:H1658,2,FALSE)</f>
        <v>Clothing</v>
      </c>
      <c r="G659" t="s">
        <v>54</v>
      </c>
      <c r="H659">
        <f>INDEX(Cleandata!D659:D1658,MATCH(G659,G659:G1658,0))</f>
        <v>30</v>
      </c>
    </row>
    <row r="660" spans="1:8" x14ac:dyDescent="0.3">
      <c r="A660" s="4" t="s">
        <v>51</v>
      </c>
      <c r="B660" s="4" t="str">
        <f>VLOOKUP(A660,Cleandata!G660:H1659,2,FALSE)</f>
        <v>Electronics</v>
      </c>
      <c r="G660" t="s">
        <v>57</v>
      </c>
      <c r="H660">
        <f>INDEX(Cleandata!D660:D1659,MATCH(G660,G660:G1659,0))</f>
        <v>40</v>
      </c>
    </row>
    <row r="661" spans="1:8" x14ac:dyDescent="0.3">
      <c r="A661" s="4" t="s">
        <v>18</v>
      </c>
      <c r="B661" s="4" t="str">
        <f>VLOOKUP(A661,Cleandata!G661:H1660,2,FALSE)</f>
        <v>Clothing</v>
      </c>
      <c r="G661" t="s">
        <v>59</v>
      </c>
      <c r="H661">
        <f>INDEX(Cleandata!D661:D1660,MATCH(G661,G661:G1660,0))</f>
        <v>40</v>
      </c>
    </row>
    <row r="662" spans="1:8" x14ac:dyDescent="0.3">
      <c r="A662" s="4" t="s">
        <v>41</v>
      </c>
      <c r="B662" s="4" t="str">
        <f>VLOOKUP(A662,Cleandata!G662:H1661,2,FALSE)</f>
        <v>Accessories</v>
      </c>
      <c r="G662" t="s">
        <v>73</v>
      </c>
      <c r="H662">
        <f>INDEX(Cleandata!D662:D1661,MATCH(G662,G662:G1661,0))</f>
        <v>30</v>
      </c>
    </row>
    <row r="663" spans="1:8" x14ac:dyDescent="0.3">
      <c r="A663" s="4" t="s">
        <v>55</v>
      </c>
      <c r="B663" s="4" t="str">
        <f>VLOOKUP(A663,Cleandata!G663:H1662,2,FALSE)</f>
        <v>Accessories</v>
      </c>
      <c r="G663" t="s">
        <v>78</v>
      </c>
      <c r="H663">
        <f>INDEX(Cleandata!D663:D1662,MATCH(G663,G663:G1662,0))</f>
        <v>30</v>
      </c>
    </row>
    <row r="664" spans="1:8" x14ac:dyDescent="0.3">
      <c r="A664" s="4" t="s">
        <v>18</v>
      </c>
      <c r="B664" s="4" t="str">
        <f>VLOOKUP(A664,Cleandata!G664:H1663,2,FALSE)</f>
        <v>Clothing</v>
      </c>
      <c r="G664" t="s">
        <v>59</v>
      </c>
      <c r="H664">
        <f>INDEX(Cleandata!D664:D1663,MATCH(G664,G664:G1663,0))</f>
        <v>30</v>
      </c>
    </row>
    <row r="665" spans="1:8" x14ac:dyDescent="0.3">
      <c r="A665" s="4" t="s">
        <v>41</v>
      </c>
      <c r="B665" s="4" t="str">
        <f>VLOOKUP(A665,Cleandata!G665:H1664,2,FALSE)</f>
        <v>Accessories</v>
      </c>
      <c r="G665" t="s">
        <v>38</v>
      </c>
      <c r="H665">
        <f>INDEX(Cleandata!D665:D1664,MATCH(G665,G665:G1664,0))</f>
        <v>41</v>
      </c>
    </row>
    <row r="666" spans="1:8" x14ac:dyDescent="0.3">
      <c r="A666" s="4" t="s">
        <v>18</v>
      </c>
      <c r="B666" s="4" t="str">
        <f>VLOOKUP(A666,Cleandata!G666:H1665,2,FALSE)</f>
        <v>Clothing</v>
      </c>
      <c r="G666" t="s">
        <v>62</v>
      </c>
      <c r="H666">
        <f>INDEX(Cleandata!D666:D1665,MATCH(G666,G666:G1665,0))</f>
        <v>37</v>
      </c>
    </row>
    <row r="667" spans="1:8" x14ac:dyDescent="0.3">
      <c r="A667" s="4" t="s">
        <v>18</v>
      </c>
      <c r="B667" s="4" t="str">
        <f>VLOOKUP(A667,Cleandata!G667:H1666,2,FALSE)</f>
        <v>Clothing</v>
      </c>
      <c r="G667" t="s">
        <v>35</v>
      </c>
      <c r="H667">
        <f>INDEX(Cleandata!D667:D1666,MATCH(G667,G667:G1666,0))</f>
        <v>30</v>
      </c>
    </row>
    <row r="668" spans="1:8" x14ac:dyDescent="0.3">
      <c r="A668" s="4" t="s">
        <v>23</v>
      </c>
      <c r="B668" s="4" t="str">
        <f>VLOOKUP(A668,Cleandata!G668:H1667,2,FALSE)</f>
        <v>Clothing</v>
      </c>
      <c r="G668" t="s">
        <v>64</v>
      </c>
      <c r="H668">
        <f>INDEX(Cleandata!D668:D1667,MATCH(G668,G668:G1667,0))</f>
        <v>49</v>
      </c>
    </row>
    <row r="669" spans="1:8" x14ac:dyDescent="0.3">
      <c r="A669" s="4" t="s">
        <v>55</v>
      </c>
      <c r="B669" s="4" t="str">
        <f>VLOOKUP(A669,Cleandata!G669:H1668,2,FALSE)</f>
        <v>Accessories</v>
      </c>
      <c r="G669" t="s">
        <v>46</v>
      </c>
      <c r="H669">
        <f>INDEX(Cleandata!D669:D1668,MATCH(G669,G669:G1668,0))</f>
        <v>30</v>
      </c>
    </row>
    <row r="670" spans="1:8" x14ac:dyDescent="0.3">
      <c r="A670" s="4" t="s">
        <v>55</v>
      </c>
      <c r="B670" s="4" t="str">
        <f>VLOOKUP(A670,Cleandata!G670:H1669,2,FALSE)</f>
        <v>Accessories</v>
      </c>
      <c r="G670" t="s">
        <v>46</v>
      </c>
      <c r="H670">
        <f>INDEX(Cleandata!D670:D1669,MATCH(G670,G670:G1669,0))</f>
        <v>30</v>
      </c>
    </row>
    <row r="671" spans="1:8" x14ac:dyDescent="0.3">
      <c r="A671" s="4" t="s">
        <v>51</v>
      </c>
      <c r="B671" s="4" t="str">
        <f>VLOOKUP(A671,Cleandata!G671:H1670,2,FALSE)</f>
        <v>Electronics</v>
      </c>
      <c r="G671" t="s">
        <v>62</v>
      </c>
      <c r="H671">
        <f>INDEX(Cleandata!D671:D1670,MATCH(G671,G671:G1670,0))</f>
        <v>23</v>
      </c>
    </row>
    <row r="672" spans="1:8" x14ac:dyDescent="0.3">
      <c r="A672" s="4" t="s">
        <v>55</v>
      </c>
      <c r="B672" s="4" t="str">
        <f>VLOOKUP(A672,Cleandata!G672:H1671,2,FALSE)</f>
        <v>Accessories</v>
      </c>
      <c r="G672" t="s">
        <v>69</v>
      </c>
      <c r="H672">
        <f>INDEX(Cleandata!D672:D1671,MATCH(G672,G672:G1671,0))</f>
        <v>30</v>
      </c>
    </row>
    <row r="673" spans="1:8" x14ac:dyDescent="0.3">
      <c r="A673" s="4" t="s">
        <v>51</v>
      </c>
      <c r="B673" s="4" t="str">
        <f>VLOOKUP(A673,Cleandata!G673:H1672,2,FALSE)</f>
        <v>Electronics</v>
      </c>
      <c r="G673" t="s">
        <v>46</v>
      </c>
      <c r="H673">
        <f>INDEX(Cleandata!D673:D1672,MATCH(G673,G673:G1672,0))</f>
        <v>30</v>
      </c>
    </row>
    <row r="674" spans="1:8" x14ac:dyDescent="0.3">
      <c r="A674" s="4" t="s">
        <v>55</v>
      </c>
      <c r="B674" s="4" t="str">
        <f>VLOOKUP(A674,Cleandata!G674:H1673,2,FALSE)</f>
        <v>Accessories</v>
      </c>
      <c r="G674" t="s">
        <v>32</v>
      </c>
      <c r="H674">
        <f>INDEX(Cleandata!D674:D1673,MATCH(G674,G674:G1673,0))</f>
        <v>30</v>
      </c>
    </row>
    <row r="675" spans="1:8" x14ac:dyDescent="0.3">
      <c r="A675" s="4" t="s">
        <v>55</v>
      </c>
      <c r="B675" s="4" t="str">
        <f>VLOOKUP(A675,Cleandata!G675:H1674,2,FALSE)</f>
        <v>Accessories</v>
      </c>
      <c r="G675" t="s">
        <v>10</v>
      </c>
      <c r="H675">
        <f>INDEX(Cleandata!D675:D1674,MATCH(G675,G675:G1674,0))</f>
        <v>30</v>
      </c>
    </row>
    <row r="676" spans="1:8" x14ac:dyDescent="0.3">
      <c r="A676" s="4" t="s">
        <v>27</v>
      </c>
      <c r="B676" s="4" t="str">
        <f>VLOOKUP(A676,Cleandata!G676:H1675,2,FALSE)</f>
        <v>Electronics</v>
      </c>
      <c r="G676" t="s">
        <v>16</v>
      </c>
      <c r="H676">
        <f>INDEX(Cleandata!D676:D1675,MATCH(G676,G676:G1675,0))</f>
        <v>48</v>
      </c>
    </row>
    <row r="677" spans="1:8" x14ac:dyDescent="0.3">
      <c r="A677" s="4" t="s">
        <v>51</v>
      </c>
      <c r="B677" s="4" t="str">
        <f>VLOOKUP(A677,Cleandata!G677:H1676,2,FALSE)</f>
        <v>Electronics</v>
      </c>
      <c r="G677" t="s">
        <v>21</v>
      </c>
      <c r="H677">
        <f>INDEX(Cleandata!D677:D1676,MATCH(G677,G677:G1676,0))</f>
        <v>32</v>
      </c>
    </row>
    <row r="678" spans="1:8" x14ac:dyDescent="0.3">
      <c r="A678" s="4" t="s">
        <v>44</v>
      </c>
      <c r="B678" s="4" t="str">
        <f>VLOOKUP(A678,Cleandata!G678:H1677,2,FALSE)</f>
        <v>Accessories</v>
      </c>
      <c r="G678" t="s">
        <v>38</v>
      </c>
      <c r="H678">
        <f>INDEX(Cleandata!D678:D1677,MATCH(G678,G678:G1677,0))</f>
        <v>24</v>
      </c>
    </row>
    <row r="679" spans="1:8" x14ac:dyDescent="0.3">
      <c r="A679" s="4" t="s">
        <v>55</v>
      </c>
      <c r="B679" s="4" t="str">
        <f>VLOOKUP(A679,Cleandata!G679:H1678,2,FALSE)</f>
        <v>Accessories</v>
      </c>
      <c r="G679" t="s">
        <v>64</v>
      </c>
      <c r="H679">
        <f>INDEX(Cleandata!D679:D1678,MATCH(G679,G679:G1678,0))</f>
        <v>30</v>
      </c>
    </row>
    <row r="680" spans="1:8" x14ac:dyDescent="0.3">
      <c r="A680" s="4" t="s">
        <v>41</v>
      </c>
      <c r="B680" s="4" t="str">
        <f>VLOOKUP(A680,Cleandata!G680:H1679,2,FALSE)</f>
        <v>Accessories</v>
      </c>
      <c r="G680" t="s">
        <v>32</v>
      </c>
      <c r="H680">
        <f>INDEX(Cleandata!D680:D1679,MATCH(G680,G680:G1679,0))</f>
        <v>31</v>
      </c>
    </row>
    <row r="681" spans="1:8" x14ac:dyDescent="0.3">
      <c r="A681" s="4" t="s">
        <v>27</v>
      </c>
      <c r="B681" s="4" t="str">
        <f>VLOOKUP(A681,Cleandata!G681:H1680,2,FALSE)</f>
        <v>Electronics</v>
      </c>
      <c r="G681" t="s">
        <v>78</v>
      </c>
      <c r="H681">
        <f>INDEX(Cleandata!D681:D1680,MATCH(G681,G681:G1680,0))</f>
        <v>30</v>
      </c>
    </row>
    <row r="682" spans="1:8" x14ac:dyDescent="0.3">
      <c r="A682" s="4" t="s">
        <v>41</v>
      </c>
      <c r="B682" s="4" t="str">
        <f>VLOOKUP(A682,Cleandata!G682:H1681,2,FALSE)</f>
        <v>Accessories</v>
      </c>
      <c r="G682" t="s">
        <v>48</v>
      </c>
      <c r="H682">
        <f>INDEX(Cleandata!D682:D1681,MATCH(G682,G682:G1681,0))</f>
        <v>30</v>
      </c>
    </row>
    <row r="683" spans="1:8" x14ac:dyDescent="0.3">
      <c r="A683" s="4" t="s">
        <v>55</v>
      </c>
      <c r="B683" s="4" t="str">
        <f>VLOOKUP(A683,Cleandata!G683:H1682,2,FALSE)</f>
        <v>Accessories</v>
      </c>
      <c r="G683" t="s">
        <v>68</v>
      </c>
      <c r="H683">
        <f>INDEX(Cleandata!D683:D1682,MATCH(G683,G683:G1682,0))</f>
        <v>26</v>
      </c>
    </row>
    <row r="684" spans="1:8" x14ac:dyDescent="0.3">
      <c r="A684" s="4" t="s">
        <v>44</v>
      </c>
      <c r="B684" s="4" t="str">
        <f>VLOOKUP(A684,Cleandata!G684:H1683,2,FALSE)</f>
        <v>Accessories</v>
      </c>
      <c r="G684" t="s">
        <v>25</v>
      </c>
      <c r="H684">
        <f>INDEX(Cleandata!D684:D1683,MATCH(G684,G684:G1683,0))</f>
        <v>30</v>
      </c>
    </row>
    <row r="685" spans="1:8" x14ac:dyDescent="0.3">
      <c r="A685" s="4" t="s">
        <v>12</v>
      </c>
      <c r="B685" s="4" t="str">
        <f>VLOOKUP(A685,Cleandata!G685:H1684,2,FALSE)</f>
        <v>Electronics</v>
      </c>
      <c r="G685" t="s">
        <v>38</v>
      </c>
      <c r="H685">
        <f>INDEX(Cleandata!D685:D1684,MATCH(G685,G685:G1684,0))</f>
        <v>48</v>
      </c>
    </row>
    <row r="686" spans="1:8" x14ac:dyDescent="0.3">
      <c r="A686" s="4" t="s">
        <v>23</v>
      </c>
      <c r="B686" s="4" t="str">
        <f>VLOOKUP(A686,Cleandata!G686:H1685,2,FALSE)</f>
        <v>Clothing</v>
      </c>
      <c r="G686" t="s">
        <v>57</v>
      </c>
      <c r="H686">
        <f>INDEX(Cleandata!D686:D1685,MATCH(G686,G686:G1685,0))</f>
        <v>30</v>
      </c>
    </row>
    <row r="687" spans="1:8" x14ac:dyDescent="0.3">
      <c r="A687" s="4" t="s">
        <v>41</v>
      </c>
      <c r="B687" s="4" t="str">
        <f>VLOOKUP(A687,Cleandata!G687:H1686,2,FALSE)</f>
        <v>Accessories</v>
      </c>
      <c r="G687" t="s">
        <v>54</v>
      </c>
      <c r="H687">
        <f>INDEX(Cleandata!D687:D1686,MATCH(G687,G687:G1686,0))</f>
        <v>30</v>
      </c>
    </row>
    <row r="688" spans="1:8" x14ac:dyDescent="0.3">
      <c r="A688" s="4" t="s">
        <v>44</v>
      </c>
      <c r="B688" s="4" t="str">
        <f>VLOOKUP(A688,Cleandata!G688:H1687,2,FALSE)</f>
        <v>Accessories</v>
      </c>
      <c r="G688" t="s">
        <v>59</v>
      </c>
      <c r="H688">
        <f>INDEX(Cleandata!D688:D1687,MATCH(G688,G688:G1687,0))</f>
        <v>32</v>
      </c>
    </row>
    <row r="689" spans="1:8" x14ac:dyDescent="0.3">
      <c r="A689" s="4" t="s">
        <v>44</v>
      </c>
      <c r="B689" s="4" t="str">
        <f>VLOOKUP(A689,Cleandata!G689:H1688,2,FALSE)</f>
        <v>Accessories</v>
      </c>
      <c r="G689" t="s">
        <v>69</v>
      </c>
      <c r="H689">
        <f>INDEX(Cleandata!D689:D1688,MATCH(G689,G689:G1688,0))</f>
        <v>24</v>
      </c>
    </row>
    <row r="690" spans="1:8" x14ac:dyDescent="0.3">
      <c r="A690" s="4" t="s">
        <v>41</v>
      </c>
      <c r="B690" s="4" t="str">
        <f>VLOOKUP(A690,Cleandata!G690:H1689,2,FALSE)</f>
        <v>Accessories</v>
      </c>
      <c r="G690" t="s">
        <v>54</v>
      </c>
      <c r="H690">
        <f>INDEX(Cleandata!D690:D1689,MATCH(G690,G690:G1689,0))</f>
        <v>48</v>
      </c>
    </row>
    <row r="691" spans="1:8" x14ac:dyDescent="0.3">
      <c r="A691" s="4" t="s">
        <v>51</v>
      </c>
      <c r="B691" s="4" t="str">
        <f>VLOOKUP(A691,Cleandata!G691:H1690,2,FALSE)</f>
        <v>Electronics</v>
      </c>
      <c r="G691" t="s">
        <v>32</v>
      </c>
      <c r="H691">
        <f>INDEX(Cleandata!D691:D1690,MATCH(G691,G691:G1690,0))</f>
        <v>35</v>
      </c>
    </row>
    <row r="692" spans="1:8" x14ac:dyDescent="0.3">
      <c r="A692" s="4" t="s">
        <v>12</v>
      </c>
      <c r="B692" s="4" t="str">
        <f>VLOOKUP(A692,Cleandata!G692:H1691,2,FALSE)</f>
        <v>Electronics</v>
      </c>
      <c r="G692" t="s">
        <v>78</v>
      </c>
      <c r="H692">
        <f>INDEX(Cleandata!D692:D1691,MATCH(G692,G692:G1691,0))</f>
        <v>25</v>
      </c>
    </row>
    <row r="693" spans="1:8" x14ac:dyDescent="0.3">
      <c r="A693" s="4" t="s">
        <v>51</v>
      </c>
      <c r="B693" s="4" t="str">
        <f>VLOOKUP(A693,Cleandata!G693:H1692,2,FALSE)</f>
        <v>Electronics</v>
      </c>
      <c r="G693" t="s">
        <v>16</v>
      </c>
      <c r="H693">
        <f>INDEX(Cleandata!D693:D1692,MATCH(G693,G693:G1692,0))</f>
        <v>37</v>
      </c>
    </row>
    <row r="694" spans="1:8" x14ac:dyDescent="0.3">
      <c r="A694" s="4" t="s">
        <v>55</v>
      </c>
      <c r="B694" s="4" t="str">
        <f>VLOOKUP(A694,Cleandata!G694:H1693,2,FALSE)</f>
        <v>Accessories</v>
      </c>
      <c r="G694" t="s">
        <v>54</v>
      </c>
      <c r="H694">
        <f>INDEX(Cleandata!D694:D1693,MATCH(G694,G694:G1693,0))</f>
        <v>30</v>
      </c>
    </row>
    <row r="695" spans="1:8" x14ac:dyDescent="0.3">
      <c r="A695" s="4" t="s">
        <v>12</v>
      </c>
      <c r="B695" s="4" t="str">
        <f>VLOOKUP(A695,Cleandata!G695:H1694,2,FALSE)</f>
        <v>Electronics</v>
      </c>
      <c r="G695" t="s">
        <v>73</v>
      </c>
      <c r="H695">
        <f>INDEX(Cleandata!D695:D1694,MATCH(G695,G695:G1694,0))</f>
        <v>30</v>
      </c>
    </row>
    <row r="696" spans="1:8" x14ac:dyDescent="0.3">
      <c r="A696" s="4" t="s">
        <v>55</v>
      </c>
      <c r="B696" s="4" t="str">
        <f>VLOOKUP(A696,Cleandata!G696:H1695,2,FALSE)</f>
        <v>Accessories</v>
      </c>
      <c r="G696" t="s">
        <v>48</v>
      </c>
      <c r="H696">
        <f>INDEX(Cleandata!D696:D1695,MATCH(G696,G696:G1695,0))</f>
        <v>20</v>
      </c>
    </row>
    <row r="697" spans="1:8" x14ac:dyDescent="0.3">
      <c r="A697" s="4" t="s">
        <v>51</v>
      </c>
      <c r="B697" s="4" t="str">
        <f>VLOOKUP(A697,Cleandata!G697:H1696,2,FALSE)</f>
        <v>Electronics</v>
      </c>
      <c r="G697" t="s">
        <v>35</v>
      </c>
      <c r="H697">
        <f>INDEX(Cleandata!D697:D1696,MATCH(G697,G697:G1696,0))</f>
        <v>43</v>
      </c>
    </row>
    <row r="698" spans="1:8" x14ac:dyDescent="0.3">
      <c r="A698" s="4" t="s">
        <v>44</v>
      </c>
      <c r="B698" s="4" t="str">
        <f>VLOOKUP(A698,Cleandata!G698:H1697,2,FALSE)</f>
        <v>Accessories</v>
      </c>
      <c r="G698" t="s">
        <v>25</v>
      </c>
      <c r="H698">
        <f>INDEX(Cleandata!D698:D1697,MATCH(G698,G698:G1697,0))</f>
        <v>28</v>
      </c>
    </row>
    <row r="699" spans="1:8" x14ac:dyDescent="0.3">
      <c r="A699" s="4" t="s">
        <v>44</v>
      </c>
      <c r="B699" s="4" t="str">
        <f>VLOOKUP(A699,Cleandata!G699:H1698,2,FALSE)</f>
        <v>Accessories</v>
      </c>
      <c r="G699" t="s">
        <v>68</v>
      </c>
      <c r="H699">
        <f>INDEX(Cleandata!D699:D1698,MATCH(G699,G699:G1698,0))</f>
        <v>35</v>
      </c>
    </row>
    <row r="700" spans="1:8" x14ac:dyDescent="0.3">
      <c r="A700" s="4" t="s">
        <v>23</v>
      </c>
      <c r="B700" s="4" t="str">
        <f>VLOOKUP(A700,Cleandata!G700:H1699,2,FALSE)</f>
        <v>Clothing</v>
      </c>
      <c r="G700" t="s">
        <v>64</v>
      </c>
      <c r="H700">
        <f>INDEX(Cleandata!D700:D1699,MATCH(G700,G700:G1699,0))</f>
        <v>30</v>
      </c>
    </row>
    <row r="701" spans="1:8" x14ac:dyDescent="0.3">
      <c r="A701" s="4" t="s">
        <v>12</v>
      </c>
      <c r="B701" s="4" t="str">
        <f>VLOOKUP(A701,Cleandata!G701:H1700,2,FALSE)</f>
        <v>Electronics</v>
      </c>
      <c r="G701" t="s">
        <v>10</v>
      </c>
      <c r="H701">
        <f>INDEX(Cleandata!D701:D1700,MATCH(G701,G701:G1700,0))</f>
        <v>30</v>
      </c>
    </row>
    <row r="702" spans="1:8" x14ac:dyDescent="0.3">
      <c r="A702" s="4" t="s">
        <v>55</v>
      </c>
      <c r="B702" s="4" t="str">
        <f>VLOOKUP(A702,Cleandata!G702:H1701,2,FALSE)</f>
        <v>Accessories</v>
      </c>
      <c r="G702" t="s">
        <v>68</v>
      </c>
      <c r="H702">
        <f>INDEX(Cleandata!D702:D1701,MATCH(G702,G702:G1701,0))</f>
        <v>43</v>
      </c>
    </row>
    <row r="703" spans="1:8" x14ac:dyDescent="0.3">
      <c r="A703" s="4" t="s">
        <v>12</v>
      </c>
      <c r="B703" s="4" t="str">
        <f>VLOOKUP(A703,Cleandata!G703:H1702,2,FALSE)</f>
        <v>Electronics</v>
      </c>
      <c r="G703" t="s">
        <v>35</v>
      </c>
      <c r="H703">
        <f>INDEX(Cleandata!D703:D1702,MATCH(G703,G703:G1702,0))</f>
        <v>30</v>
      </c>
    </row>
    <row r="704" spans="1:8" x14ac:dyDescent="0.3">
      <c r="A704" s="4" t="s">
        <v>41</v>
      </c>
      <c r="B704" s="4" t="str">
        <f>VLOOKUP(A704,Cleandata!G704:H1703,2,FALSE)</f>
        <v>Accessories</v>
      </c>
      <c r="G704" t="s">
        <v>68</v>
      </c>
      <c r="H704">
        <f>INDEX(Cleandata!D704:D1703,MATCH(G704,G704:G1703,0))</f>
        <v>30</v>
      </c>
    </row>
    <row r="705" spans="1:8" x14ac:dyDescent="0.3">
      <c r="A705" s="4" t="s">
        <v>55</v>
      </c>
      <c r="B705" s="4" t="str">
        <f>VLOOKUP(A705,Cleandata!G705:H1704,2,FALSE)</f>
        <v>Accessories</v>
      </c>
      <c r="G705" t="s">
        <v>35</v>
      </c>
      <c r="H705">
        <f>INDEX(Cleandata!D705:D1704,MATCH(G705,G705:G1704,0))</f>
        <v>30</v>
      </c>
    </row>
    <row r="706" spans="1:8" x14ac:dyDescent="0.3">
      <c r="A706" s="4" t="s">
        <v>51</v>
      </c>
      <c r="B706" s="4" t="str">
        <f>VLOOKUP(A706,Cleandata!G706:H1705,2,FALSE)</f>
        <v>Electronics</v>
      </c>
      <c r="G706" t="s">
        <v>59</v>
      </c>
      <c r="H706">
        <f>INDEX(Cleandata!D706:D1705,MATCH(G706,G706:G1705,0))</f>
        <v>30</v>
      </c>
    </row>
    <row r="707" spans="1:8" x14ac:dyDescent="0.3">
      <c r="A707" s="4" t="s">
        <v>12</v>
      </c>
      <c r="B707" s="4" t="str">
        <f>VLOOKUP(A707,Cleandata!G707:H1706,2,FALSE)</f>
        <v>Electronics</v>
      </c>
      <c r="G707" t="s">
        <v>54</v>
      </c>
      <c r="H707">
        <f>INDEX(Cleandata!D707:D1706,MATCH(G707,G707:G1706,0))</f>
        <v>30</v>
      </c>
    </row>
    <row r="708" spans="1:8" x14ac:dyDescent="0.3">
      <c r="A708" s="4" t="s">
        <v>41</v>
      </c>
      <c r="B708" s="4" t="str">
        <f>VLOOKUP(A708,Cleandata!G708:H1707,2,FALSE)</f>
        <v>Accessories</v>
      </c>
      <c r="G708" t="s">
        <v>64</v>
      </c>
      <c r="H708">
        <f>INDEX(Cleandata!D708:D1707,MATCH(G708,G708:G1707,0))</f>
        <v>40</v>
      </c>
    </row>
    <row r="709" spans="1:8" x14ac:dyDescent="0.3">
      <c r="A709" s="4" t="s">
        <v>12</v>
      </c>
      <c r="B709" s="4" t="str">
        <f>VLOOKUP(A709,Cleandata!G709:H1708,2,FALSE)</f>
        <v>Electronics</v>
      </c>
      <c r="G709" t="s">
        <v>16</v>
      </c>
      <c r="H709">
        <f>INDEX(Cleandata!D709:D1708,MATCH(G709,G709:G1708,0))</f>
        <v>30</v>
      </c>
    </row>
    <row r="710" spans="1:8" x14ac:dyDescent="0.3">
      <c r="A710" s="4" t="s">
        <v>12</v>
      </c>
      <c r="B710" s="4" t="str">
        <f>VLOOKUP(A710,Cleandata!G710:H1709,2,FALSE)</f>
        <v>Electronics</v>
      </c>
      <c r="G710" t="s">
        <v>69</v>
      </c>
      <c r="H710">
        <f>INDEX(Cleandata!D710:D1709,MATCH(G710,G710:G1709,0))</f>
        <v>44</v>
      </c>
    </row>
    <row r="711" spans="1:8" x14ac:dyDescent="0.3">
      <c r="A711" s="4" t="s">
        <v>51</v>
      </c>
      <c r="B711" s="4" t="str">
        <f>VLOOKUP(A711,Cleandata!G711:H1710,2,FALSE)</f>
        <v>Electronics</v>
      </c>
      <c r="G711" t="s">
        <v>68</v>
      </c>
      <c r="H711">
        <f>INDEX(Cleandata!D711:D1710,MATCH(G711,G711:G1710,0))</f>
        <v>44</v>
      </c>
    </row>
    <row r="712" spans="1:8" x14ac:dyDescent="0.3">
      <c r="A712" s="4" t="s">
        <v>18</v>
      </c>
      <c r="B712" s="4" t="str">
        <f>VLOOKUP(A712,Cleandata!G712:H1711,2,FALSE)</f>
        <v>Clothing</v>
      </c>
      <c r="G712" t="s">
        <v>64</v>
      </c>
      <c r="H712">
        <f>INDEX(Cleandata!D712:D1711,MATCH(G712,G712:G1711,0))</f>
        <v>30</v>
      </c>
    </row>
    <row r="713" spans="1:8" x14ac:dyDescent="0.3">
      <c r="A713" s="4" t="s">
        <v>23</v>
      </c>
      <c r="B713" s="4" t="str">
        <f>VLOOKUP(A713,Cleandata!G713:H1712,2,FALSE)</f>
        <v>Clothing</v>
      </c>
      <c r="G713" t="s">
        <v>59</v>
      </c>
      <c r="H713">
        <f>INDEX(Cleandata!D713:D1712,MATCH(G713,G713:G1712,0))</f>
        <v>30</v>
      </c>
    </row>
    <row r="714" spans="1:8" x14ac:dyDescent="0.3">
      <c r="A714" s="4" t="s">
        <v>12</v>
      </c>
      <c r="B714" s="4" t="str">
        <f>VLOOKUP(A714,Cleandata!G714:H1713,2,FALSE)</f>
        <v>Electronics</v>
      </c>
      <c r="G714" t="s">
        <v>68</v>
      </c>
      <c r="H714">
        <f>INDEX(Cleandata!D714:D1713,MATCH(G714,G714:G1713,0))</f>
        <v>30</v>
      </c>
    </row>
    <row r="715" spans="1:8" x14ac:dyDescent="0.3">
      <c r="A715" s="4" t="s">
        <v>23</v>
      </c>
      <c r="B715" s="4" t="str">
        <f>VLOOKUP(A715,Cleandata!G715:H1714,2,FALSE)</f>
        <v>Clothing</v>
      </c>
      <c r="G715" t="s">
        <v>57</v>
      </c>
      <c r="H715">
        <f>INDEX(Cleandata!D715:D1714,MATCH(G715,G715:G1714,0))</f>
        <v>30</v>
      </c>
    </row>
    <row r="716" spans="1:8" x14ac:dyDescent="0.3">
      <c r="A716" s="4" t="s">
        <v>55</v>
      </c>
      <c r="B716" s="4" t="str">
        <f>VLOOKUP(A716,Cleandata!G716:H1715,2,FALSE)</f>
        <v>Accessories</v>
      </c>
      <c r="G716" t="s">
        <v>46</v>
      </c>
      <c r="H716">
        <f>INDEX(Cleandata!D716:D1715,MATCH(G716,G716:G1715,0))</f>
        <v>44</v>
      </c>
    </row>
    <row r="717" spans="1:8" x14ac:dyDescent="0.3">
      <c r="A717" s="4" t="s">
        <v>41</v>
      </c>
      <c r="B717" s="4" t="str">
        <f>VLOOKUP(A717,Cleandata!G717:H1716,2,FALSE)</f>
        <v>Accessories</v>
      </c>
      <c r="G717" t="s">
        <v>73</v>
      </c>
      <c r="H717">
        <f>INDEX(Cleandata!D717:D1716,MATCH(G717,G717:G1716,0))</f>
        <v>48</v>
      </c>
    </row>
    <row r="718" spans="1:8" x14ac:dyDescent="0.3">
      <c r="A718" s="4" t="s">
        <v>23</v>
      </c>
      <c r="B718" s="4" t="str">
        <f>VLOOKUP(A718,Cleandata!G718:H1717,2,FALSE)</f>
        <v>Clothing</v>
      </c>
      <c r="G718" t="s">
        <v>21</v>
      </c>
      <c r="H718">
        <f>INDEX(Cleandata!D718:D1717,MATCH(G718,G718:G1717,0))</f>
        <v>43</v>
      </c>
    </row>
    <row r="719" spans="1:8" x14ac:dyDescent="0.3">
      <c r="A719" s="4" t="s">
        <v>44</v>
      </c>
      <c r="B719" s="4" t="str">
        <f>VLOOKUP(A719,Cleandata!G719:H1718,2,FALSE)</f>
        <v>Accessories</v>
      </c>
      <c r="G719" t="s">
        <v>38</v>
      </c>
      <c r="H719">
        <f>INDEX(Cleandata!D719:D1718,MATCH(G719,G719:G1718,0))</f>
        <v>30</v>
      </c>
    </row>
    <row r="720" spans="1:8" x14ac:dyDescent="0.3">
      <c r="A720" s="4" t="s">
        <v>27</v>
      </c>
      <c r="B720" s="4" t="str">
        <f>VLOOKUP(A720,Cleandata!G720:H1719,2,FALSE)</f>
        <v>Electronics</v>
      </c>
      <c r="G720" t="s">
        <v>64</v>
      </c>
      <c r="H720">
        <f>INDEX(Cleandata!D720:D1719,MATCH(G720,G720:G1719,0))</f>
        <v>30</v>
      </c>
    </row>
    <row r="721" spans="1:8" x14ac:dyDescent="0.3">
      <c r="A721" s="4" t="s">
        <v>12</v>
      </c>
      <c r="B721" s="4" t="str">
        <f>VLOOKUP(A721,Cleandata!G721:H1720,2,FALSE)</f>
        <v>Electronics</v>
      </c>
      <c r="G721" t="s">
        <v>46</v>
      </c>
      <c r="H721">
        <f>INDEX(Cleandata!D721:D1720,MATCH(G721,G721:G1720,0))</f>
        <v>24</v>
      </c>
    </row>
    <row r="722" spans="1:8" x14ac:dyDescent="0.3">
      <c r="A722" s="4" t="s">
        <v>18</v>
      </c>
      <c r="B722" s="4" t="str">
        <f>VLOOKUP(A722,Cleandata!G722:H1721,2,FALSE)</f>
        <v>Clothing</v>
      </c>
      <c r="G722" t="s">
        <v>64</v>
      </c>
      <c r="H722">
        <f>INDEX(Cleandata!D722:D1721,MATCH(G722,G722:G1721,0))</f>
        <v>30</v>
      </c>
    </row>
    <row r="723" spans="1:8" x14ac:dyDescent="0.3">
      <c r="A723" s="4" t="s">
        <v>23</v>
      </c>
      <c r="B723" s="4" t="str">
        <f>VLOOKUP(A723,Cleandata!G723:H1722,2,FALSE)</f>
        <v>Clothing</v>
      </c>
      <c r="G723" t="s">
        <v>46</v>
      </c>
      <c r="H723">
        <f>INDEX(Cleandata!D723:D1722,MATCH(G723,G723:G1722,0))</f>
        <v>36</v>
      </c>
    </row>
    <row r="724" spans="1:8" x14ac:dyDescent="0.3">
      <c r="A724" s="4" t="s">
        <v>23</v>
      </c>
      <c r="B724" s="4" t="str">
        <f>VLOOKUP(A724,Cleandata!G724:H1723,2,FALSE)</f>
        <v>Clothing</v>
      </c>
      <c r="G724" t="s">
        <v>54</v>
      </c>
      <c r="H724">
        <f>INDEX(Cleandata!D724:D1723,MATCH(G724,G724:G1723,0))</f>
        <v>25</v>
      </c>
    </row>
    <row r="725" spans="1:8" x14ac:dyDescent="0.3">
      <c r="A725" s="4" t="s">
        <v>41</v>
      </c>
      <c r="B725" s="4" t="str">
        <f>VLOOKUP(A725,Cleandata!G725:H1724,2,FALSE)</f>
        <v>Accessories</v>
      </c>
      <c r="G725" t="s">
        <v>48</v>
      </c>
      <c r="H725">
        <f>INDEX(Cleandata!D725:D1724,MATCH(G725,G725:G1724,0))</f>
        <v>50</v>
      </c>
    </row>
    <row r="726" spans="1:8" x14ac:dyDescent="0.3">
      <c r="A726" s="4" t="s">
        <v>12</v>
      </c>
      <c r="B726" s="4" t="str">
        <f>VLOOKUP(A726,Cleandata!G726:H1725,2,FALSE)</f>
        <v>Electronics</v>
      </c>
      <c r="G726" t="s">
        <v>68</v>
      </c>
      <c r="H726">
        <f>INDEX(Cleandata!D726:D1725,MATCH(G726,G726:G1725,0))</f>
        <v>30</v>
      </c>
    </row>
    <row r="727" spans="1:8" x14ac:dyDescent="0.3">
      <c r="A727" s="4" t="s">
        <v>41</v>
      </c>
      <c r="B727" s="4" t="str">
        <f>VLOOKUP(A727,Cleandata!G727:H1726,2,FALSE)</f>
        <v>Accessories</v>
      </c>
      <c r="G727" t="s">
        <v>35</v>
      </c>
      <c r="H727">
        <f>INDEX(Cleandata!D727:D1726,MATCH(G727,G727:G1726,0))</f>
        <v>23</v>
      </c>
    </row>
    <row r="728" spans="1:8" x14ac:dyDescent="0.3">
      <c r="A728" s="4" t="s">
        <v>44</v>
      </c>
      <c r="B728" s="4" t="str">
        <f>VLOOKUP(A728,Cleandata!G728:H1727,2,FALSE)</f>
        <v>Accessories</v>
      </c>
      <c r="G728" t="s">
        <v>48</v>
      </c>
      <c r="H728">
        <f>INDEX(Cleandata!D728:D1727,MATCH(G728,G728:G1727,0))</f>
        <v>29</v>
      </c>
    </row>
    <row r="729" spans="1:8" x14ac:dyDescent="0.3">
      <c r="A729" s="4" t="s">
        <v>41</v>
      </c>
      <c r="B729" s="4" t="str">
        <f>VLOOKUP(A729,Cleandata!G729:H1728,2,FALSE)</f>
        <v>Accessories</v>
      </c>
      <c r="G729" t="s">
        <v>35</v>
      </c>
      <c r="H729">
        <f>INDEX(Cleandata!D729:D1728,MATCH(G729,G729:G1728,0))</f>
        <v>36</v>
      </c>
    </row>
    <row r="730" spans="1:8" x14ac:dyDescent="0.3">
      <c r="A730" s="4" t="s">
        <v>44</v>
      </c>
      <c r="B730" s="4" t="str">
        <f>VLOOKUP(A730,Cleandata!G730:H1729,2,FALSE)</f>
        <v>Accessories</v>
      </c>
      <c r="G730" t="s">
        <v>46</v>
      </c>
      <c r="H730">
        <f>INDEX(Cleandata!D730:D1729,MATCH(G730,G730:G1729,0))</f>
        <v>30</v>
      </c>
    </row>
    <row r="731" spans="1:8" x14ac:dyDescent="0.3">
      <c r="A731" s="4" t="s">
        <v>44</v>
      </c>
      <c r="B731" s="4" t="str">
        <f>VLOOKUP(A731,Cleandata!G731:H1730,2,FALSE)</f>
        <v>Accessories</v>
      </c>
      <c r="G731" t="s">
        <v>68</v>
      </c>
      <c r="H731">
        <f>INDEX(Cleandata!D731:D1730,MATCH(G731,G731:G1730,0))</f>
        <v>30</v>
      </c>
    </row>
    <row r="732" spans="1:8" x14ac:dyDescent="0.3">
      <c r="A732" s="4" t="s">
        <v>44</v>
      </c>
      <c r="B732" s="4" t="str">
        <f>VLOOKUP(A732,Cleandata!G732:H1731,2,FALSE)</f>
        <v>Accessories</v>
      </c>
      <c r="G732" t="s">
        <v>38</v>
      </c>
      <c r="H732">
        <f>INDEX(Cleandata!D732:D1731,MATCH(G732,G732:G1731,0))</f>
        <v>46</v>
      </c>
    </row>
    <row r="733" spans="1:8" x14ac:dyDescent="0.3">
      <c r="A733" s="4" t="s">
        <v>44</v>
      </c>
      <c r="B733" s="4" t="str">
        <f>VLOOKUP(A733,Cleandata!G733:H1732,2,FALSE)</f>
        <v>Accessories</v>
      </c>
      <c r="G733" t="s">
        <v>35</v>
      </c>
      <c r="H733">
        <f>INDEX(Cleandata!D733:D1732,MATCH(G733,G733:G1732,0))</f>
        <v>30</v>
      </c>
    </row>
    <row r="734" spans="1:8" x14ac:dyDescent="0.3">
      <c r="A734" s="4" t="s">
        <v>41</v>
      </c>
      <c r="B734" s="4" t="str">
        <f>VLOOKUP(A734,Cleandata!G734:H1733,2,FALSE)</f>
        <v>Accessories</v>
      </c>
      <c r="G734" t="s">
        <v>48</v>
      </c>
      <c r="H734">
        <f>INDEX(Cleandata!D734:D1733,MATCH(G734,G734:G1733,0))</f>
        <v>30</v>
      </c>
    </row>
    <row r="735" spans="1:8" x14ac:dyDescent="0.3">
      <c r="A735" s="4" t="s">
        <v>18</v>
      </c>
      <c r="B735" s="4" t="str">
        <f>VLOOKUP(A735,Cleandata!G735:H1734,2,FALSE)</f>
        <v>Clothing</v>
      </c>
      <c r="G735" t="s">
        <v>46</v>
      </c>
      <c r="H735">
        <f>INDEX(Cleandata!D735:D1734,MATCH(G735,G735:G1734,0))</f>
        <v>21</v>
      </c>
    </row>
    <row r="736" spans="1:8" x14ac:dyDescent="0.3">
      <c r="A736" s="4" t="s">
        <v>12</v>
      </c>
      <c r="B736" s="4" t="str">
        <f>VLOOKUP(A736,Cleandata!G736:H1735,2,FALSE)</f>
        <v>Electronics</v>
      </c>
      <c r="G736" t="s">
        <v>78</v>
      </c>
      <c r="H736">
        <f>INDEX(Cleandata!D736:D1735,MATCH(G736,G736:G1735,0))</f>
        <v>30</v>
      </c>
    </row>
    <row r="737" spans="1:8" x14ac:dyDescent="0.3">
      <c r="A737" s="4" t="s">
        <v>51</v>
      </c>
      <c r="B737" s="4" t="str">
        <f>VLOOKUP(A737,Cleandata!G737:H1736,2,FALSE)</f>
        <v>Electronics</v>
      </c>
      <c r="G737" t="s">
        <v>32</v>
      </c>
      <c r="H737">
        <f>INDEX(Cleandata!D737:D1736,MATCH(G737,G737:G1736,0))</f>
        <v>30</v>
      </c>
    </row>
    <row r="738" spans="1:8" x14ac:dyDescent="0.3">
      <c r="A738" s="4" t="s">
        <v>51</v>
      </c>
      <c r="B738" s="4" t="str">
        <f>VLOOKUP(A738,Cleandata!G738:H1737,2,FALSE)</f>
        <v>Electronics</v>
      </c>
      <c r="G738" t="s">
        <v>59</v>
      </c>
      <c r="H738">
        <f>INDEX(Cleandata!D738:D1737,MATCH(G738,G738:G1737,0))</f>
        <v>24</v>
      </c>
    </row>
    <row r="739" spans="1:8" x14ac:dyDescent="0.3">
      <c r="A739" s="4" t="s">
        <v>27</v>
      </c>
      <c r="B739" s="4" t="str">
        <f>VLOOKUP(A739,Cleandata!G739:H1738,2,FALSE)</f>
        <v>Electronics</v>
      </c>
      <c r="G739" t="s">
        <v>68</v>
      </c>
      <c r="H739">
        <f>INDEX(Cleandata!D739:D1738,MATCH(G739,G739:G1738,0))</f>
        <v>30</v>
      </c>
    </row>
    <row r="740" spans="1:8" x14ac:dyDescent="0.3">
      <c r="A740" s="4" t="s">
        <v>23</v>
      </c>
      <c r="B740" s="4" t="str">
        <f>VLOOKUP(A740,Cleandata!G740:H1739,2,FALSE)</f>
        <v>Clothing</v>
      </c>
      <c r="G740" t="s">
        <v>35</v>
      </c>
      <c r="H740">
        <f>INDEX(Cleandata!D740:D1739,MATCH(G740,G740:G1739,0))</f>
        <v>30</v>
      </c>
    </row>
    <row r="741" spans="1:8" x14ac:dyDescent="0.3">
      <c r="A741" s="4" t="s">
        <v>51</v>
      </c>
      <c r="B741" s="4" t="str">
        <f>VLOOKUP(A741,Cleandata!G741:H1740,2,FALSE)</f>
        <v>Electronics</v>
      </c>
      <c r="G741" t="s">
        <v>78</v>
      </c>
      <c r="H741">
        <f>INDEX(Cleandata!D741:D1740,MATCH(G741,G741:G1740,0))</f>
        <v>30</v>
      </c>
    </row>
    <row r="742" spans="1:8" x14ac:dyDescent="0.3">
      <c r="A742" s="4" t="s">
        <v>18</v>
      </c>
      <c r="B742" s="4" t="str">
        <f>VLOOKUP(A742,Cleandata!G742:H1741,2,FALSE)</f>
        <v>Clothing</v>
      </c>
      <c r="G742" t="s">
        <v>62</v>
      </c>
      <c r="H742">
        <f>INDEX(Cleandata!D742:D1741,MATCH(G742,G742:G1741,0))</f>
        <v>33</v>
      </c>
    </row>
    <row r="743" spans="1:8" x14ac:dyDescent="0.3">
      <c r="A743" s="4" t="s">
        <v>41</v>
      </c>
      <c r="B743" s="4" t="str">
        <f>VLOOKUP(A743,Cleandata!G743:H1742,2,FALSE)</f>
        <v>Accessories</v>
      </c>
      <c r="G743" t="s">
        <v>16</v>
      </c>
      <c r="H743">
        <f>INDEX(Cleandata!D743:D1742,MATCH(G743,G743:G1742,0))</f>
        <v>24</v>
      </c>
    </row>
    <row r="744" spans="1:8" x14ac:dyDescent="0.3">
      <c r="A744" s="4" t="s">
        <v>41</v>
      </c>
      <c r="B744" s="4" t="str">
        <f>VLOOKUP(A744,Cleandata!G744:H1743,2,FALSE)</f>
        <v>Accessories</v>
      </c>
      <c r="G744" t="s">
        <v>32</v>
      </c>
      <c r="H744">
        <f>INDEX(Cleandata!D744:D1743,MATCH(G744,G744:G1743,0))</f>
        <v>30</v>
      </c>
    </row>
    <row r="745" spans="1:8" x14ac:dyDescent="0.3">
      <c r="A745" s="4" t="s">
        <v>41</v>
      </c>
      <c r="B745" s="4" t="str">
        <f>VLOOKUP(A745,Cleandata!G745:H1744,2,FALSE)</f>
        <v>Accessories</v>
      </c>
      <c r="G745" t="s">
        <v>16</v>
      </c>
      <c r="H745">
        <f>INDEX(Cleandata!D745:D1744,MATCH(G745,G745:G1744,0))</f>
        <v>30</v>
      </c>
    </row>
    <row r="746" spans="1:8" x14ac:dyDescent="0.3">
      <c r="A746" s="4" t="s">
        <v>23</v>
      </c>
      <c r="B746" s="4" t="str">
        <f>VLOOKUP(A746,Cleandata!G746:H1745,2,FALSE)</f>
        <v>Clothing</v>
      </c>
      <c r="G746" t="s">
        <v>59</v>
      </c>
      <c r="H746">
        <f>INDEX(Cleandata!D746:D1745,MATCH(G746,G746:G1745,0))</f>
        <v>18</v>
      </c>
    </row>
    <row r="747" spans="1:8" x14ac:dyDescent="0.3">
      <c r="A747" s="4" t="s">
        <v>41</v>
      </c>
      <c r="B747" s="4" t="str">
        <f>VLOOKUP(A747,Cleandata!G747:H1746,2,FALSE)</f>
        <v>Accessories</v>
      </c>
      <c r="G747" t="s">
        <v>10</v>
      </c>
      <c r="H747">
        <f>INDEX(Cleandata!D747:D1746,MATCH(G747,G747:G1746,0))</f>
        <v>30</v>
      </c>
    </row>
    <row r="748" spans="1:8" x14ac:dyDescent="0.3">
      <c r="A748" s="4" t="s">
        <v>44</v>
      </c>
      <c r="B748" s="4" t="str">
        <f>VLOOKUP(A748,Cleandata!G748:H1747,2,FALSE)</f>
        <v>Accessories</v>
      </c>
      <c r="G748" t="s">
        <v>57</v>
      </c>
      <c r="H748">
        <f>INDEX(Cleandata!D748:D1747,MATCH(G748,G748:G1747,0))</f>
        <v>32</v>
      </c>
    </row>
    <row r="749" spans="1:8" x14ac:dyDescent="0.3">
      <c r="A749" s="4" t="s">
        <v>18</v>
      </c>
      <c r="B749" s="4" t="str">
        <f>VLOOKUP(A749,Cleandata!G749:H1748,2,FALSE)</f>
        <v>Clothing</v>
      </c>
      <c r="G749" t="s">
        <v>32</v>
      </c>
      <c r="H749">
        <f>INDEX(Cleandata!D749:D1748,MATCH(G749,G749:G1748,0))</f>
        <v>44</v>
      </c>
    </row>
    <row r="750" spans="1:8" x14ac:dyDescent="0.3">
      <c r="A750" s="4" t="s">
        <v>55</v>
      </c>
      <c r="B750" s="4" t="str">
        <f>VLOOKUP(A750,Cleandata!G750:H1749,2,FALSE)</f>
        <v>Accessories</v>
      </c>
      <c r="G750" t="s">
        <v>35</v>
      </c>
      <c r="H750">
        <f>INDEX(Cleandata!D750:D1749,MATCH(G750,G750:G1749,0))</f>
        <v>30</v>
      </c>
    </row>
    <row r="751" spans="1:8" x14ac:dyDescent="0.3">
      <c r="A751" s="4" t="s">
        <v>23</v>
      </c>
      <c r="B751" s="4" t="str">
        <f>VLOOKUP(A751,Cleandata!G751:H1750,2,FALSE)</f>
        <v>Clothing</v>
      </c>
      <c r="G751" t="s">
        <v>59</v>
      </c>
      <c r="H751">
        <f>INDEX(Cleandata!D751:D1750,MATCH(G751,G751:G1750,0))</f>
        <v>46</v>
      </c>
    </row>
    <row r="752" spans="1:8" x14ac:dyDescent="0.3">
      <c r="A752" s="4" t="s">
        <v>27</v>
      </c>
      <c r="B752" s="4" t="str">
        <f>VLOOKUP(A752,Cleandata!G752:H1751,2,FALSE)</f>
        <v>Electronics</v>
      </c>
      <c r="G752" t="s">
        <v>48</v>
      </c>
      <c r="H752">
        <f>INDEX(Cleandata!D752:D1751,MATCH(G752,G752:G1751,0))</f>
        <v>41</v>
      </c>
    </row>
    <row r="753" spans="1:8" x14ac:dyDescent="0.3">
      <c r="A753" s="4" t="s">
        <v>12</v>
      </c>
      <c r="B753" s="4" t="str">
        <f>VLOOKUP(A753,Cleandata!G753:H1752,2,FALSE)</f>
        <v>Electronics</v>
      </c>
      <c r="G753" t="s">
        <v>54</v>
      </c>
      <c r="H753">
        <f>INDEX(Cleandata!D753:D1752,MATCH(G753,G753:G1752,0))</f>
        <v>39</v>
      </c>
    </row>
    <row r="754" spans="1:8" x14ac:dyDescent="0.3">
      <c r="A754" s="4" t="s">
        <v>51</v>
      </c>
      <c r="B754" s="4" t="str">
        <f>VLOOKUP(A754,Cleandata!G754:H1753,2,FALSE)</f>
        <v>Electronics</v>
      </c>
      <c r="G754" t="s">
        <v>64</v>
      </c>
      <c r="H754">
        <f>INDEX(Cleandata!D754:D1753,MATCH(G754,G754:G1753,0))</f>
        <v>30</v>
      </c>
    </row>
    <row r="755" spans="1:8" x14ac:dyDescent="0.3">
      <c r="A755" s="4" t="s">
        <v>12</v>
      </c>
      <c r="B755" s="4" t="str">
        <f>VLOOKUP(A755,Cleandata!G755:H1754,2,FALSE)</f>
        <v>Electronics</v>
      </c>
      <c r="G755" t="s">
        <v>73</v>
      </c>
      <c r="H755">
        <f>INDEX(Cleandata!D755:D1754,MATCH(G755,G755:G1754,0))</f>
        <v>30</v>
      </c>
    </row>
    <row r="756" spans="1:8" x14ac:dyDescent="0.3">
      <c r="A756" s="4" t="s">
        <v>51</v>
      </c>
      <c r="B756" s="4" t="str">
        <f>VLOOKUP(A756,Cleandata!G756:H1755,2,FALSE)</f>
        <v>Electronics</v>
      </c>
      <c r="G756" t="s">
        <v>69</v>
      </c>
      <c r="H756">
        <f>INDEX(Cleandata!D756:D1755,MATCH(G756,G756:G1755,0))</f>
        <v>18</v>
      </c>
    </row>
    <row r="757" spans="1:8" x14ac:dyDescent="0.3">
      <c r="A757" s="4" t="s">
        <v>55</v>
      </c>
      <c r="B757" s="4" t="str">
        <f>VLOOKUP(A757,Cleandata!G757:H1756,2,FALSE)</f>
        <v>Accessories</v>
      </c>
      <c r="G757" t="s">
        <v>62</v>
      </c>
      <c r="H757">
        <f>INDEX(Cleandata!D757:D1756,MATCH(G757,G757:G1756,0))</f>
        <v>30</v>
      </c>
    </row>
    <row r="758" spans="1:8" x14ac:dyDescent="0.3">
      <c r="A758" s="4" t="s">
        <v>41</v>
      </c>
      <c r="B758" s="4" t="str">
        <f>VLOOKUP(A758,Cleandata!G758:H1757,2,FALSE)</f>
        <v>Accessories</v>
      </c>
      <c r="G758" t="s">
        <v>32</v>
      </c>
      <c r="H758">
        <f>INDEX(Cleandata!D758:D1757,MATCH(G758,G758:G1757,0))</f>
        <v>41</v>
      </c>
    </row>
    <row r="759" spans="1:8" x14ac:dyDescent="0.3">
      <c r="A759" s="4" t="s">
        <v>27</v>
      </c>
      <c r="B759" s="4" t="str">
        <f>VLOOKUP(A759,Cleandata!G759:H1758,2,FALSE)</f>
        <v>Electronics</v>
      </c>
      <c r="G759" t="s">
        <v>16</v>
      </c>
      <c r="H759">
        <f>INDEX(Cleandata!D759:D1758,MATCH(G759,G759:G1758,0))</f>
        <v>37</v>
      </c>
    </row>
    <row r="760" spans="1:8" x14ac:dyDescent="0.3">
      <c r="A760" s="4" t="s">
        <v>23</v>
      </c>
      <c r="B760" s="4" t="str">
        <f>VLOOKUP(A760,Cleandata!G760:H1759,2,FALSE)</f>
        <v>Clothing</v>
      </c>
      <c r="G760" t="s">
        <v>59</v>
      </c>
      <c r="H760">
        <f>INDEX(Cleandata!D760:D1759,MATCH(G760,G760:G1759,0))</f>
        <v>30</v>
      </c>
    </row>
    <row r="761" spans="1:8" x14ac:dyDescent="0.3">
      <c r="A761" s="4" t="s">
        <v>44</v>
      </c>
      <c r="B761" s="4" t="str">
        <f>VLOOKUP(A761,Cleandata!G761:H1760,2,FALSE)</f>
        <v>Accessories</v>
      </c>
      <c r="G761" t="s">
        <v>62</v>
      </c>
      <c r="H761">
        <f>INDEX(Cleandata!D761:D1760,MATCH(G761,G761:G1760,0))</f>
        <v>30</v>
      </c>
    </row>
    <row r="762" spans="1:8" x14ac:dyDescent="0.3">
      <c r="A762" s="4" t="s">
        <v>55</v>
      </c>
      <c r="B762" s="4" t="str">
        <f>VLOOKUP(A762,Cleandata!G762:H1761,2,FALSE)</f>
        <v>Accessories</v>
      </c>
      <c r="G762" t="s">
        <v>10</v>
      </c>
      <c r="H762">
        <f>INDEX(Cleandata!D762:D1761,MATCH(G762,G762:G1761,0))</f>
        <v>30</v>
      </c>
    </row>
    <row r="763" spans="1:8" x14ac:dyDescent="0.3">
      <c r="A763" s="4" t="s">
        <v>27</v>
      </c>
      <c r="B763" s="4" t="str">
        <f>VLOOKUP(A763,Cleandata!G763:H1762,2,FALSE)</f>
        <v>Electronics</v>
      </c>
      <c r="G763" t="s">
        <v>32</v>
      </c>
      <c r="H763">
        <f>INDEX(Cleandata!D763:D1762,MATCH(G763,G763:G1762,0))</f>
        <v>30</v>
      </c>
    </row>
    <row r="764" spans="1:8" x14ac:dyDescent="0.3">
      <c r="A764" s="4" t="s">
        <v>27</v>
      </c>
      <c r="B764" s="4" t="str">
        <f>VLOOKUP(A764,Cleandata!G764:H1763,2,FALSE)</f>
        <v>Electronics</v>
      </c>
      <c r="G764" t="s">
        <v>32</v>
      </c>
      <c r="H764">
        <f>INDEX(Cleandata!D764:D1763,MATCH(G764,G764:G1763,0))</f>
        <v>30</v>
      </c>
    </row>
    <row r="765" spans="1:8" x14ac:dyDescent="0.3">
      <c r="A765" s="4" t="s">
        <v>12</v>
      </c>
      <c r="B765" s="4" t="str">
        <f>VLOOKUP(A765,Cleandata!G765:H1764,2,FALSE)</f>
        <v>Electronics</v>
      </c>
      <c r="G765" t="s">
        <v>62</v>
      </c>
      <c r="H765">
        <f>INDEX(Cleandata!D765:D1764,MATCH(G765,G765:G1764,0))</f>
        <v>30</v>
      </c>
    </row>
    <row r="766" spans="1:8" x14ac:dyDescent="0.3">
      <c r="A766" s="4" t="s">
        <v>51</v>
      </c>
      <c r="B766" s="4" t="str">
        <f>VLOOKUP(A766,Cleandata!G766:H1765,2,FALSE)</f>
        <v>Electronics</v>
      </c>
      <c r="G766" t="s">
        <v>68</v>
      </c>
      <c r="H766">
        <f>INDEX(Cleandata!D766:D1765,MATCH(G766,G766:G1765,0))</f>
        <v>30</v>
      </c>
    </row>
    <row r="767" spans="1:8" x14ac:dyDescent="0.3">
      <c r="A767" s="4" t="s">
        <v>12</v>
      </c>
      <c r="B767" s="4" t="str">
        <f>VLOOKUP(A767,Cleandata!G767:H1766,2,FALSE)</f>
        <v>Electronics</v>
      </c>
      <c r="G767" t="s">
        <v>38</v>
      </c>
      <c r="H767">
        <f>INDEX(Cleandata!D767:D1766,MATCH(G767,G767:G1766,0))</f>
        <v>38</v>
      </c>
    </row>
    <row r="768" spans="1:8" x14ac:dyDescent="0.3">
      <c r="A768" s="4" t="s">
        <v>41</v>
      </c>
      <c r="B768" s="4" t="str">
        <f>VLOOKUP(A768,Cleandata!G768:H1767,2,FALSE)</f>
        <v>Accessories</v>
      </c>
      <c r="G768" t="s">
        <v>35</v>
      </c>
      <c r="H768">
        <f>INDEX(Cleandata!D768:D1767,MATCH(G768,G768:G1767,0))</f>
        <v>42</v>
      </c>
    </row>
    <row r="769" spans="1:8" x14ac:dyDescent="0.3">
      <c r="A769" s="4" t="s">
        <v>27</v>
      </c>
      <c r="B769" s="4" t="str">
        <f>VLOOKUP(A769,Cleandata!G769:H1768,2,FALSE)</f>
        <v>Electronics</v>
      </c>
      <c r="G769" t="s">
        <v>16</v>
      </c>
      <c r="H769">
        <f>INDEX(Cleandata!D769:D1768,MATCH(G769,G769:G1768,0))</f>
        <v>30</v>
      </c>
    </row>
    <row r="770" spans="1:8" x14ac:dyDescent="0.3">
      <c r="A770" s="4" t="s">
        <v>12</v>
      </c>
      <c r="B770" s="4" t="str">
        <f>VLOOKUP(A770,Cleandata!G770:H1769,2,FALSE)</f>
        <v>Electronics</v>
      </c>
      <c r="G770" t="s">
        <v>57</v>
      </c>
      <c r="H770">
        <f>INDEX(Cleandata!D770:D1769,MATCH(G770,G770:G1769,0))</f>
        <v>34</v>
      </c>
    </row>
    <row r="771" spans="1:8" x14ac:dyDescent="0.3">
      <c r="A771" s="4" t="s">
        <v>55</v>
      </c>
      <c r="B771" s="4" t="str">
        <f>VLOOKUP(A771,Cleandata!G771:H1770,2,FALSE)</f>
        <v>Accessories</v>
      </c>
      <c r="G771" t="s">
        <v>48</v>
      </c>
      <c r="H771">
        <f>INDEX(Cleandata!D771:D1770,MATCH(G771,G771:G1770,0))</f>
        <v>45</v>
      </c>
    </row>
    <row r="772" spans="1:8" x14ac:dyDescent="0.3">
      <c r="A772" s="4" t="s">
        <v>44</v>
      </c>
      <c r="B772" s="4" t="str">
        <f>VLOOKUP(A772,Cleandata!G772:H1771,2,FALSE)</f>
        <v>Accessories</v>
      </c>
      <c r="G772" t="s">
        <v>57</v>
      </c>
      <c r="H772">
        <f>INDEX(Cleandata!D772:D1771,MATCH(G772,G772:G1771,0))</f>
        <v>41</v>
      </c>
    </row>
    <row r="773" spans="1:8" x14ac:dyDescent="0.3">
      <c r="A773" s="4" t="s">
        <v>12</v>
      </c>
      <c r="B773" s="4" t="str">
        <f>VLOOKUP(A773,Cleandata!G773:H1772,2,FALSE)</f>
        <v>Electronics</v>
      </c>
      <c r="G773" t="s">
        <v>68</v>
      </c>
      <c r="H773">
        <f>INDEX(Cleandata!D773:D1772,MATCH(G773,G773:G1772,0))</f>
        <v>30</v>
      </c>
    </row>
    <row r="774" spans="1:8" x14ac:dyDescent="0.3">
      <c r="A774" s="4" t="s">
        <v>51</v>
      </c>
      <c r="B774" s="4" t="str">
        <f>VLOOKUP(A774,Cleandata!G774:H1773,2,FALSE)</f>
        <v>Electronics</v>
      </c>
      <c r="G774" t="s">
        <v>38</v>
      </c>
      <c r="H774">
        <f>INDEX(Cleandata!D774:D1773,MATCH(G774,G774:G1773,0))</f>
        <v>43</v>
      </c>
    </row>
    <row r="775" spans="1:8" x14ac:dyDescent="0.3">
      <c r="A775" s="4" t="s">
        <v>12</v>
      </c>
      <c r="B775" s="4" t="str">
        <f>VLOOKUP(A775,Cleandata!G775:H1774,2,FALSE)</f>
        <v>Electronics</v>
      </c>
      <c r="G775" t="s">
        <v>69</v>
      </c>
      <c r="H775">
        <f>INDEX(Cleandata!D775:D1774,MATCH(G775,G775:G1774,0))</f>
        <v>42</v>
      </c>
    </row>
    <row r="776" spans="1:8" x14ac:dyDescent="0.3">
      <c r="A776" s="4" t="s">
        <v>51</v>
      </c>
      <c r="B776" s="4" t="str">
        <f>VLOOKUP(A776,Cleandata!G776:H1775,2,FALSE)</f>
        <v>Electronics</v>
      </c>
      <c r="G776" t="s">
        <v>21</v>
      </c>
      <c r="H776">
        <f>INDEX(Cleandata!D776:D1775,MATCH(G776,G776:G1775,0))</f>
        <v>30</v>
      </c>
    </row>
    <row r="777" spans="1:8" x14ac:dyDescent="0.3">
      <c r="A777" s="4" t="s">
        <v>55</v>
      </c>
      <c r="B777" s="4" t="str">
        <f>VLOOKUP(A777,Cleandata!G777:H1776,2,FALSE)</f>
        <v>Accessories</v>
      </c>
      <c r="G777" t="s">
        <v>32</v>
      </c>
      <c r="H777">
        <f>INDEX(Cleandata!D777:D1776,MATCH(G777,G777:G1776,0))</f>
        <v>22</v>
      </c>
    </row>
    <row r="778" spans="1:8" x14ac:dyDescent="0.3">
      <c r="A778" s="4" t="s">
        <v>23</v>
      </c>
      <c r="B778" s="4" t="str">
        <f>VLOOKUP(A778,Cleandata!G778:H1777,2,FALSE)</f>
        <v>Clothing</v>
      </c>
      <c r="G778" t="s">
        <v>46</v>
      </c>
      <c r="H778">
        <f>INDEX(Cleandata!D778:D1777,MATCH(G778,G778:G1777,0))</f>
        <v>30</v>
      </c>
    </row>
    <row r="779" spans="1:8" x14ac:dyDescent="0.3">
      <c r="A779" s="4" t="s">
        <v>12</v>
      </c>
      <c r="B779" s="4" t="str">
        <f>VLOOKUP(A779,Cleandata!G779:H1778,2,FALSE)</f>
        <v>Electronics</v>
      </c>
      <c r="G779" t="s">
        <v>54</v>
      </c>
      <c r="H779">
        <f>INDEX(Cleandata!D779:D1778,MATCH(G779,G779:G1778,0))</f>
        <v>30</v>
      </c>
    </row>
    <row r="780" spans="1:8" x14ac:dyDescent="0.3">
      <c r="A780" s="4" t="s">
        <v>44</v>
      </c>
      <c r="B780" s="4" t="str">
        <f>VLOOKUP(A780,Cleandata!G780:H1779,2,FALSE)</f>
        <v>Accessories</v>
      </c>
      <c r="G780" t="s">
        <v>10</v>
      </c>
      <c r="H780">
        <f>INDEX(Cleandata!D780:D1779,MATCH(G780,G780:G1779,0))</f>
        <v>30</v>
      </c>
    </row>
    <row r="781" spans="1:8" x14ac:dyDescent="0.3">
      <c r="A781" s="4" t="s">
        <v>44</v>
      </c>
      <c r="B781" s="4" t="str">
        <f>VLOOKUP(A781,Cleandata!G781:H1780,2,FALSE)</f>
        <v>Accessories</v>
      </c>
      <c r="G781" t="s">
        <v>38</v>
      </c>
      <c r="H781">
        <f>INDEX(Cleandata!D781:D1780,MATCH(G781,G781:G1780,0))</f>
        <v>43</v>
      </c>
    </row>
    <row r="782" spans="1:8" x14ac:dyDescent="0.3">
      <c r="A782" s="4" t="s">
        <v>23</v>
      </c>
      <c r="B782" s="4" t="str">
        <f>VLOOKUP(A782,Cleandata!G782:H1781,2,FALSE)</f>
        <v>Clothing</v>
      </c>
      <c r="G782" t="s">
        <v>16</v>
      </c>
      <c r="H782">
        <f>INDEX(Cleandata!D782:D1781,MATCH(G782,G782:G1781,0))</f>
        <v>30</v>
      </c>
    </row>
    <row r="783" spans="1:8" x14ac:dyDescent="0.3">
      <c r="A783" s="4" t="s">
        <v>44</v>
      </c>
      <c r="B783" s="4" t="str">
        <f>VLOOKUP(A783,Cleandata!G783:H1782,2,FALSE)</f>
        <v>Accessories</v>
      </c>
      <c r="G783" t="s">
        <v>10</v>
      </c>
      <c r="H783">
        <f>INDEX(Cleandata!D783:D1782,MATCH(G783,G783:G1782,0))</f>
        <v>26</v>
      </c>
    </row>
    <row r="784" spans="1:8" x14ac:dyDescent="0.3">
      <c r="A784" s="4" t="s">
        <v>23</v>
      </c>
      <c r="B784" s="4" t="str">
        <f>VLOOKUP(A784,Cleandata!G784:H1783,2,FALSE)</f>
        <v>Clothing</v>
      </c>
      <c r="G784" t="s">
        <v>21</v>
      </c>
      <c r="H784">
        <f>INDEX(Cleandata!D784:D1783,MATCH(G784,G784:G1783,0))</f>
        <v>46</v>
      </c>
    </row>
    <row r="785" spans="1:8" x14ac:dyDescent="0.3">
      <c r="A785" s="4" t="s">
        <v>18</v>
      </c>
      <c r="B785" s="4" t="str">
        <f>VLOOKUP(A785,Cleandata!G785:H1784,2,FALSE)</f>
        <v>Clothing</v>
      </c>
      <c r="G785" t="s">
        <v>62</v>
      </c>
      <c r="H785">
        <f>INDEX(Cleandata!D785:D1784,MATCH(G785,G785:G1784,0))</f>
        <v>30</v>
      </c>
    </row>
    <row r="786" spans="1:8" x14ac:dyDescent="0.3">
      <c r="A786" s="4" t="s">
        <v>41</v>
      </c>
      <c r="B786" s="4" t="str">
        <f>VLOOKUP(A786,Cleandata!G786:H1785,2,FALSE)</f>
        <v>Accessories</v>
      </c>
      <c r="G786" t="s">
        <v>68</v>
      </c>
      <c r="H786">
        <f>INDEX(Cleandata!D786:D1785,MATCH(G786,G786:G1785,0))</f>
        <v>30</v>
      </c>
    </row>
    <row r="787" spans="1:8" x14ac:dyDescent="0.3">
      <c r="A787" s="4" t="s">
        <v>41</v>
      </c>
      <c r="B787" s="4" t="str">
        <f>VLOOKUP(A787,Cleandata!G787:H1786,2,FALSE)</f>
        <v>Accessories</v>
      </c>
      <c r="G787" t="s">
        <v>46</v>
      </c>
      <c r="H787">
        <f>INDEX(Cleandata!D787:D1786,MATCH(G787,G787:G1786,0))</f>
        <v>39</v>
      </c>
    </row>
    <row r="788" spans="1:8" x14ac:dyDescent="0.3">
      <c r="A788" s="4" t="s">
        <v>51</v>
      </c>
      <c r="B788" s="4" t="str">
        <f>VLOOKUP(A788,Cleandata!G788:H1787,2,FALSE)</f>
        <v>Electronics</v>
      </c>
      <c r="G788" t="s">
        <v>21</v>
      </c>
      <c r="H788">
        <f>INDEX(Cleandata!D788:D1787,MATCH(G788,G788:G1787,0))</f>
        <v>20</v>
      </c>
    </row>
    <row r="789" spans="1:8" x14ac:dyDescent="0.3">
      <c r="A789" s="4" t="s">
        <v>12</v>
      </c>
      <c r="B789" s="4" t="str">
        <f>VLOOKUP(A789,Cleandata!G789:H1788,2,FALSE)</f>
        <v>Electronics</v>
      </c>
      <c r="G789" t="s">
        <v>57</v>
      </c>
      <c r="H789">
        <f>INDEX(Cleandata!D789:D1788,MATCH(G789,G789:G1788,0))</f>
        <v>30</v>
      </c>
    </row>
    <row r="790" spans="1:8" x14ac:dyDescent="0.3">
      <c r="A790" s="4" t="s">
        <v>23</v>
      </c>
      <c r="B790" s="4" t="str">
        <f>VLOOKUP(A790,Cleandata!G790:H1789,2,FALSE)</f>
        <v>Clothing</v>
      </c>
      <c r="G790" t="s">
        <v>16</v>
      </c>
      <c r="H790">
        <f>INDEX(Cleandata!D790:D1789,MATCH(G790,G790:G1789,0))</f>
        <v>43</v>
      </c>
    </row>
    <row r="791" spans="1:8" x14ac:dyDescent="0.3">
      <c r="A791" s="4" t="s">
        <v>55</v>
      </c>
      <c r="B791" s="4" t="str">
        <f>VLOOKUP(A791,Cleandata!G791:H1790,2,FALSE)</f>
        <v>Accessories</v>
      </c>
      <c r="G791" t="s">
        <v>16</v>
      </c>
      <c r="H791">
        <f>INDEX(Cleandata!D791:D1790,MATCH(G791,G791:G1790,0))</f>
        <v>30</v>
      </c>
    </row>
    <row r="792" spans="1:8" x14ac:dyDescent="0.3">
      <c r="A792" s="4" t="s">
        <v>51</v>
      </c>
      <c r="B792" s="4" t="str">
        <f>VLOOKUP(A792,Cleandata!G792:H1791,2,FALSE)</f>
        <v>Electronics</v>
      </c>
      <c r="G792" t="s">
        <v>25</v>
      </c>
      <c r="H792">
        <f>INDEX(Cleandata!D792:D1791,MATCH(G792,G792:G1791,0))</f>
        <v>30</v>
      </c>
    </row>
    <row r="793" spans="1:8" x14ac:dyDescent="0.3">
      <c r="A793" s="4" t="s">
        <v>27</v>
      </c>
      <c r="B793" s="4" t="str">
        <f>VLOOKUP(A793,Cleandata!G793:H1792,2,FALSE)</f>
        <v>Electronics</v>
      </c>
      <c r="G793" t="s">
        <v>78</v>
      </c>
      <c r="H793">
        <f>INDEX(Cleandata!D793:D1792,MATCH(G793,G793:G1792,0))</f>
        <v>30</v>
      </c>
    </row>
    <row r="794" spans="1:8" x14ac:dyDescent="0.3">
      <c r="A794" s="4" t="s">
        <v>55</v>
      </c>
      <c r="B794" s="4" t="str">
        <f>VLOOKUP(A794,Cleandata!G794:H1793,2,FALSE)</f>
        <v>Accessories</v>
      </c>
      <c r="G794" t="s">
        <v>68</v>
      </c>
      <c r="H794">
        <f>INDEX(Cleandata!D794:D1793,MATCH(G794,G794:G1793,0))</f>
        <v>30</v>
      </c>
    </row>
    <row r="795" spans="1:8" x14ac:dyDescent="0.3">
      <c r="A795" s="4" t="s">
        <v>51</v>
      </c>
      <c r="B795" s="4" t="str">
        <f>VLOOKUP(A795,Cleandata!G795:H1794,2,FALSE)</f>
        <v>Electronics</v>
      </c>
      <c r="G795" t="s">
        <v>62</v>
      </c>
      <c r="H795">
        <f>INDEX(Cleandata!D795:D1794,MATCH(G795,G795:G1794,0))</f>
        <v>30</v>
      </c>
    </row>
    <row r="796" spans="1:8" x14ac:dyDescent="0.3">
      <c r="A796" s="4" t="s">
        <v>18</v>
      </c>
      <c r="B796" s="4" t="str">
        <f>VLOOKUP(A796,Cleandata!G796:H1795,2,FALSE)</f>
        <v>Clothing</v>
      </c>
      <c r="G796" t="s">
        <v>32</v>
      </c>
      <c r="H796">
        <f>INDEX(Cleandata!D796:D1795,MATCH(G796,G796:G1795,0))</f>
        <v>30</v>
      </c>
    </row>
    <row r="797" spans="1:8" x14ac:dyDescent="0.3">
      <c r="A797" s="4" t="s">
        <v>44</v>
      </c>
      <c r="B797" s="4" t="str">
        <f>VLOOKUP(A797,Cleandata!G797:H1796,2,FALSE)</f>
        <v>Accessories</v>
      </c>
      <c r="G797" t="s">
        <v>48</v>
      </c>
      <c r="H797">
        <f>INDEX(Cleandata!D797:D1796,MATCH(G797,G797:G1796,0))</f>
        <v>30</v>
      </c>
    </row>
    <row r="798" spans="1:8" x14ac:dyDescent="0.3">
      <c r="A798" s="4" t="s">
        <v>12</v>
      </c>
      <c r="B798" s="4" t="str">
        <f>VLOOKUP(A798,Cleandata!G798:H1797,2,FALSE)</f>
        <v>Electronics</v>
      </c>
      <c r="G798" t="s">
        <v>35</v>
      </c>
      <c r="H798">
        <f>INDEX(Cleandata!D798:D1797,MATCH(G798,G798:G1797,0))</f>
        <v>38</v>
      </c>
    </row>
    <row r="799" spans="1:8" x14ac:dyDescent="0.3">
      <c r="A799" s="4" t="s">
        <v>27</v>
      </c>
      <c r="B799" s="4" t="str">
        <f>VLOOKUP(A799,Cleandata!G799:H1798,2,FALSE)</f>
        <v>Electronics</v>
      </c>
      <c r="G799" t="s">
        <v>21</v>
      </c>
      <c r="H799">
        <f>INDEX(Cleandata!D799:D1798,MATCH(G799,G799:G1798,0))</f>
        <v>33</v>
      </c>
    </row>
    <row r="800" spans="1:8" x14ac:dyDescent="0.3">
      <c r="A800" s="4" t="s">
        <v>51</v>
      </c>
      <c r="B800" s="4" t="str">
        <f>VLOOKUP(A800,Cleandata!G800:H1799,2,FALSE)</f>
        <v>Electronics</v>
      </c>
      <c r="G800" t="s">
        <v>78</v>
      </c>
      <c r="H800">
        <f>INDEX(Cleandata!D800:D1799,MATCH(G800,G800:G1799,0))</f>
        <v>30</v>
      </c>
    </row>
    <row r="801" spans="1:8" x14ac:dyDescent="0.3">
      <c r="A801" s="4" t="s">
        <v>23</v>
      </c>
      <c r="B801" s="4" t="str">
        <f>VLOOKUP(A801,Cleandata!G801:H1800,2,FALSE)</f>
        <v>Clothing</v>
      </c>
      <c r="G801" t="s">
        <v>78</v>
      </c>
      <c r="H801">
        <f>INDEX(Cleandata!D801:D1800,MATCH(G801,G801:G1800,0))</f>
        <v>32</v>
      </c>
    </row>
    <row r="802" spans="1:8" x14ac:dyDescent="0.3">
      <c r="A802" s="4" t="s">
        <v>18</v>
      </c>
      <c r="B802" s="4" t="str">
        <f>VLOOKUP(A802,Cleandata!G802:H1801,2,FALSE)</f>
        <v>Clothing</v>
      </c>
      <c r="G802" t="s">
        <v>21</v>
      </c>
      <c r="H802">
        <f>INDEX(Cleandata!D802:D1801,MATCH(G802,G802:G1801,0))</f>
        <v>30</v>
      </c>
    </row>
    <row r="803" spans="1:8" x14ac:dyDescent="0.3">
      <c r="A803" s="4" t="s">
        <v>55</v>
      </c>
      <c r="B803" s="4" t="str">
        <f>VLOOKUP(A803,Cleandata!G803:H1802,2,FALSE)</f>
        <v>Accessories</v>
      </c>
      <c r="G803" t="s">
        <v>25</v>
      </c>
      <c r="H803">
        <f>INDEX(Cleandata!D803:D1802,MATCH(G803,G803:G1802,0))</f>
        <v>39</v>
      </c>
    </row>
    <row r="804" spans="1:8" x14ac:dyDescent="0.3">
      <c r="A804" s="4" t="s">
        <v>55</v>
      </c>
      <c r="B804" s="4" t="str">
        <f>VLOOKUP(A804,Cleandata!G804:H1803,2,FALSE)</f>
        <v>Accessories</v>
      </c>
      <c r="G804" t="s">
        <v>25</v>
      </c>
      <c r="H804">
        <f>INDEX(Cleandata!D804:D1803,MATCH(G804,G804:G1803,0))</f>
        <v>30</v>
      </c>
    </row>
    <row r="805" spans="1:8" x14ac:dyDescent="0.3">
      <c r="A805" s="4" t="s">
        <v>27</v>
      </c>
      <c r="B805" s="4" t="str">
        <f>VLOOKUP(A805,Cleandata!G805:H1804,2,FALSE)</f>
        <v>Electronics</v>
      </c>
      <c r="G805" t="s">
        <v>73</v>
      </c>
      <c r="H805">
        <f>INDEX(Cleandata!D805:D1804,MATCH(G805,G805:G1804,0))</f>
        <v>26</v>
      </c>
    </row>
    <row r="806" spans="1:8" x14ac:dyDescent="0.3">
      <c r="A806" s="4" t="s">
        <v>44</v>
      </c>
      <c r="B806" s="4" t="str">
        <f>VLOOKUP(A806,Cleandata!G806:H1805,2,FALSE)</f>
        <v>Accessories</v>
      </c>
      <c r="G806" t="s">
        <v>25</v>
      </c>
      <c r="H806">
        <f>INDEX(Cleandata!D806:D1805,MATCH(G806,G806:G1805,0))</f>
        <v>26</v>
      </c>
    </row>
    <row r="807" spans="1:8" x14ac:dyDescent="0.3">
      <c r="A807" s="4" t="s">
        <v>51</v>
      </c>
      <c r="B807" s="4" t="str">
        <f>VLOOKUP(A807,Cleandata!G807:H1806,2,FALSE)</f>
        <v>Electronics</v>
      </c>
      <c r="G807" t="s">
        <v>64</v>
      </c>
      <c r="H807">
        <f>INDEX(Cleandata!D807:D1806,MATCH(G807,G807:G1806,0))</f>
        <v>45</v>
      </c>
    </row>
    <row r="808" spans="1:8" x14ac:dyDescent="0.3">
      <c r="A808" s="4" t="s">
        <v>44</v>
      </c>
      <c r="B808" s="4" t="str">
        <f>VLOOKUP(A808,Cleandata!G808:H1807,2,FALSE)</f>
        <v>Accessories</v>
      </c>
      <c r="G808" t="s">
        <v>54</v>
      </c>
      <c r="H808">
        <f>INDEX(Cleandata!D808:D1807,MATCH(G808,G808:G1807,0))</f>
        <v>35</v>
      </c>
    </row>
    <row r="809" spans="1:8" x14ac:dyDescent="0.3">
      <c r="A809" s="4" t="s">
        <v>55</v>
      </c>
      <c r="B809" s="4" t="str">
        <f>VLOOKUP(A809,Cleandata!G809:H1808,2,FALSE)</f>
        <v>Accessories</v>
      </c>
      <c r="G809" t="s">
        <v>10</v>
      </c>
      <c r="H809">
        <f>INDEX(Cleandata!D809:D1808,MATCH(G809,G809:G1808,0))</f>
        <v>30</v>
      </c>
    </row>
    <row r="810" spans="1:8" x14ac:dyDescent="0.3">
      <c r="A810" s="4" t="s">
        <v>41</v>
      </c>
      <c r="B810" s="4" t="str">
        <f>VLOOKUP(A810,Cleandata!G810:H1809,2,FALSE)</f>
        <v>Accessories</v>
      </c>
      <c r="G810" t="s">
        <v>35</v>
      </c>
      <c r="H810">
        <f>INDEX(Cleandata!D810:D1809,MATCH(G810,G810:G1809,0))</f>
        <v>25</v>
      </c>
    </row>
    <row r="811" spans="1:8" x14ac:dyDescent="0.3">
      <c r="A811" s="4" t="s">
        <v>12</v>
      </c>
      <c r="B811" s="4" t="str">
        <f>VLOOKUP(A811,Cleandata!G811:H1810,2,FALSE)</f>
        <v>Electronics</v>
      </c>
      <c r="G811" t="s">
        <v>35</v>
      </c>
      <c r="H811">
        <f>INDEX(Cleandata!D811:D1810,MATCH(G811,G811:G1810,0))</f>
        <v>30</v>
      </c>
    </row>
    <row r="812" spans="1:8" x14ac:dyDescent="0.3">
      <c r="A812" s="4" t="s">
        <v>12</v>
      </c>
      <c r="B812" s="4" t="str">
        <f>VLOOKUP(A812,Cleandata!G812:H1811,2,FALSE)</f>
        <v>Electronics</v>
      </c>
      <c r="G812" t="s">
        <v>10</v>
      </c>
      <c r="H812">
        <f>INDEX(Cleandata!D812:D1811,MATCH(G812,G812:G1811,0))</f>
        <v>30</v>
      </c>
    </row>
    <row r="813" spans="1:8" x14ac:dyDescent="0.3">
      <c r="A813" s="4" t="s">
        <v>44</v>
      </c>
      <c r="B813" s="4" t="str">
        <f>VLOOKUP(A813,Cleandata!G813:H1812,2,FALSE)</f>
        <v>Accessories</v>
      </c>
      <c r="G813" t="s">
        <v>73</v>
      </c>
      <c r="H813">
        <f>INDEX(Cleandata!D813:D1812,MATCH(G813,G813:G1812,0))</f>
        <v>30</v>
      </c>
    </row>
    <row r="814" spans="1:8" x14ac:dyDescent="0.3">
      <c r="A814" s="4" t="s">
        <v>55</v>
      </c>
      <c r="B814" s="4" t="str">
        <f>VLOOKUP(A814,Cleandata!G814:H1813,2,FALSE)</f>
        <v>Accessories</v>
      </c>
      <c r="G814" t="s">
        <v>62</v>
      </c>
      <c r="H814">
        <f>INDEX(Cleandata!D814:D1813,MATCH(G814,G814:G1813,0))</f>
        <v>23</v>
      </c>
    </row>
    <row r="815" spans="1:8" x14ac:dyDescent="0.3">
      <c r="A815" s="4" t="s">
        <v>23</v>
      </c>
      <c r="B815" s="4" t="str">
        <f>VLOOKUP(A815,Cleandata!G815:H1814,2,FALSE)</f>
        <v>Clothing</v>
      </c>
      <c r="G815" t="s">
        <v>16</v>
      </c>
      <c r="H815">
        <f>INDEX(Cleandata!D815:D1814,MATCH(G815,G815:G1814,0))</f>
        <v>30</v>
      </c>
    </row>
    <row r="816" spans="1:8" x14ac:dyDescent="0.3">
      <c r="A816" s="4" t="s">
        <v>18</v>
      </c>
      <c r="B816" s="4" t="str">
        <f>VLOOKUP(A816,Cleandata!G816:H1815,2,FALSE)</f>
        <v>Clothing</v>
      </c>
      <c r="G816" t="s">
        <v>10</v>
      </c>
      <c r="H816">
        <f>INDEX(Cleandata!D816:D1815,MATCH(G816,G816:G1815,0))</f>
        <v>31</v>
      </c>
    </row>
    <row r="817" spans="1:8" x14ac:dyDescent="0.3">
      <c r="A817" s="4" t="s">
        <v>51</v>
      </c>
      <c r="B817" s="4" t="str">
        <f>VLOOKUP(A817,Cleandata!G817:H1816,2,FALSE)</f>
        <v>Electronics</v>
      </c>
      <c r="G817" t="s">
        <v>59</v>
      </c>
      <c r="H817">
        <f>INDEX(Cleandata!D817:D1816,MATCH(G817,G817:G1816,0))</f>
        <v>31</v>
      </c>
    </row>
    <row r="818" spans="1:8" x14ac:dyDescent="0.3">
      <c r="A818" s="4" t="s">
        <v>41</v>
      </c>
      <c r="B818" s="4" t="str">
        <f>VLOOKUP(A818,Cleandata!G818:H1817,2,FALSE)</f>
        <v>Accessories</v>
      </c>
      <c r="G818" t="s">
        <v>32</v>
      </c>
      <c r="H818">
        <f>INDEX(Cleandata!D818:D1817,MATCH(G818,G818:G1817,0))</f>
        <v>41</v>
      </c>
    </row>
    <row r="819" spans="1:8" x14ac:dyDescent="0.3">
      <c r="A819" s="4" t="s">
        <v>27</v>
      </c>
      <c r="B819" s="4" t="str">
        <f>VLOOKUP(A819,Cleandata!G819:H1818,2,FALSE)</f>
        <v>Electronics</v>
      </c>
      <c r="G819" t="s">
        <v>32</v>
      </c>
      <c r="H819">
        <f>INDEX(Cleandata!D819:D1818,MATCH(G819,G819:G1818,0))</f>
        <v>30</v>
      </c>
    </row>
    <row r="820" spans="1:8" x14ac:dyDescent="0.3">
      <c r="A820" s="4" t="s">
        <v>23</v>
      </c>
      <c r="B820" s="4" t="str">
        <f>VLOOKUP(A820,Cleandata!G820:H1819,2,FALSE)</f>
        <v>Clothing</v>
      </c>
      <c r="G820" t="s">
        <v>21</v>
      </c>
      <c r="H820">
        <f>INDEX(Cleandata!D820:D1819,MATCH(G820,G820:G1819,0))</f>
        <v>41</v>
      </c>
    </row>
    <row r="821" spans="1:8" x14ac:dyDescent="0.3">
      <c r="A821" s="4" t="s">
        <v>51</v>
      </c>
      <c r="B821" s="4" t="str">
        <f>VLOOKUP(A821,Cleandata!G821:H1820,2,FALSE)</f>
        <v>Electronics</v>
      </c>
      <c r="G821" t="s">
        <v>68</v>
      </c>
      <c r="H821">
        <f>INDEX(Cleandata!D821:D1820,MATCH(G821,G821:G1820,0))</f>
        <v>35</v>
      </c>
    </row>
    <row r="822" spans="1:8" x14ac:dyDescent="0.3">
      <c r="A822" s="4" t="s">
        <v>51</v>
      </c>
      <c r="B822" s="4" t="str">
        <f>VLOOKUP(A822,Cleandata!G822:H1821,2,FALSE)</f>
        <v>Electronics</v>
      </c>
      <c r="G822" t="s">
        <v>25</v>
      </c>
      <c r="H822">
        <f>INDEX(Cleandata!D822:D1821,MATCH(G822,G822:G1821,0))</f>
        <v>42</v>
      </c>
    </row>
    <row r="823" spans="1:8" x14ac:dyDescent="0.3">
      <c r="A823" s="4" t="s">
        <v>44</v>
      </c>
      <c r="B823" s="4" t="str">
        <f>VLOOKUP(A823,Cleandata!G823:H1822,2,FALSE)</f>
        <v>Accessories</v>
      </c>
      <c r="G823" t="s">
        <v>57</v>
      </c>
      <c r="H823">
        <f>INDEX(Cleandata!D823:D1822,MATCH(G823,G823:G1822,0))</f>
        <v>39</v>
      </c>
    </row>
    <row r="824" spans="1:8" x14ac:dyDescent="0.3">
      <c r="A824" s="4" t="s">
        <v>51</v>
      </c>
      <c r="B824" s="4" t="str">
        <f>VLOOKUP(A824,Cleandata!G824:H1823,2,FALSE)</f>
        <v>Electronics</v>
      </c>
      <c r="G824" t="s">
        <v>10</v>
      </c>
      <c r="H824">
        <f>INDEX(Cleandata!D824:D1823,MATCH(G824,G824:G1823,0))</f>
        <v>24</v>
      </c>
    </row>
    <row r="825" spans="1:8" x14ac:dyDescent="0.3">
      <c r="A825" s="4" t="s">
        <v>23</v>
      </c>
      <c r="B825" s="4" t="str">
        <f>VLOOKUP(A825,Cleandata!G825:H1824,2,FALSE)</f>
        <v>Clothing</v>
      </c>
      <c r="G825" t="s">
        <v>69</v>
      </c>
      <c r="H825">
        <f>INDEX(Cleandata!D825:D1824,MATCH(G825,G825:G1824,0))</f>
        <v>30</v>
      </c>
    </row>
    <row r="826" spans="1:8" x14ac:dyDescent="0.3">
      <c r="A826" s="4" t="s">
        <v>27</v>
      </c>
      <c r="B826" s="4" t="str">
        <f>VLOOKUP(A826,Cleandata!G826:H1825,2,FALSE)</f>
        <v>Electronics</v>
      </c>
      <c r="G826" t="s">
        <v>32</v>
      </c>
      <c r="H826">
        <f>INDEX(Cleandata!D826:D1825,MATCH(G826,G826:G1825,0))</f>
        <v>38</v>
      </c>
    </row>
    <row r="827" spans="1:8" x14ac:dyDescent="0.3">
      <c r="A827" s="4" t="s">
        <v>41</v>
      </c>
      <c r="B827" s="4" t="str">
        <f>VLOOKUP(A827,Cleandata!G827:H1826,2,FALSE)</f>
        <v>Accessories</v>
      </c>
      <c r="G827" t="s">
        <v>59</v>
      </c>
      <c r="H827">
        <f>INDEX(Cleandata!D827:D1826,MATCH(G827,G827:G1826,0))</f>
        <v>30</v>
      </c>
    </row>
    <row r="828" spans="1:8" x14ac:dyDescent="0.3">
      <c r="A828" s="4" t="s">
        <v>55</v>
      </c>
      <c r="B828" s="4" t="str">
        <f>VLOOKUP(A828,Cleandata!G828:H1827,2,FALSE)</f>
        <v>Accessories</v>
      </c>
      <c r="G828" t="s">
        <v>78</v>
      </c>
      <c r="H828">
        <f>INDEX(Cleandata!D828:D1827,MATCH(G828,G828:G1827,0))</f>
        <v>22</v>
      </c>
    </row>
    <row r="829" spans="1:8" x14ac:dyDescent="0.3">
      <c r="A829" s="4" t="s">
        <v>51</v>
      </c>
      <c r="B829" s="4" t="str">
        <f>VLOOKUP(A829,Cleandata!G829:H1828,2,FALSE)</f>
        <v>Electronics</v>
      </c>
      <c r="G829" t="s">
        <v>54</v>
      </c>
      <c r="H829">
        <f>INDEX(Cleandata!D829:D1828,MATCH(G829,G829:G1828,0))</f>
        <v>22</v>
      </c>
    </row>
    <row r="830" spans="1:8" x14ac:dyDescent="0.3">
      <c r="A830" s="4" t="s">
        <v>12</v>
      </c>
      <c r="B830" s="4" t="str">
        <f>VLOOKUP(A830,Cleandata!G830:H1829,2,FALSE)</f>
        <v>Electronics</v>
      </c>
      <c r="G830" t="s">
        <v>62</v>
      </c>
      <c r="H830">
        <f>INDEX(Cleandata!D830:D1829,MATCH(G830,G830:G1829,0))</f>
        <v>30</v>
      </c>
    </row>
    <row r="831" spans="1:8" x14ac:dyDescent="0.3">
      <c r="A831" s="4" t="s">
        <v>23</v>
      </c>
      <c r="B831" s="4" t="str">
        <f>VLOOKUP(A831,Cleandata!G831:H1830,2,FALSE)</f>
        <v>Clothing</v>
      </c>
      <c r="G831" t="s">
        <v>46</v>
      </c>
      <c r="H831">
        <f>INDEX(Cleandata!D831:D1830,MATCH(G831,G831:G1830,0))</f>
        <v>30</v>
      </c>
    </row>
    <row r="832" spans="1:8" x14ac:dyDescent="0.3">
      <c r="A832" s="4" t="s">
        <v>44</v>
      </c>
      <c r="B832" s="4" t="str">
        <f>VLOOKUP(A832,Cleandata!G832:H1831,2,FALSE)</f>
        <v>Accessories</v>
      </c>
      <c r="G832" t="s">
        <v>68</v>
      </c>
      <c r="H832">
        <f>INDEX(Cleandata!D832:D1831,MATCH(G832,G832:G1831,0))</f>
        <v>30</v>
      </c>
    </row>
    <row r="833" spans="1:8" x14ac:dyDescent="0.3">
      <c r="A833" s="4" t="s">
        <v>23</v>
      </c>
      <c r="B833" s="4" t="str">
        <f>VLOOKUP(A833,Cleandata!G833:H1832,2,FALSE)</f>
        <v>Clothing</v>
      </c>
      <c r="G833" t="s">
        <v>54</v>
      </c>
      <c r="H833">
        <f>INDEX(Cleandata!D833:D1832,MATCH(G833,G833:G1832,0))</f>
        <v>42</v>
      </c>
    </row>
    <row r="834" spans="1:8" x14ac:dyDescent="0.3">
      <c r="A834" s="4" t="s">
        <v>51</v>
      </c>
      <c r="B834" s="4" t="str">
        <f>VLOOKUP(A834,Cleandata!G834:H1833,2,FALSE)</f>
        <v>Electronics</v>
      </c>
      <c r="G834" t="s">
        <v>38</v>
      </c>
      <c r="H834">
        <f>INDEX(Cleandata!D834:D1833,MATCH(G834,G834:G1833,0))</f>
        <v>44</v>
      </c>
    </row>
    <row r="835" spans="1:8" x14ac:dyDescent="0.3">
      <c r="A835" s="4" t="s">
        <v>27</v>
      </c>
      <c r="B835" s="4" t="str">
        <f>VLOOKUP(A835,Cleandata!G835:H1834,2,FALSE)</f>
        <v>Electronics</v>
      </c>
      <c r="G835" t="s">
        <v>38</v>
      </c>
      <c r="H835">
        <f>INDEX(Cleandata!D835:D1834,MATCH(G835,G835:G1834,0))</f>
        <v>30</v>
      </c>
    </row>
    <row r="836" spans="1:8" x14ac:dyDescent="0.3">
      <c r="A836" s="4" t="s">
        <v>51</v>
      </c>
      <c r="B836" s="4" t="str">
        <f>VLOOKUP(A836,Cleandata!G836:H1835,2,FALSE)</f>
        <v>Electronics</v>
      </c>
      <c r="G836" t="s">
        <v>68</v>
      </c>
      <c r="H836">
        <f>INDEX(Cleandata!D836:D1835,MATCH(G836,G836:G1835,0))</f>
        <v>37</v>
      </c>
    </row>
    <row r="837" spans="1:8" x14ac:dyDescent="0.3">
      <c r="A837" s="4" t="s">
        <v>18</v>
      </c>
      <c r="B837" s="4" t="str">
        <f>VLOOKUP(A837,Cleandata!G837:H1836,2,FALSE)</f>
        <v>Clothing</v>
      </c>
      <c r="G837" t="s">
        <v>57</v>
      </c>
      <c r="H837">
        <f>INDEX(Cleandata!D837:D1836,MATCH(G837,G837:G1836,0))</f>
        <v>20</v>
      </c>
    </row>
    <row r="838" spans="1:8" x14ac:dyDescent="0.3">
      <c r="A838" s="4" t="s">
        <v>27</v>
      </c>
      <c r="B838" s="4" t="str">
        <f>VLOOKUP(A838,Cleandata!G838:H1837,2,FALSE)</f>
        <v>Electronics</v>
      </c>
      <c r="G838" t="s">
        <v>32</v>
      </c>
      <c r="H838">
        <f>INDEX(Cleandata!D838:D1837,MATCH(G838,G838:G1837,0))</f>
        <v>49</v>
      </c>
    </row>
    <row r="839" spans="1:8" x14ac:dyDescent="0.3">
      <c r="A839" s="4" t="s">
        <v>27</v>
      </c>
      <c r="B839" s="4" t="str">
        <f>VLOOKUP(A839,Cleandata!G839:H1838,2,FALSE)</f>
        <v>Electronics</v>
      </c>
      <c r="G839" t="s">
        <v>38</v>
      </c>
      <c r="H839">
        <f>INDEX(Cleandata!D839:D1838,MATCH(G839,G839:G1838,0))</f>
        <v>30</v>
      </c>
    </row>
    <row r="840" spans="1:8" x14ac:dyDescent="0.3">
      <c r="A840" s="4" t="s">
        <v>41</v>
      </c>
      <c r="B840" s="4" t="str">
        <f>VLOOKUP(A840,Cleandata!G840:H1839,2,FALSE)</f>
        <v>Accessories</v>
      </c>
      <c r="G840" t="s">
        <v>46</v>
      </c>
      <c r="H840">
        <f>INDEX(Cleandata!D840:D1839,MATCH(G840,G840:G1839,0))</f>
        <v>34</v>
      </c>
    </row>
    <row r="841" spans="1:8" x14ac:dyDescent="0.3">
      <c r="A841" s="4" t="s">
        <v>41</v>
      </c>
      <c r="B841" s="4" t="str">
        <f>VLOOKUP(A841,Cleandata!G841:H1840,2,FALSE)</f>
        <v>Accessories</v>
      </c>
      <c r="G841" t="s">
        <v>73</v>
      </c>
      <c r="H841">
        <f>INDEX(Cleandata!D841:D1840,MATCH(G841,G841:G1840,0))</f>
        <v>48</v>
      </c>
    </row>
    <row r="842" spans="1:8" x14ac:dyDescent="0.3">
      <c r="A842" s="4" t="s">
        <v>27</v>
      </c>
      <c r="B842" s="4" t="str">
        <f>VLOOKUP(A842,Cleandata!G842:H1841,2,FALSE)</f>
        <v>Electronics</v>
      </c>
      <c r="G842" t="s">
        <v>21</v>
      </c>
      <c r="H842">
        <f>INDEX(Cleandata!D842:D1841,MATCH(G842,G842:G1841,0))</f>
        <v>30</v>
      </c>
    </row>
    <row r="843" spans="1:8" x14ac:dyDescent="0.3">
      <c r="A843" s="4" t="s">
        <v>51</v>
      </c>
      <c r="B843" s="4" t="str">
        <f>VLOOKUP(A843,Cleandata!G843:H1842,2,FALSE)</f>
        <v>Electronics</v>
      </c>
      <c r="G843" t="s">
        <v>21</v>
      </c>
      <c r="H843">
        <f>INDEX(Cleandata!D843:D1842,MATCH(G843,G843:G1842,0))</f>
        <v>20</v>
      </c>
    </row>
    <row r="844" spans="1:8" x14ac:dyDescent="0.3">
      <c r="A844" s="4" t="s">
        <v>12</v>
      </c>
      <c r="B844" s="4" t="str">
        <f>VLOOKUP(A844,Cleandata!G844:H1843,2,FALSE)</f>
        <v>Electronics</v>
      </c>
      <c r="G844" t="s">
        <v>16</v>
      </c>
      <c r="H844">
        <f>INDEX(Cleandata!D844:D1843,MATCH(G844,G844:G1843,0))</f>
        <v>18</v>
      </c>
    </row>
    <row r="845" spans="1:8" x14ac:dyDescent="0.3">
      <c r="A845" s="4" t="s">
        <v>27</v>
      </c>
      <c r="B845" s="4" t="str">
        <f>VLOOKUP(A845,Cleandata!G845:H1844,2,FALSE)</f>
        <v>Electronics</v>
      </c>
      <c r="G845" t="s">
        <v>16</v>
      </c>
      <c r="H845">
        <f>INDEX(Cleandata!D845:D1844,MATCH(G845,G845:G1844,0))</f>
        <v>30</v>
      </c>
    </row>
    <row r="846" spans="1:8" x14ac:dyDescent="0.3">
      <c r="A846" s="4" t="s">
        <v>55</v>
      </c>
      <c r="B846" s="4" t="str">
        <f>VLOOKUP(A846,Cleandata!G846:H1845,2,FALSE)</f>
        <v>Accessories</v>
      </c>
      <c r="G846" t="s">
        <v>69</v>
      </c>
      <c r="H846">
        <f>INDEX(Cleandata!D846:D1845,MATCH(G846,G846:G1845,0))</f>
        <v>27</v>
      </c>
    </row>
    <row r="847" spans="1:8" x14ac:dyDescent="0.3">
      <c r="A847" s="4" t="s">
        <v>51</v>
      </c>
      <c r="B847" s="4" t="str">
        <f>VLOOKUP(A847,Cleandata!G847:H1846,2,FALSE)</f>
        <v>Electronics</v>
      </c>
      <c r="G847" t="s">
        <v>78</v>
      </c>
      <c r="H847">
        <f>INDEX(Cleandata!D847:D1846,MATCH(G847,G847:G1846,0))</f>
        <v>24</v>
      </c>
    </row>
    <row r="848" spans="1:8" x14ac:dyDescent="0.3">
      <c r="A848" s="4" t="s">
        <v>18</v>
      </c>
      <c r="B848" s="4" t="str">
        <f>VLOOKUP(A848,Cleandata!G848:H1847,2,FALSE)</f>
        <v>Clothing</v>
      </c>
      <c r="G848" t="s">
        <v>73</v>
      </c>
      <c r="H848">
        <f>INDEX(Cleandata!D848:D1847,MATCH(G848,G848:G1847,0))</f>
        <v>50</v>
      </c>
    </row>
    <row r="849" spans="1:8" x14ac:dyDescent="0.3">
      <c r="A849" s="4" t="s">
        <v>41</v>
      </c>
      <c r="B849" s="4" t="str">
        <f>VLOOKUP(A849,Cleandata!G849:H1848,2,FALSE)</f>
        <v>Accessories</v>
      </c>
      <c r="G849" t="s">
        <v>25</v>
      </c>
      <c r="H849">
        <f>INDEX(Cleandata!D849:D1848,MATCH(G849,G849:G1848,0))</f>
        <v>30</v>
      </c>
    </row>
    <row r="850" spans="1:8" x14ac:dyDescent="0.3">
      <c r="A850" s="4" t="s">
        <v>23</v>
      </c>
      <c r="B850" s="4" t="str">
        <f>VLOOKUP(A850,Cleandata!G850:H1849,2,FALSE)</f>
        <v>Clothing</v>
      </c>
      <c r="G850" t="s">
        <v>78</v>
      </c>
      <c r="H850">
        <f>INDEX(Cleandata!D850:D1849,MATCH(G850,G850:G1849,0))</f>
        <v>30</v>
      </c>
    </row>
    <row r="851" spans="1:8" x14ac:dyDescent="0.3">
      <c r="A851" s="4" t="s">
        <v>51</v>
      </c>
      <c r="B851" s="4" t="str">
        <f>VLOOKUP(A851,Cleandata!G851:H1850,2,FALSE)</f>
        <v>Electronics</v>
      </c>
      <c r="G851" t="s">
        <v>59</v>
      </c>
      <c r="H851">
        <f>INDEX(Cleandata!D851:D1850,MATCH(G851,G851:G1850,0))</f>
        <v>45</v>
      </c>
    </row>
    <row r="852" spans="1:8" x14ac:dyDescent="0.3">
      <c r="A852" s="4" t="s">
        <v>55</v>
      </c>
      <c r="B852" s="4" t="str">
        <f>VLOOKUP(A852,Cleandata!G852:H1851,2,FALSE)</f>
        <v>Accessories</v>
      </c>
      <c r="G852" t="s">
        <v>10</v>
      </c>
      <c r="H852">
        <f>INDEX(Cleandata!D852:D1851,MATCH(G852,G852:G1851,0))</f>
        <v>30</v>
      </c>
    </row>
    <row r="853" spans="1:8" x14ac:dyDescent="0.3">
      <c r="A853" s="4" t="s">
        <v>41</v>
      </c>
      <c r="B853" s="4" t="str">
        <f>VLOOKUP(A853,Cleandata!G853:H1852,2,FALSE)</f>
        <v>Accessories</v>
      </c>
      <c r="G853" t="s">
        <v>48</v>
      </c>
      <c r="H853">
        <f>INDEX(Cleandata!D853:D1852,MATCH(G853,G853:G1852,0))</f>
        <v>41</v>
      </c>
    </row>
    <row r="854" spans="1:8" x14ac:dyDescent="0.3">
      <c r="A854" s="4" t="s">
        <v>27</v>
      </c>
      <c r="B854" s="4" t="str">
        <f>VLOOKUP(A854,Cleandata!G854:H1853,2,FALSE)</f>
        <v>Electronics</v>
      </c>
      <c r="G854" t="s">
        <v>32</v>
      </c>
      <c r="H854">
        <f>INDEX(Cleandata!D854:D1853,MATCH(G854,G854:G1853,0))</f>
        <v>30</v>
      </c>
    </row>
    <row r="855" spans="1:8" x14ac:dyDescent="0.3">
      <c r="A855" s="4" t="s">
        <v>18</v>
      </c>
      <c r="B855" s="4" t="str">
        <f>VLOOKUP(A855,Cleandata!G855:H1854,2,FALSE)</f>
        <v>Clothing</v>
      </c>
      <c r="G855" t="s">
        <v>46</v>
      </c>
      <c r="H855">
        <f>INDEX(Cleandata!D855:D1854,MATCH(G855,G855:G1854,0))</f>
        <v>45</v>
      </c>
    </row>
    <row r="856" spans="1:8" x14ac:dyDescent="0.3">
      <c r="A856" s="4" t="s">
        <v>41</v>
      </c>
      <c r="B856" s="4" t="str">
        <f>VLOOKUP(A856,Cleandata!G856:H1855,2,FALSE)</f>
        <v>Accessories</v>
      </c>
      <c r="G856" t="s">
        <v>69</v>
      </c>
      <c r="H856">
        <f>INDEX(Cleandata!D856:D1855,MATCH(G856,G856:G1855,0))</f>
        <v>30</v>
      </c>
    </row>
    <row r="857" spans="1:8" x14ac:dyDescent="0.3">
      <c r="A857" s="4" t="s">
        <v>41</v>
      </c>
      <c r="B857" s="4" t="str">
        <f>VLOOKUP(A857,Cleandata!G857:H1856,2,FALSE)</f>
        <v>Accessories</v>
      </c>
      <c r="G857" t="s">
        <v>46</v>
      </c>
      <c r="H857">
        <f>INDEX(Cleandata!D857:D1856,MATCH(G857,G857:G1856,0))</f>
        <v>26</v>
      </c>
    </row>
    <row r="858" spans="1:8" x14ac:dyDescent="0.3">
      <c r="A858" s="4" t="s">
        <v>18</v>
      </c>
      <c r="B858" s="4" t="str">
        <f>VLOOKUP(A858,Cleandata!G858:H1857,2,FALSE)</f>
        <v>Clothing</v>
      </c>
      <c r="G858" t="s">
        <v>68</v>
      </c>
      <c r="H858">
        <f>INDEX(Cleandata!D858:D1857,MATCH(G858,G858:G1857,0))</f>
        <v>30</v>
      </c>
    </row>
    <row r="859" spans="1:8" x14ac:dyDescent="0.3">
      <c r="A859" s="4" t="s">
        <v>27</v>
      </c>
      <c r="B859" s="4" t="str">
        <f>VLOOKUP(A859,Cleandata!G859:H1858,2,FALSE)</f>
        <v>Electronics</v>
      </c>
      <c r="G859" t="s">
        <v>16</v>
      </c>
      <c r="H859">
        <f>INDEX(Cleandata!D859:D1858,MATCH(G859,G859:G1858,0))</f>
        <v>24</v>
      </c>
    </row>
    <row r="860" spans="1:8" x14ac:dyDescent="0.3">
      <c r="A860" s="4" t="s">
        <v>12</v>
      </c>
      <c r="B860" s="4" t="str">
        <f>VLOOKUP(A860,Cleandata!G860:H1859,2,FALSE)</f>
        <v>Electronics</v>
      </c>
      <c r="G860" t="s">
        <v>78</v>
      </c>
      <c r="H860">
        <f>INDEX(Cleandata!D860:D1859,MATCH(G860,G860:G1859,0))</f>
        <v>31</v>
      </c>
    </row>
    <row r="861" spans="1:8" x14ac:dyDescent="0.3">
      <c r="A861" s="4" t="s">
        <v>55</v>
      </c>
      <c r="B861" s="4" t="str">
        <f>VLOOKUP(A861,Cleandata!G861:H1860,2,FALSE)</f>
        <v>Accessories</v>
      </c>
      <c r="G861" t="s">
        <v>73</v>
      </c>
      <c r="H861">
        <f>INDEX(Cleandata!D861:D1860,MATCH(G861,G861:G1860,0))</f>
        <v>30</v>
      </c>
    </row>
    <row r="862" spans="1:8" x14ac:dyDescent="0.3">
      <c r="A862" s="4" t="s">
        <v>55</v>
      </c>
      <c r="B862" s="4" t="str">
        <f>VLOOKUP(A862,Cleandata!G862:H1861,2,FALSE)</f>
        <v>Accessories</v>
      </c>
      <c r="G862" t="s">
        <v>35</v>
      </c>
      <c r="H862">
        <f>INDEX(Cleandata!D862:D1861,MATCH(G862,G862:G1861,0))</f>
        <v>30</v>
      </c>
    </row>
    <row r="863" spans="1:8" x14ac:dyDescent="0.3">
      <c r="A863" s="4" t="s">
        <v>27</v>
      </c>
      <c r="B863" s="4" t="str">
        <f>VLOOKUP(A863,Cleandata!G863:H1862,2,FALSE)</f>
        <v>Electronics</v>
      </c>
      <c r="G863" t="s">
        <v>38</v>
      </c>
      <c r="H863">
        <f>INDEX(Cleandata!D863:D1862,MATCH(G863,G863:G1862,0))</f>
        <v>30</v>
      </c>
    </row>
    <row r="864" spans="1:8" x14ac:dyDescent="0.3">
      <c r="A864" s="4" t="s">
        <v>27</v>
      </c>
      <c r="B864" s="4" t="str">
        <f>VLOOKUP(A864,Cleandata!G864:H1863,2,FALSE)</f>
        <v>Electronics</v>
      </c>
      <c r="G864" t="s">
        <v>68</v>
      </c>
      <c r="H864">
        <f>INDEX(Cleandata!D864:D1863,MATCH(G864,G864:G1863,0))</f>
        <v>22</v>
      </c>
    </row>
    <row r="865" spans="1:8" x14ac:dyDescent="0.3">
      <c r="A865" s="4" t="s">
        <v>55</v>
      </c>
      <c r="B865" s="4" t="str">
        <f>VLOOKUP(A865,Cleandata!G865:H1864,2,FALSE)</f>
        <v>Accessories</v>
      </c>
      <c r="G865" t="s">
        <v>38</v>
      </c>
      <c r="H865">
        <f>INDEX(Cleandata!D865:D1864,MATCH(G865,G865:G1864,0))</f>
        <v>30</v>
      </c>
    </row>
    <row r="866" spans="1:8" x14ac:dyDescent="0.3">
      <c r="A866" s="4" t="s">
        <v>44</v>
      </c>
      <c r="B866" s="4" t="str">
        <f>VLOOKUP(A866,Cleandata!G866:H1865,2,FALSE)</f>
        <v>Accessories</v>
      </c>
      <c r="G866" t="s">
        <v>69</v>
      </c>
      <c r="H866">
        <f>INDEX(Cleandata!D866:D1865,MATCH(G866,G866:G1865,0))</f>
        <v>30</v>
      </c>
    </row>
    <row r="867" spans="1:8" x14ac:dyDescent="0.3">
      <c r="A867" s="4" t="s">
        <v>23</v>
      </c>
      <c r="B867" s="4" t="str">
        <f>VLOOKUP(A867,Cleandata!G867:H1866,2,FALSE)</f>
        <v>Clothing</v>
      </c>
      <c r="G867" t="s">
        <v>35</v>
      </c>
      <c r="H867">
        <f>INDEX(Cleandata!D867:D1866,MATCH(G867,G867:G1866,0))</f>
        <v>22</v>
      </c>
    </row>
    <row r="868" spans="1:8" x14ac:dyDescent="0.3">
      <c r="A868" s="4" t="s">
        <v>27</v>
      </c>
      <c r="B868" s="4" t="str">
        <f>VLOOKUP(A868,Cleandata!G868:H1867,2,FALSE)</f>
        <v>Electronics</v>
      </c>
      <c r="G868" t="s">
        <v>35</v>
      </c>
      <c r="H868">
        <f>INDEX(Cleandata!D868:D1867,MATCH(G868,G868:G1867,0))</f>
        <v>28</v>
      </c>
    </row>
    <row r="869" spans="1:8" x14ac:dyDescent="0.3">
      <c r="A869" s="4" t="s">
        <v>27</v>
      </c>
      <c r="B869" s="4" t="str">
        <f>VLOOKUP(A869,Cleandata!G869:H1868,2,FALSE)</f>
        <v>Electronics</v>
      </c>
      <c r="G869" t="s">
        <v>38</v>
      </c>
      <c r="H869">
        <f>INDEX(Cleandata!D869:D1868,MATCH(G869,G869:G1868,0))</f>
        <v>30</v>
      </c>
    </row>
    <row r="870" spans="1:8" x14ac:dyDescent="0.3">
      <c r="A870" s="4" t="s">
        <v>27</v>
      </c>
      <c r="B870" s="4" t="str">
        <f>VLOOKUP(A870,Cleandata!G870:H1869,2,FALSE)</f>
        <v>Electronics</v>
      </c>
      <c r="G870" t="s">
        <v>10</v>
      </c>
      <c r="H870">
        <f>INDEX(Cleandata!D870:D1869,MATCH(G870,G870:G1869,0))</f>
        <v>49</v>
      </c>
    </row>
    <row r="871" spans="1:8" x14ac:dyDescent="0.3">
      <c r="A871" s="4" t="s">
        <v>51</v>
      </c>
      <c r="B871" s="4" t="str">
        <f>VLOOKUP(A871,Cleandata!G871:H1870,2,FALSE)</f>
        <v>Electronics</v>
      </c>
      <c r="G871" t="s">
        <v>54</v>
      </c>
      <c r="H871">
        <f>INDEX(Cleandata!D871:D1870,MATCH(G871,G871:G1870,0))</f>
        <v>30</v>
      </c>
    </row>
    <row r="872" spans="1:8" x14ac:dyDescent="0.3">
      <c r="A872" s="4" t="s">
        <v>55</v>
      </c>
      <c r="B872" s="4" t="str">
        <f>VLOOKUP(A872,Cleandata!G872:H1871,2,FALSE)</f>
        <v>Accessories</v>
      </c>
      <c r="G872" t="s">
        <v>54</v>
      </c>
      <c r="H872">
        <f>INDEX(Cleandata!D872:D1871,MATCH(G872,G872:G1871,0))</f>
        <v>48</v>
      </c>
    </row>
    <row r="873" spans="1:8" x14ac:dyDescent="0.3">
      <c r="A873" s="4" t="s">
        <v>23</v>
      </c>
      <c r="B873" s="4" t="str">
        <f>VLOOKUP(A873,Cleandata!G873:H1872,2,FALSE)</f>
        <v>Clothing</v>
      </c>
      <c r="G873" t="s">
        <v>25</v>
      </c>
      <c r="H873">
        <f>INDEX(Cleandata!D873:D1872,MATCH(G873,G873:G1872,0))</f>
        <v>32</v>
      </c>
    </row>
    <row r="874" spans="1:8" x14ac:dyDescent="0.3">
      <c r="A874" s="4" t="s">
        <v>51</v>
      </c>
      <c r="B874" s="4" t="str">
        <f>VLOOKUP(A874,Cleandata!G874:H1873,2,FALSE)</f>
        <v>Electronics</v>
      </c>
      <c r="G874" t="s">
        <v>64</v>
      </c>
      <c r="H874">
        <f>INDEX(Cleandata!D874:D1873,MATCH(G874,G874:G1873,0))</f>
        <v>30</v>
      </c>
    </row>
    <row r="875" spans="1:8" x14ac:dyDescent="0.3">
      <c r="A875" s="4" t="s">
        <v>27</v>
      </c>
      <c r="B875" s="4" t="str">
        <f>VLOOKUP(A875,Cleandata!G875:H1874,2,FALSE)</f>
        <v>Electronics</v>
      </c>
      <c r="G875" t="s">
        <v>54</v>
      </c>
      <c r="H875">
        <f>INDEX(Cleandata!D875:D1874,MATCH(G875,G875:G1874,0))</f>
        <v>31</v>
      </c>
    </row>
    <row r="876" spans="1:8" x14ac:dyDescent="0.3">
      <c r="A876" s="4" t="s">
        <v>55</v>
      </c>
      <c r="B876" s="4" t="str">
        <f>VLOOKUP(A876,Cleandata!G876:H1875,2,FALSE)</f>
        <v>Accessories</v>
      </c>
      <c r="G876" t="s">
        <v>32</v>
      </c>
      <c r="H876">
        <f>INDEX(Cleandata!D876:D1875,MATCH(G876,G876:G1875,0))</f>
        <v>30</v>
      </c>
    </row>
    <row r="877" spans="1:8" x14ac:dyDescent="0.3">
      <c r="A877" s="4" t="s">
        <v>41</v>
      </c>
      <c r="B877" s="4" t="str">
        <f>VLOOKUP(A877,Cleandata!G877:H1876,2,FALSE)</f>
        <v>Accessories</v>
      </c>
      <c r="G877" t="s">
        <v>64</v>
      </c>
      <c r="H877">
        <f>INDEX(Cleandata!D877:D1876,MATCH(G877,G877:G1876,0))</f>
        <v>39</v>
      </c>
    </row>
    <row r="878" spans="1:8" x14ac:dyDescent="0.3">
      <c r="A878" s="4" t="s">
        <v>41</v>
      </c>
      <c r="B878" s="4" t="str">
        <f>VLOOKUP(A878,Cleandata!G878:H1877,2,FALSE)</f>
        <v>Accessories</v>
      </c>
      <c r="G878" t="s">
        <v>59</v>
      </c>
      <c r="H878">
        <f>INDEX(Cleandata!D878:D1877,MATCH(G878,G878:G1877,0))</f>
        <v>19</v>
      </c>
    </row>
    <row r="879" spans="1:8" x14ac:dyDescent="0.3">
      <c r="A879" s="4" t="s">
        <v>12</v>
      </c>
      <c r="B879" s="4" t="str">
        <f>VLOOKUP(A879,Cleandata!G879:H1878,2,FALSE)</f>
        <v>Electronics</v>
      </c>
      <c r="G879" t="s">
        <v>16</v>
      </c>
      <c r="H879">
        <f>INDEX(Cleandata!D879:D1878,MATCH(G879,G879:G1878,0))</f>
        <v>25</v>
      </c>
    </row>
    <row r="880" spans="1:8" x14ac:dyDescent="0.3">
      <c r="A880" s="4" t="s">
        <v>18</v>
      </c>
      <c r="B880" s="4" t="str">
        <f>VLOOKUP(A880,Cleandata!G880:H1879,2,FALSE)</f>
        <v>Clothing</v>
      </c>
      <c r="G880" t="s">
        <v>59</v>
      </c>
      <c r="H880">
        <f>INDEX(Cleandata!D880:D1879,MATCH(G880,G880:G1879,0))</f>
        <v>39</v>
      </c>
    </row>
    <row r="881" spans="1:8" x14ac:dyDescent="0.3">
      <c r="A881" s="4" t="s">
        <v>12</v>
      </c>
      <c r="B881" s="4" t="str">
        <f>VLOOKUP(A881,Cleandata!G881:H1880,2,FALSE)</f>
        <v>Electronics</v>
      </c>
      <c r="G881" t="s">
        <v>57</v>
      </c>
      <c r="H881">
        <f>INDEX(Cleandata!D881:D1880,MATCH(G881,G881:G1880,0))</f>
        <v>45</v>
      </c>
    </row>
    <row r="882" spans="1:8" x14ac:dyDescent="0.3">
      <c r="A882" s="4" t="s">
        <v>23</v>
      </c>
      <c r="B882" s="4" t="str">
        <f>VLOOKUP(A882,Cleandata!G882:H1881,2,FALSE)</f>
        <v>Clothing</v>
      </c>
      <c r="G882" t="s">
        <v>46</v>
      </c>
      <c r="H882">
        <f>INDEX(Cleandata!D882:D1881,MATCH(G882,G882:G1881,0))</f>
        <v>33</v>
      </c>
    </row>
    <row r="883" spans="1:8" x14ac:dyDescent="0.3">
      <c r="A883" s="4" t="s">
        <v>23</v>
      </c>
      <c r="B883" s="4" t="str">
        <f>VLOOKUP(A883,Cleandata!G883:H1882,2,FALSE)</f>
        <v>Clothing</v>
      </c>
      <c r="G883" t="s">
        <v>16</v>
      </c>
      <c r="H883">
        <f>INDEX(Cleandata!D883:D1882,MATCH(G883,G883:G1882,0))</f>
        <v>43</v>
      </c>
    </row>
    <row r="884" spans="1:8" x14ac:dyDescent="0.3">
      <c r="A884" s="4" t="s">
        <v>44</v>
      </c>
      <c r="B884" s="4" t="str">
        <f>VLOOKUP(A884,Cleandata!G884:H1883,2,FALSE)</f>
        <v>Accessories</v>
      </c>
      <c r="G884" t="s">
        <v>32</v>
      </c>
      <c r="H884">
        <f>INDEX(Cleandata!D884:D1883,MATCH(G884,G884:G1883,0))</f>
        <v>30</v>
      </c>
    </row>
    <row r="885" spans="1:8" x14ac:dyDescent="0.3">
      <c r="A885" s="4" t="s">
        <v>51</v>
      </c>
      <c r="B885" s="4" t="str">
        <f>VLOOKUP(A885,Cleandata!G885:H1884,2,FALSE)</f>
        <v>Electronics</v>
      </c>
      <c r="G885" t="s">
        <v>38</v>
      </c>
      <c r="H885">
        <f>INDEX(Cleandata!D885:D1884,MATCH(G885,G885:G1884,0))</f>
        <v>30</v>
      </c>
    </row>
    <row r="886" spans="1:8" x14ac:dyDescent="0.3">
      <c r="A886" s="4" t="s">
        <v>23</v>
      </c>
      <c r="B886" s="4" t="str">
        <f>VLOOKUP(A886,Cleandata!G886:H1885,2,FALSE)</f>
        <v>Clothing</v>
      </c>
      <c r="G886" t="s">
        <v>38</v>
      </c>
      <c r="H886">
        <f>INDEX(Cleandata!D886:D1885,MATCH(G886,G886:G1885,0))</f>
        <v>30</v>
      </c>
    </row>
    <row r="887" spans="1:8" x14ac:dyDescent="0.3">
      <c r="A887" s="4" t="s">
        <v>23</v>
      </c>
      <c r="B887" s="4" t="str">
        <f>VLOOKUP(A887,Cleandata!G887:H1886,2,FALSE)</f>
        <v>Clothing</v>
      </c>
      <c r="G887" t="s">
        <v>62</v>
      </c>
      <c r="H887">
        <f>INDEX(Cleandata!D887:D1886,MATCH(G887,G887:G1886,0))</f>
        <v>30</v>
      </c>
    </row>
    <row r="888" spans="1:8" x14ac:dyDescent="0.3">
      <c r="A888" s="4" t="s">
        <v>27</v>
      </c>
      <c r="B888" s="4" t="str">
        <f>VLOOKUP(A888,Cleandata!G888:H1887,2,FALSE)</f>
        <v>Electronics</v>
      </c>
      <c r="G888" t="s">
        <v>25</v>
      </c>
      <c r="H888">
        <f>INDEX(Cleandata!D888:D1887,MATCH(G888,G888:G1887,0))</f>
        <v>36</v>
      </c>
    </row>
    <row r="889" spans="1:8" x14ac:dyDescent="0.3">
      <c r="A889" s="4" t="s">
        <v>55</v>
      </c>
      <c r="B889" s="4" t="str">
        <f>VLOOKUP(A889,Cleandata!G889:H1888,2,FALSE)</f>
        <v>Accessories</v>
      </c>
      <c r="G889" t="s">
        <v>38</v>
      </c>
      <c r="H889">
        <f>INDEX(Cleandata!D889:D1888,MATCH(G889,G889:G1888,0))</f>
        <v>30</v>
      </c>
    </row>
    <row r="890" spans="1:8" x14ac:dyDescent="0.3">
      <c r="A890" s="4" t="s">
        <v>23</v>
      </c>
      <c r="B890" s="4" t="str">
        <f>VLOOKUP(A890,Cleandata!G890:H1889,2,FALSE)</f>
        <v>Clothing</v>
      </c>
      <c r="G890" t="s">
        <v>10</v>
      </c>
      <c r="H890">
        <f>INDEX(Cleandata!D890:D1889,MATCH(G890,G890:G1889,0))</f>
        <v>23</v>
      </c>
    </row>
    <row r="891" spans="1:8" x14ac:dyDescent="0.3">
      <c r="A891" s="4" t="s">
        <v>41</v>
      </c>
      <c r="B891" s="4" t="str">
        <f>VLOOKUP(A891,Cleandata!G891:H1890,2,FALSE)</f>
        <v>Accessories</v>
      </c>
      <c r="G891" t="s">
        <v>48</v>
      </c>
      <c r="H891">
        <f>INDEX(Cleandata!D891:D1890,MATCH(G891,G891:G1890,0))</f>
        <v>43</v>
      </c>
    </row>
    <row r="892" spans="1:8" x14ac:dyDescent="0.3">
      <c r="A892" s="4" t="s">
        <v>12</v>
      </c>
      <c r="B892" s="4" t="str">
        <f>VLOOKUP(A892,Cleandata!G892:H1891,2,FALSE)</f>
        <v>Electronics</v>
      </c>
      <c r="G892" t="s">
        <v>25</v>
      </c>
      <c r="H892">
        <f>INDEX(Cleandata!D892:D1891,MATCH(G892,G892:G1891,0))</f>
        <v>49</v>
      </c>
    </row>
    <row r="893" spans="1:8" x14ac:dyDescent="0.3">
      <c r="A893" s="4" t="s">
        <v>55</v>
      </c>
      <c r="B893" s="4" t="str">
        <f>VLOOKUP(A893,Cleandata!G893:H1892,2,FALSE)</f>
        <v>Accessories</v>
      </c>
      <c r="G893" t="s">
        <v>35</v>
      </c>
      <c r="H893">
        <f>INDEX(Cleandata!D893:D1892,MATCH(G893,G893:G1892,0))</f>
        <v>20</v>
      </c>
    </row>
    <row r="894" spans="1:8" x14ac:dyDescent="0.3">
      <c r="A894" s="4" t="s">
        <v>55</v>
      </c>
      <c r="B894" s="4" t="str">
        <f>VLOOKUP(A894,Cleandata!G894:H1893,2,FALSE)</f>
        <v>Accessories</v>
      </c>
      <c r="G894" t="s">
        <v>57</v>
      </c>
      <c r="H894">
        <f>INDEX(Cleandata!D894:D1893,MATCH(G894,G894:G1893,0))</f>
        <v>20</v>
      </c>
    </row>
    <row r="895" spans="1:8" x14ac:dyDescent="0.3">
      <c r="A895" s="4" t="s">
        <v>18</v>
      </c>
      <c r="B895" s="4" t="str">
        <f>VLOOKUP(A895,Cleandata!G895:H1894,2,FALSE)</f>
        <v>Clothing</v>
      </c>
      <c r="G895" t="s">
        <v>48</v>
      </c>
      <c r="H895">
        <f>INDEX(Cleandata!D895:D1894,MATCH(G895,G895:G1894,0))</f>
        <v>30</v>
      </c>
    </row>
    <row r="896" spans="1:8" x14ac:dyDescent="0.3">
      <c r="A896" s="4" t="s">
        <v>18</v>
      </c>
      <c r="B896" s="4" t="str">
        <f>VLOOKUP(A896,Cleandata!G896:H1895,2,FALSE)</f>
        <v>Clothing</v>
      </c>
      <c r="G896" t="s">
        <v>38</v>
      </c>
      <c r="H896">
        <f>INDEX(Cleandata!D896:D1895,MATCH(G896,G896:G1895,0))</f>
        <v>19</v>
      </c>
    </row>
    <row r="897" spans="1:8" x14ac:dyDescent="0.3">
      <c r="A897" s="4" t="s">
        <v>23</v>
      </c>
      <c r="B897" s="4" t="str">
        <f>VLOOKUP(A897,Cleandata!G897:H1896,2,FALSE)</f>
        <v>Clothing</v>
      </c>
      <c r="G897" t="s">
        <v>21</v>
      </c>
      <c r="H897">
        <f>INDEX(Cleandata!D897:D1896,MATCH(G897,G897:G1896,0))</f>
        <v>33</v>
      </c>
    </row>
    <row r="898" spans="1:8" x14ac:dyDescent="0.3">
      <c r="A898" s="4" t="s">
        <v>55</v>
      </c>
      <c r="B898" s="4" t="str">
        <f>VLOOKUP(A898,Cleandata!G898:H1897,2,FALSE)</f>
        <v>Accessories</v>
      </c>
      <c r="G898" t="s">
        <v>25</v>
      </c>
      <c r="H898">
        <f>INDEX(Cleandata!D898:D1897,MATCH(G898,G898:G1897,0))</f>
        <v>37</v>
      </c>
    </row>
    <row r="899" spans="1:8" x14ac:dyDescent="0.3">
      <c r="A899" s="4" t="s">
        <v>51</v>
      </c>
      <c r="B899" s="4" t="str">
        <f>VLOOKUP(A899,Cleandata!G899:H1898,2,FALSE)</f>
        <v>Electronics</v>
      </c>
      <c r="G899" t="s">
        <v>32</v>
      </c>
      <c r="H899">
        <f>INDEX(Cleandata!D899:D1898,MATCH(G899,G899:G1898,0))</f>
        <v>37</v>
      </c>
    </row>
    <row r="900" spans="1:8" x14ac:dyDescent="0.3">
      <c r="A900" s="4" t="s">
        <v>12</v>
      </c>
      <c r="B900" s="4" t="str">
        <f>VLOOKUP(A900,Cleandata!G900:H1899,2,FALSE)</f>
        <v>Electronics</v>
      </c>
      <c r="G900" t="s">
        <v>21</v>
      </c>
      <c r="H900">
        <f>INDEX(Cleandata!D900:D1899,MATCH(G900,G900:G1899,0))</f>
        <v>50</v>
      </c>
    </row>
    <row r="901" spans="1:8" x14ac:dyDescent="0.3">
      <c r="A901" s="4" t="s">
        <v>12</v>
      </c>
      <c r="B901" s="4" t="str">
        <f>VLOOKUP(A901,Cleandata!G901:H1900,2,FALSE)</f>
        <v>Electronics</v>
      </c>
      <c r="G901" t="s">
        <v>16</v>
      </c>
      <c r="H901">
        <f>INDEX(Cleandata!D901:D1900,MATCH(G901,G901:G1900,0))</f>
        <v>34</v>
      </c>
    </row>
    <row r="902" spans="1:8" x14ac:dyDescent="0.3">
      <c r="A902" s="4" t="s">
        <v>23</v>
      </c>
      <c r="B902" s="4" t="str">
        <f>VLOOKUP(A902,Cleandata!G902:H1901,2,FALSE)</f>
        <v>Clothing</v>
      </c>
      <c r="G902" t="s">
        <v>10</v>
      </c>
      <c r="H902">
        <f>INDEX(Cleandata!D902:D1901,MATCH(G902,G902:G1901,0))</f>
        <v>42</v>
      </c>
    </row>
    <row r="903" spans="1:8" x14ac:dyDescent="0.3">
      <c r="A903" s="4" t="s">
        <v>44</v>
      </c>
      <c r="B903" s="4" t="str">
        <f>VLOOKUP(A903,Cleandata!G903:H1902,2,FALSE)</f>
        <v>Accessories</v>
      </c>
      <c r="G903" t="s">
        <v>69</v>
      </c>
      <c r="H903">
        <f>INDEX(Cleandata!D903:D1902,MATCH(G903,G903:G1902,0))</f>
        <v>29</v>
      </c>
    </row>
    <row r="904" spans="1:8" x14ac:dyDescent="0.3">
      <c r="A904" s="4" t="s">
        <v>44</v>
      </c>
      <c r="B904" s="4" t="str">
        <f>VLOOKUP(A904,Cleandata!G904:H1903,2,FALSE)</f>
        <v>Accessories</v>
      </c>
      <c r="G904" t="s">
        <v>69</v>
      </c>
      <c r="H904">
        <f>INDEX(Cleandata!D904:D1903,MATCH(G904,G904:G1903,0))</f>
        <v>34</v>
      </c>
    </row>
    <row r="905" spans="1:8" x14ac:dyDescent="0.3">
      <c r="A905" s="4" t="s">
        <v>12</v>
      </c>
      <c r="B905" s="4" t="str">
        <f>VLOOKUP(A905,Cleandata!G905:H1904,2,FALSE)</f>
        <v>Electronics</v>
      </c>
      <c r="G905" t="s">
        <v>25</v>
      </c>
      <c r="H905">
        <f>INDEX(Cleandata!D905:D1904,MATCH(G905,G905:G1904,0))</f>
        <v>30</v>
      </c>
    </row>
    <row r="906" spans="1:8" x14ac:dyDescent="0.3">
      <c r="A906" s="4" t="s">
        <v>12</v>
      </c>
      <c r="B906" s="4" t="str">
        <f>VLOOKUP(A906,Cleandata!G906:H1905,2,FALSE)</f>
        <v>Electronics</v>
      </c>
      <c r="G906" t="s">
        <v>78</v>
      </c>
      <c r="H906">
        <f>INDEX(Cleandata!D906:D1905,MATCH(G906,G906:G1905,0))</f>
        <v>47</v>
      </c>
    </row>
    <row r="907" spans="1:8" x14ac:dyDescent="0.3">
      <c r="A907" s="4" t="s">
        <v>51</v>
      </c>
      <c r="B907" s="4" t="str">
        <f>VLOOKUP(A907,Cleandata!G907:H1906,2,FALSE)</f>
        <v>Electronics</v>
      </c>
      <c r="G907" t="s">
        <v>48</v>
      </c>
      <c r="H907">
        <f>INDEX(Cleandata!D907:D1906,MATCH(G907,G907:G1906,0))</f>
        <v>30</v>
      </c>
    </row>
    <row r="908" spans="1:8" x14ac:dyDescent="0.3">
      <c r="A908" s="4" t="s">
        <v>55</v>
      </c>
      <c r="B908" s="4" t="str">
        <f>VLOOKUP(A908,Cleandata!G908:H1907,2,FALSE)</f>
        <v>Accessories</v>
      </c>
      <c r="G908" t="s">
        <v>10</v>
      </c>
      <c r="H908">
        <f>INDEX(Cleandata!D908:D1907,MATCH(G908,G908:G1907,0))</f>
        <v>37</v>
      </c>
    </row>
    <row r="909" spans="1:8" x14ac:dyDescent="0.3">
      <c r="A909" s="4" t="s">
        <v>18</v>
      </c>
      <c r="B909" s="4" t="str">
        <f>VLOOKUP(A909,Cleandata!G909:H1908,2,FALSE)</f>
        <v>Clothing</v>
      </c>
      <c r="G909" t="s">
        <v>16</v>
      </c>
      <c r="H909">
        <f>INDEX(Cleandata!D909:D1908,MATCH(G909,G909:G1908,0))</f>
        <v>30</v>
      </c>
    </row>
    <row r="910" spans="1:8" x14ac:dyDescent="0.3">
      <c r="A910" s="4" t="s">
        <v>41</v>
      </c>
      <c r="B910" s="4" t="str">
        <f>VLOOKUP(A910,Cleandata!G910:H1909,2,FALSE)</f>
        <v>Accessories</v>
      </c>
      <c r="G910" t="s">
        <v>64</v>
      </c>
      <c r="H910">
        <f>INDEX(Cleandata!D910:D1909,MATCH(G910,G910:G1909,0))</f>
        <v>50</v>
      </c>
    </row>
    <row r="911" spans="1:8" x14ac:dyDescent="0.3">
      <c r="A911" s="4" t="s">
        <v>27</v>
      </c>
      <c r="B911" s="4" t="str">
        <f>VLOOKUP(A911,Cleandata!G911:H1910,2,FALSE)</f>
        <v>Electronics</v>
      </c>
      <c r="G911" t="s">
        <v>25</v>
      </c>
      <c r="H911">
        <f>INDEX(Cleandata!D911:D1910,MATCH(G911,G911:G1910,0))</f>
        <v>30</v>
      </c>
    </row>
    <row r="912" spans="1:8" x14ac:dyDescent="0.3">
      <c r="A912" s="4" t="s">
        <v>23</v>
      </c>
      <c r="B912" s="4" t="str">
        <f>VLOOKUP(A912,Cleandata!G912:H1911,2,FALSE)</f>
        <v>Clothing</v>
      </c>
      <c r="G912" t="s">
        <v>59</v>
      </c>
      <c r="H912">
        <f>INDEX(Cleandata!D912:D1911,MATCH(G912,G912:G1911,0))</f>
        <v>20</v>
      </c>
    </row>
    <row r="913" spans="1:8" x14ac:dyDescent="0.3">
      <c r="A913" s="4" t="s">
        <v>44</v>
      </c>
      <c r="B913" s="4" t="str">
        <f>VLOOKUP(A913,Cleandata!G913:H1912,2,FALSE)</f>
        <v>Accessories</v>
      </c>
      <c r="G913" t="s">
        <v>73</v>
      </c>
      <c r="H913">
        <f>INDEX(Cleandata!D913:D1912,MATCH(G913,G913:G1912,0))</f>
        <v>30</v>
      </c>
    </row>
    <row r="914" spans="1:8" x14ac:dyDescent="0.3">
      <c r="A914" s="4" t="s">
        <v>18</v>
      </c>
      <c r="B914" s="4" t="str">
        <f>VLOOKUP(A914,Cleandata!G914:H1913,2,FALSE)</f>
        <v>Clothing</v>
      </c>
      <c r="G914" t="s">
        <v>59</v>
      </c>
      <c r="H914">
        <f>INDEX(Cleandata!D914:D1913,MATCH(G914,G914:G1913,0))</f>
        <v>36</v>
      </c>
    </row>
    <row r="915" spans="1:8" x14ac:dyDescent="0.3">
      <c r="A915" s="4" t="s">
        <v>27</v>
      </c>
      <c r="B915" s="4" t="str">
        <f>VLOOKUP(A915,Cleandata!G915:H1914,2,FALSE)</f>
        <v>Electronics</v>
      </c>
      <c r="G915" t="s">
        <v>25</v>
      </c>
      <c r="H915">
        <f>INDEX(Cleandata!D915:D1914,MATCH(G915,G915:G1914,0))</f>
        <v>30</v>
      </c>
    </row>
    <row r="916" spans="1:8" x14ac:dyDescent="0.3">
      <c r="A916" s="4" t="s">
        <v>18</v>
      </c>
      <c r="B916" s="4" t="str">
        <f>VLOOKUP(A916,Cleandata!G916:H1915,2,FALSE)</f>
        <v>Clothing</v>
      </c>
      <c r="G916" t="s">
        <v>25</v>
      </c>
      <c r="H916">
        <f>INDEX(Cleandata!D916:D1915,MATCH(G916,G916:G1915,0))</f>
        <v>29</v>
      </c>
    </row>
    <row r="917" spans="1:8" x14ac:dyDescent="0.3">
      <c r="A917" s="4" t="s">
        <v>27</v>
      </c>
      <c r="B917" s="4" t="str">
        <f>VLOOKUP(A917,Cleandata!G917:H1916,2,FALSE)</f>
        <v>Electronics</v>
      </c>
      <c r="G917" t="s">
        <v>16</v>
      </c>
      <c r="H917">
        <f>INDEX(Cleandata!D917:D1916,MATCH(G917,G917:G1916,0))</f>
        <v>30</v>
      </c>
    </row>
    <row r="918" spans="1:8" x14ac:dyDescent="0.3">
      <c r="A918" s="4" t="s">
        <v>44</v>
      </c>
      <c r="B918" s="4" t="str">
        <f>VLOOKUP(A918,Cleandata!G918:H1917,2,FALSE)</f>
        <v>Accessories</v>
      </c>
      <c r="G918" t="s">
        <v>62</v>
      </c>
      <c r="H918">
        <f>INDEX(Cleandata!D918:D1917,MATCH(G918,G918:G1917,0))</f>
        <v>30</v>
      </c>
    </row>
    <row r="919" spans="1:8" x14ac:dyDescent="0.3">
      <c r="A919" s="4" t="s">
        <v>55</v>
      </c>
      <c r="B919" s="4" t="str">
        <f>VLOOKUP(A919,Cleandata!G919:H1918,2,FALSE)</f>
        <v>Accessories</v>
      </c>
      <c r="G919" t="s">
        <v>68</v>
      </c>
      <c r="H919">
        <f>INDEX(Cleandata!D919:D1918,MATCH(G919,G919:G1918,0))</f>
        <v>25</v>
      </c>
    </row>
    <row r="920" spans="1:8" x14ac:dyDescent="0.3">
      <c r="A920" s="4" t="s">
        <v>55</v>
      </c>
      <c r="B920" s="4" t="str">
        <f>VLOOKUP(A920,Cleandata!G920:H1919,2,FALSE)</f>
        <v>Accessories</v>
      </c>
      <c r="G920" t="s">
        <v>16</v>
      </c>
      <c r="H920">
        <f>INDEX(Cleandata!D920:D1919,MATCH(G920,G920:G1919,0))</f>
        <v>30</v>
      </c>
    </row>
    <row r="921" spans="1:8" x14ac:dyDescent="0.3">
      <c r="A921" s="4" t="s">
        <v>41</v>
      </c>
      <c r="B921" s="4" t="str">
        <f>VLOOKUP(A921,Cleandata!G921:H1920,2,FALSE)</f>
        <v>Accessories</v>
      </c>
      <c r="G921" t="s">
        <v>62</v>
      </c>
      <c r="H921">
        <f>INDEX(Cleandata!D921:D1920,MATCH(G921,G921:G1920,0))</f>
        <v>30</v>
      </c>
    </row>
    <row r="922" spans="1:8" x14ac:dyDescent="0.3">
      <c r="A922" s="4" t="s">
        <v>27</v>
      </c>
      <c r="B922" s="4" t="str">
        <f>VLOOKUP(A922,Cleandata!G922:H1921,2,FALSE)</f>
        <v>Electronics</v>
      </c>
      <c r="G922" t="s">
        <v>57</v>
      </c>
      <c r="H922">
        <f>INDEX(Cleandata!D922:D1921,MATCH(G922,G922:G1921,0))</f>
        <v>30</v>
      </c>
    </row>
    <row r="923" spans="1:8" x14ac:dyDescent="0.3">
      <c r="A923" s="4" t="s">
        <v>41</v>
      </c>
      <c r="B923" s="4" t="str">
        <f>VLOOKUP(A923,Cleandata!G923:H1922,2,FALSE)</f>
        <v>Accessories</v>
      </c>
      <c r="G923" t="s">
        <v>10</v>
      </c>
      <c r="H923">
        <f>INDEX(Cleandata!D923:D1922,MATCH(G923,G923:G1922,0))</f>
        <v>30</v>
      </c>
    </row>
    <row r="924" spans="1:8" x14ac:dyDescent="0.3">
      <c r="A924" s="4" t="s">
        <v>44</v>
      </c>
      <c r="B924" s="4" t="str">
        <f>VLOOKUP(A924,Cleandata!G924:H1923,2,FALSE)</f>
        <v>Accessories</v>
      </c>
      <c r="G924" t="s">
        <v>21</v>
      </c>
      <c r="H924">
        <f>INDEX(Cleandata!D924:D1923,MATCH(G924,G924:G1923,0))</f>
        <v>30</v>
      </c>
    </row>
    <row r="925" spans="1:8" x14ac:dyDescent="0.3">
      <c r="A925" s="4" t="s">
        <v>12</v>
      </c>
      <c r="B925" s="4" t="str">
        <f>VLOOKUP(A925,Cleandata!G925:H1924,2,FALSE)</f>
        <v>Electronics</v>
      </c>
      <c r="G925" t="s">
        <v>25</v>
      </c>
      <c r="H925">
        <f>INDEX(Cleandata!D925:D1924,MATCH(G925,G925:G1924,0))</f>
        <v>30</v>
      </c>
    </row>
    <row r="926" spans="1:8" x14ac:dyDescent="0.3">
      <c r="A926" s="4" t="s">
        <v>27</v>
      </c>
      <c r="B926" s="4" t="str">
        <f>VLOOKUP(A926,Cleandata!G926:H1925,2,FALSE)</f>
        <v>Electronics</v>
      </c>
      <c r="G926" t="s">
        <v>69</v>
      </c>
      <c r="H926">
        <f>INDEX(Cleandata!D926:D1925,MATCH(G926,G926:G1925,0))</f>
        <v>45</v>
      </c>
    </row>
    <row r="927" spans="1:8" x14ac:dyDescent="0.3">
      <c r="A927" s="4" t="s">
        <v>51</v>
      </c>
      <c r="B927" s="4" t="str">
        <f>VLOOKUP(A927,Cleandata!G927:H1926,2,FALSE)</f>
        <v>Electronics</v>
      </c>
      <c r="G927" t="s">
        <v>48</v>
      </c>
      <c r="H927">
        <f>INDEX(Cleandata!D927:D1926,MATCH(G927,G927:G1926,0))</f>
        <v>32</v>
      </c>
    </row>
    <row r="928" spans="1:8" x14ac:dyDescent="0.3">
      <c r="A928" s="4" t="s">
        <v>23</v>
      </c>
      <c r="B928" s="4" t="str">
        <f>VLOOKUP(A928,Cleandata!G928:H1927,2,FALSE)</f>
        <v>Clothing</v>
      </c>
      <c r="G928" t="s">
        <v>16</v>
      </c>
      <c r="H928">
        <f>INDEX(Cleandata!D928:D1927,MATCH(G928,G928:G1927,0))</f>
        <v>49</v>
      </c>
    </row>
    <row r="929" spans="1:8" x14ac:dyDescent="0.3">
      <c r="A929" s="4" t="s">
        <v>44</v>
      </c>
      <c r="B929" s="4" t="str">
        <f>VLOOKUP(A929,Cleandata!G929:H1928,2,FALSE)</f>
        <v>Accessories</v>
      </c>
      <c r="G929" t="s">
        <v>68</v>
      </c>
      <c r="H929">
        <f>INDEX(Cleandata!D929:D1928,MATCH(G929,G929:G1928,0))</f>
        <v>47</v>
      </c>
    </row>
    <row r="930" spans="1:8" x14ac:dyDescent="0.3">
      <c r="A930" s="4" t="s">
        <v>55</v>
      </c>
      <c r="B930" s="4" t="str">
        <f>VLOOKUP(A930,Cleandata!G930:H1929,2,FALSE)</f>
        <v>Accessories</v>
      </c>
      <c r="G930" t="s">
        <v>10</v>
      </c>
      <c r="H930">
        <f>INDEX(Cleandata!D930:D1929,MATCH(G930,G930:G1929,0))</f>
        <v>23</v>
      </c>
    </row>
    <row r="931" spans="1:8" x14ac:dyDescent="0.3">
      <c r="A931" s="4" t="s">
        <v>12</v>
      </c>
      <c r="B931" s="4" t="str">
        <f>VLOOKUP(A931,Cleandata!G931:H1930,2,FALSE)</f>
        <v>Electronics</v>
      </c>
      <c r="G931" t="s">
        <v>73</v>
      </c>
      <c r="H931">
        <f>INDEX(Cleandata!D931:D1930,MATCH(G931,G931:G1930,0))</f>
        <v>30</v>
      </c>
    </row>
    <row r="932" spans="1:8" x14ac:dyDescent="0.3">
      <c r="A932" s="4" t="s">
        <v>51</v>
      </c>
      <c r="B932" s="4" t="str">
        <f>VLOOKUP(A932,Cleandata!G932:H1931,2,FALSE)</f>
        <v>Electronics</v>
      </c>
      <c r="G932" t="s">
        <v>10</v>
      </c>
      <c r="H932">
        <f>INDEX(Cleandata!D932:D1931,MATCH(G932,G932:G1931,0))</f>
        <v>30</v>
      </c>
    </row>
    <row r="933" spans="1:8" x14ac:dyDescent="0.3">
      <c r="A933" s="4" t="s">
        <v>18</v>
      </c>
      <c r="B933" s="4" t="str">
        <f>VLOOKUP(A933,Cleandata!G933:H1932,2,FALSE)</f>
        <v>Clothing</v>
      </c>
      <c r="G933" t="s">
        <v>10</v>
      </c>
      <c r="H933">
        <f>INDEX(Cleandata!D933:D1932,MATCH(G933,G933:G1932,0))</f>
        <v>23</v>
      </c>
    </row>
    <row r="934" spans="1:8" x14ac:dyDescent="0.3">
      <c r="A934" s="4" t="s">
        <v>18</v>
      </c>
      <c r="B934" s="4" t="str">
        <f>VLOOKUP(A934,Cleandata!G934:H1933,2,FALSE)</f>
        <v>Clothing</v>
      </c>
      <c r="G934" t="s">
        <v>59</v>
      </c>
      <c r="H934">
        <f>INDEX(Cleandata!D934:D1933,MATCH(G934,G934:G1933,0))</f>
        <v>24</v>
      </c>
    </row>
    <row r="935" spans="1:8" x14ac:dyDescent="0.3">
      <c r="A935" s="4" t="s">
        <v>55</v>
      </c>
      <c r="B935" s="4" t="str">
        <f>VLOOKUP(A935,Cleandata!G935:H1934,2,FALSE)</f>
        <v>Accessories</v>
      </c>
      <c r="G935" t="s">
        <v>57</v>
      </c>
      <c r="H935">
        <f>INDEX(Cleandata!D935:D1934,MATCH(G935,G935:G1934,0))</f>
        <v>30</v>
      </c>
    </row>
    <row r="936" spans="1:8" x14ac:dyDescent="0.3">
      <c r="A936" s="4" t="s">
        <v>41</v>
      </c>
      <c r="B936" s="4" t="str">
        <f>VLOOKUP(A936,Cleandata!G936:H1935,2,FALSE)</f>
        <v>Accessories</v>
      </c>
      <c r="G936" t="s">
        <v>62</v>
      </c>
      <c r="H936">
        <f>INDEX(Cleandata!D936:D1935,MATCH(G936,G936:G1935,0))</f>
        <v>26</v>
      </c>
    </row>
    <row r="937" spans="1:8" x14ac:dyDescent="0.3">
      <c r="A937" s="4" t="s">
        <v>23</v>
      </c>
      <c r="B937" s="4" t="str">
        <f>VLOOKUP(A937,Cleandata!G937:H1936,2,FALSE)</f>
        <v>Clothing</v>
      </c>
      <c r="G937" t="s">
        <v>35</v>
      </c>
      <c r="H937">
        <f>INDEX(Cleandata!D937:D1936,MATCH(G937,G937:G1936,0))</f>
        <v>26</v>
      </c>
    </row>
    <row r="938" spans="1:8" x14ac:dyDescent="0.3">
      <c r="A938" s="4" t="s">
        <v>23</v>
      </c>
      <c r="B938" s="4" t="str">
        <f>VLOOKUP(A938,Cleandata!G938:H1937,2,FALSE)</f>
        <v>Clothing</v>
      </c>
      <c r="G938" t="s">
        <v>59</v>
      </c>
      <c r="H938">
        <f>INDEX(Cleandata!D938:D1937,MATCH(G938,G938:G1937,0))</f>
        <v>30</v>
      </c>
    </row>
    <row r="939" spans="1:8" x14ac:dyDescent="0.3">
      <c r="A939" s="4" t="s">
        <v>41</v>
      </c>
      <c r="B939" s="4" t="str">
        <f>VLOOKUP(A939,Cleandata!G939:H1938,2,FALSE)</f>
        <v>Accessories</v>
      </c>
      <c r="G939" t="s">
        <v>46</v>
      </c>
      <c r="H939">
        <f>INDEX(Cleandata!D939:D1938,MATCH(G939,G939:G1938,0))</f>
        <v>47</v>
      </c>
    </row>
    <row r="940" spans="1:8" x14ac:dyDescent="0.3">
      <c r="A940" s="4" t="s">
        <v>41</v>
      </c>
      <c r="B940" s="4" t="str">
        <f>VLOOKUP(A940,Cleandata!G940:H1939,2,FALSE)</f>
        <v>Accessories</v>
      </c>
      <c r="G940" t="s">
        <v>68</v>
      </c>
      <c r="H940">
        <f>INDEX(Cleandata!D940:D1939,MATCH(G940,G940:G1939,0))</f>
        <v>30</v>
      </c>
    </row>
    <row r="941" spans="1:8" x14ac:dyDescent="0.3">
      <c r="A941" s="4" t="s">
        <v>18</v>
      </c>
      <c r="B941" s="4" t="str">
        <f>VLOOKUP(A941,Cleandata!G941:H1940,2,FALSE)</f>
        <v>Clothing</v>
      </c>
      <c r="G941" t="s">
        <v>78</v>
      </c>
      <c r="H941">
        <f>INDEX(Cleandata!D941:D1940,MATCH(G941,G941:G1940,0))</f>
        <v>37</v>
      </c>
    </row>
    <row r="942" spans="1:8" x14ac:dyDescent="0.3">
      <c r="A942" s="4" t="s">
        <v>51</v>
      </c>
      <c r="B942" s="4" t="str">
        <f>VLOOKUP(A942,Cleandata!G942:H1941,2,FALSE)</f>
        <v>Electronics</v>
      </c>
      <c r="G942" t="s">
        <v>69</v>
      </c>
      <c r="H942">
        <f>INDEX(Cleandata!D942:D1941,MATCH(G942,G942:G1941,0))</f>
        <v>48</v>
      </c>
    </row>
    <row r="943" spans="1:8" x14ac:dyDescent="0.3">
      <c r="A943" s="4" t="s">
        <v>27</v>
      </c>
      <c r="B943" s="4" t="str">
        <f>VLOOKUP(A943,Cleandata!G943:H1942,2,FALSE)</f>
        <v>Electronics</v>
      </c>
      <c r="G943" t="s">
        <v>78</v>
      </c>
      <c r="H943">
        <f>INDEX(Cleandata!D943:D1942,MATCH(G943,G943:G1942,0))</f>
        <v>22</v>
      </c>
    </row>
    <row r="944" spans="1:8" x14ac:dyDescent="0.3">
      <c r="A944" s="4" t="s">
        <v>55</v>
      </c>
      <c r="B944" s="4" t="str">
        <f>VLOOKUP(A944,Cleandata!G944:H1943,2,FALSE)</f>
        <v>Accessories</v>
      </c>
      <c r="G944" t="s">
        <v>62</v>
      </c>
      <c r="H944">
        <f>INDEX(Cleandata!D944:D1943,MATCH(G944,G944:G1943,0))</f>
        <v>30</v>
      </c>
    </row>
    <row r="945" spans="1:8" x14ac:dyDescent="0.3">
      <c r="A945" s="4" t="s">
        <v>12</v>
      </c>
      <c r="B945" s="4" t="str">
        <f>VLOOKUP(A945,Cleandata!G945:H1944,2,FALSE)</f>
        <v>Electronics</v>
      </c>
      <c r="G945" t="s">
        <v>73</v>
      </c>
      <c r="H945">
        <f>INDEX(Cleandata!D945:D1944,MATCH(G945,G945:G1944,0))</f>
        <v>38</v>
      </c>
    </row>
    <row r="946" spans="1:8" x14ac:dyDescent="0.3">
      <c r="A946" s="4" t="s">
        <v>41</v>
      </c>
      <c r="B946" s="4" t="str">
        <f>VLOOKUP(A946,Cleandata!G946:H1945,2,FALSE)</f>
        <v>Accessories</v>
      </c>
      <c r="G946" t="s">
        <v>32</v>
      </c>
      <c r="H946">
        <f>INDEX(Cleandata!D946:D1945,MATCH(G946,G946:G1945,0))</f>
        <v>30</v>
      </c>
    </row>
    <row r="947" spans="1:8" x14ac:dyDescent="0.3">
      <c r="A947" s="4" t="s">
        <v>55</v>
      </c>
      <c r="B947" s="4" t="str">
        <f>VLOOKUP(A947,Cleandata!G947:H1946,2,FALSE)</f>
        <v>Accessories</v>
      </c>
      <c r="G947" t="s">
        <v>57</v>
      </c>
      <c r="H947">
        <f>INDEX(Cleandata!D947:D1946,MATCH(G947,G947:G1946,0))</f>
        <v>30</v>
      </c>
    </row>
    <row r="948" spans="1:8" x14ac:dyDescent="0.3">
      <c r="A948" s="4" t="s">
        <v>23</v>
      </c>
      <c r="B948" s="4" t="str">
        <f>VLOOKUP(A948,Cleandata!G948:H1947,2,FALSE)</f>
        <v>Clothing</v>
      </c>
      <c r="G948" t="s">
        <v>78</v>
      </c>
      <c r="H948">
        <f>INDEX(Cleandata!D948:D1947,MATCH(G948,G948:G1947,0))</f>
        <v>30</v>
      </c>
    </row>
    <row r="949" spans="1:8" x14ac:dyDescent="0.3">
      <c r="A949" s="4" t="s">
        <v>27</v>
      </c>
      <c r="B949" s="4" t="str">
        <f>VLOOKUP(A949,Cleandata!G949:H1948,2,FALSE)</f>
        <v>Electronics</v>
      </c>
      <c r="G949" t="s">
        <v>48</v>
      </c>
      <c r="H949">
        <f>INDEX(Cleandata!D949:D1948,MATCH(G949,G949:G1948,0))</f>
        <v>35</v>
      </c>
    </row>
    <row r="950" spans="1:8" x14ac:dyDescent="0.3">
      <c r="A950" s="4" t="s">
        <v>12</v>
      </c>
      <c r="B950" s="4" t="str">
        <f>VLOOKUP(A950,Cleandata!G950:H1949,2,FALSE)</f>
        <v>Electronics</v>
      </c>
      <c r="G950" t="s">
        <v>68</v>
      </c>
      <c r="H950">
        <f>INDEX(Cleandata!D950:D1949,MATCH(G950,G950:G1949,0))</f>
        <v>27</v>
      </c>
    </row>
    <row r="951" spans="1:8" x14ac:dyDescent="0.3">
      <c r="A951" s="4" t="s">
        <v>41</v>
      </c>
      <c r="B951" s="4" t="str">
        <f>VLOOKUP(A951,Cleandata!G951:H1950,2,FALSE)</f>
        <v>Accessories</v>
      </c>
      <c r="G951" t="s">
        <v>35</v>
      </c>
      <c r="H951">
        <f>INDEX(Cleandata!D951:D1950,MATCH(G951,G951:G1950,0))</f>
        <v>30</v>
      </c>
    </row>
    <row r="952" spans="1:8" x14ac:dyDescent="0.3">
      <c r="A952" s="4" t="s">
        <v>44</v>
      </c>
      <c r="B952" s="4" t="str">
        <f>VLOOKUP(A952,Cleandata!G952:H1951,2,FALSE)</f>
        <v>Accessories</v>
      </c>
      <c r="G952" t="s">
        <v>35</v>
      </c>
      <c r="H952">
        <f>INDEX(Cleandata!D952:D1951,MATCH(G952,G952:G1951,0))</f>
        <v>36</v>
      </c>
    </row>
    <row r="953" spans="1:8" x14ac:dyDescent="0.3">
      <c r="A953" s="4" t="s">
        <v>23</v>
      </c>
      <c r="B953" s="4" t="str">
        <f>VLOOKUP(A953,Cleandata!G953:H1952,2,FALSE)</f>
        <v>Clothing</v>
      </c>
      <c r="G953" t="s">
        <v>69</v>
      </c>
      <c r="H953">
        <f>INDEX(Cleandata!D953:D1952,MATCH(G953,G953:G1952,0))</f>
        <v>30</v>
      </c>
    </row>
    <row r="954" spans="1:8" x14ac:dyDescent="0.3">
      <c r="A954" s="4" t="s">
        <v>55</v>
      </c>
      <c r="B954" s="4" t="str">
        <f>VLOOKUP(A954,Cleandata!G954:H1953,2,FALSE)</f>
        <v>Accessories</v>
      </c>
      <c r="G954" t="s">
        <v>62</v>
      </c>
      <c r="H954">
        <f>INDEX(Cleandata!D954:D1953,MATCH(G954,G954:G1953,0))</f>
        <v>30</v>
      </c>
    </row>
    <row r="955" spans="1:8" x14ac:dyDescent="0.3">
      <c r="A955" s="4" t="s">
        <v>44</v>
      </c>
      <c r="B955" s="4" t="str">
        <f>VLOOKUP(A955,Cleandata!G955:H1954,2,FALSE)</f>
        <v>Accessories</v>
      </c>
      <c r="G955" t="s">
        <v>69</v>
      </c>
      <c r="H955">
        <f>INDEX(Cleandata!D955:D1954,MATCH(G955,G955:G1954,0))</f>
        <v>30</v>
      </c>
    </row>
    <row r="956" spans="1:8" x14ac:dyDescent="0.3">
      <c r="A956" s="4" t="s">
        <v>44</v>
      </c>
      <c r="B956" s="4" t="str">
        <f>VLOOKUP(A956,Cleandata!G956:H1955,2,FALSE)</f>
        <v>Accessories</v>
      </c>
      <c r="G956" t="s">
        <v>62</v>
      </c>
      <c r="H956">
        <f>INDEX(Cleandata!D956:D1955,MATCH(G956,G956:G1955,0))</f>
        <v>30</v>
      </c>
    </row>
    <row r="957" spans="1:8" x14ac:dyDescent="0.3">
      <c r="A957" s="4" t="s">
        <v>23</v>
      </c>
      <c r="B957" s="4" t="str">
        <f>VLOOKUP(A957,Cleandata!G957:H1956,2,FALSE)</f>
        <v>Clothing</v>
      </c>
      <c r="G957" t="s">
        <v>69</v>
      </c>
      <c r="H957">
        <f>INDEX(Cleandata!D957:D1956,MATCH(G957,G957:G1956,0))</f>
        <v>30</v>
      </c>
    </row>
    <row r="958" spans="1:8" x14ac:dyDescent="0.3">
      <c r="A958" s="4" t="s">
        <v>23</v>
      </c>
      <c r="B958" s="4" t="str">
        <f>VLOOKUP(A958,Cleandata!G958:H1957,2,FALSE)</f>
        <v>Clothing</v>
      </c>
      <c r="G958" t="s">
        <v>68</v>
      </c>
      <c r="H958">
        <f>INDEX(Cleandata!D958:D1957,MATCH(G958,G958:G1957,0))</f>
        <v>21</v>
      </c>
    </row>
    <row r="959" spans="1:8" x14ac:dyDescent="0.3">
      <c r="A959" s="4" t="s">
        <v>44</v>
      </c>
      <c r="B959" s="4" t="str">
        <f>VLOOKUP(A959,Cleandata!G959:H1958,2,FALSE)</f>
        <v>Accessories</v>
      </c>
      <c r="G959" t="s">
        <v>48</v>
      </c>
      <c r="H959">
        <f>INDEX(Cleandata!D959:D1958,MATCH(G959,G959:G1958,0))</f>
        <v>32</v>
      </c>
    </row>
    <row r="960" spans="1:8" x14ac:dyDescent="0.3">
      <c r="A960" s="4" t="s">
        <v>51</v>
      </c>
      <c r="B960" s="4" t="str">
        <f>VLOOKUP(A960,Cleandata!G960:H1959,2,FALSE)</f>
        <v>Electronics</v>
      </c>
      <c r="G960" t="s">
        <v>32</v>
      </c>
      <c r="H960">
        <f>INDEX(Cleandata!D960:D1959,MATCH(G960,G960:G1959,0))</f>
        <v>26</v>
      </c>
    </row>
    <row r="961" spans="1:8" x14ac:dyDescent="0.3">
      <c r="A961" s="4" t="s">
        <v>23</v>
      </c>
      <c r="B961" s="4" t="str">
        <f>VLOOKUP(A961,Cleandata!G961:H1960,2,FALSE)</f>
        <v>Clothing</v>
      </c>
      <c r="G961" t="s">
        <v>32</v>
      </c>
      <c r="H961">
        <f>INDEX(Cleandata!D961:D1960,MATCH(G961,G961:G1960,0))</f>
        <v>30</v>
      </c>
    </row>
    <row r="962" spans="1:8" x14ac:dyDescent="0.3">
      <c r="A962" s="4" t="s">
        <v>51</v>
      </c>
      <c r="B962" s="4" t="str">
        <f>VLOOKUP(A962,Cleandata!G962:H1961,2,FALSE)</f>
        <v>Electronics</v>
      </c>
      <c r="G962" t="s">
        <v>35</v>
      </c>
      <c r="H962">
        <f>INDEX(Cleandata!D962:D1961,MATCH(G962,G962:G1961,0))</f>
        <v>43</v>
      </c>
    </row>
    <row r="963" spans="1:8" x14ac:dyDescent="0.3">
      <c r="A963" s="4" t="s">
        <v>55</v>
      </c>
      <c r="B963" s="4" t="str">
        <f>VLOOKUP(A963,Cleandata!G963:H1962,2,FALSE)</f>
        <v>Accessories</v>
      </c>
      <c r="G963" t="s">
        <v>62</v>
      </c>
      <c r="H963">
        <f>INDEX(Cleandata!D963:D1962,MATCH(G963,G963:G1962,0))</f>
        <v>30</v>
      </c>
    </row>
    <row r="964" spans="1:8" x14ac:dyDescent="0.3">
      <c r="A964" s="4" t="s">
        <v>41</v>
      </c>
      <c r="B964" s="4" t="str">
        <f>VLOOKUP(A964,Cleandata!G964:H1963,2,FALSE)</f>
        <v>Accessories</v>
      </c>
      <c r="G964" t="s">
        <v>35</v>
      </c>
      <c r="H964">
        <f>INDEX(Cleandata!D964:D1963,MATCH(G964,G964:G1963,0))</f>
        <v>30</v>
      </c>
    </row>
    <row r="965" spans="1:8" x14ac:dyDescent="0.3">
      <c r="A965" s="4" t="s">
        <v>44</v>
      </c>
      <c r="B965" s="4" t="str">
        <f>VLOOKUP(A965,Cleandata!G965:H1964,2,FALSE)</f>
        <v>Accessories</v>
      </c>
      <c r="G965" t="s">
        <v>32</v>
      </c>
      <c r="H965">
        <f>INDEX(Cleandata!D965:D1964,MATCH(G965,G965:G1964,0))</f>
        <v>30</v>
      </c>
    </row>
    <row r="966" spans="1:8" x14ac:dyDescent="0.3">
      <c r="A966" s="4" t="s">
        <v>23</v>
      </c>
      <c r="B966" s="4" t="str">
        <f>VLOOKUP(A966,Cleandata!G966:H1965,2,FALSE)</f>
        <v>Clothing</v>
      </c>
      <c r="G966" t="s">
        <v>78</v>
      </c>
      <c r="H966">
        <f>INDEX(Cleandata!D966:D1965,MATCH(G966,G966:G1965,0))</f>
        <v>24</v>
      </c>
    </row>
    <row r="967" spans="1:8" x14ac:dyDescent="0.3">
      <c r="A967" s="4" t="s">
        <v>44</v>
      </c>
      <c r="B967" s="4" t="str">
        <f>VLOOKUP(A967,Cleandata!G967:H1966,2,FALSE)</f>
        <v>Accessories</v>
      </c>
      <c r="G967" t="s">
        <v>46</v>
      </c>
      <c r="H967">
        <f>INDEX(Cleandata!D967:D1966,MATCH(G967,G967:G1966,0))</f>
        <v>30</v>
      </c>
    </row>
    <row r="968" spans="1:8" x14ac:dyDescent="0.3">
      <c r="A968" s="4" t="s">
        <v>18</v>
      </c>
      <c r="B968" s="4" t="str">
        <f>VLOOKUP(A968,Cleandata!G968:H1967,2,FALSE)</f>
        <v>Clothing</v>
      </c>
      <c r="G968" t="s">
        <v>25</v>
      </c>
      <c r="H968">
        <f>INDEX(Cleandata!D968:D1967,MATCH(G968,G968:G1967,0))</f>
        <v>30</v>
      </c>
    </row>
    <row r="969" spans="1:8" x14ac:dyDescent="0.3">
      <c r="A969" s="4" t="s">
        <v>18</v>
      </c>
      <c r="B969" s="4" t="str">
        <f>VLOOKUP(A969,Cleandata!G969:H1968,2,FALSE)</f>
        <v>Clothing</v>
      </c>
      <c r="G969" t="s">
        <v>21</v>
      </c>
      <c r="H969">
        <f>INDEX(Cleandata!D969:D1968,MATCH(G969,G969:G1968,0))</f>
        <v>28</v>
      </c>
    </row>
    <row r="970" spans="1:8" x14ac:dyDescent="0.3">
      <c r="A970" s="4" t="s">
        <v>51</v>
      </c>
      <c r="B970" s="4" t="str">
        <f>VLOOKUP(A970,Cleandata!G970:H1969,2,FALSE)</f>
        <v>Electronics</v>
      </c>
      <c r="G970" t="s">
        <v>48</v>
      </c>
      <c r="H970">
        <f>INDEX(Cleandata!D970:D1969,MATCH(G970,G970:G1969,0))</f>
        <v>41</v>
      </c>
    </row>
    <row r="971" spans="1:8" x14ac:dyDescent="0.3">
      <c r="A971" s="4" t="s">
        <v>27</v>
      </c>
      <c r="B971" s="4" t="str">
        <f>VLOOKUP(A971,Cleandata!G971:H1970,2,FALSE)</f>
        <v>Electronics</v>
      </c>
      <c r="G971" t="s">
        <v>54</v>
      </c>
      <c r="H971">
        <f>INDEX(Cleandata!D971:D1970,MATCH(G971,G971:G1970,0))</f>
        <v>30</v>
      </c>
    </row>
    <row r="972" spans="1:8" x14ac:dyDescent="0.3">
      <c r="A972" s="4" t="s">
        <v>23</v>
      </c>
      <c r="B972" s="4" t="str">
        <f>VLOOKUP(A972,Cleandata!G972:H1971,2,FALSE)</f>
        <v>Clothing</v>
      </c>
      <c r="G972" t="s">
        <v>21</v>
      </c>
      <c r="H972">
        <f>INDEX(Cleandata!D972:D1971,MATCH(G972,G972:G1971,0))</f>
        <v>30</v>
      </c>
    </row>
    <row r="973" spans="1:8" x14ac:dyDescent="0.3">
      <c r="A973" s="4" t="s">
        <v>41</v>
      </c>
      <c r="B973" s="4" t="str">
        <f>VLOOKUP(A973,Cleandata!G973:H1972,2,FALSE)</f>
        <v>Accessories</v>
      </c>
      <c r="G973" t="s">
        <v>48</v>
      </c>
      <c r="H973">
        <f>INDEX(Cleandata!D973:D1972,MATCH(G973,G973:G1972,0))</f>
        <v>30</v>
      </c>
    </row>
    <row r="974" spans="1:8" x14ac:dyDescent="0.3">
      <c r="A974" s="4" t="s">
        <v>18</v>
      </c>
      <c r="B974" s="4" t="str">
        <f>VLOOKUP(A974,Cleandata!G974:H1973,2,FALSE)</f>
        <v>Clothing</v>
      </c>
      <c r="G974" t="s">
        <v>21</v>
      </c>
      <c r="H974">
        <f>INDEX(Cleandata!D974:D1973,MATCH(G974,G974:G1973,0))</f>
        <v>29</v>
      </c>
    </row>
    <row r="975" spans="1:8" x14ac:dyDescent="0.3">
      <c r="A975" s="4" t="s">
        <v>44</v>
      </c>
      <c r="B975" s="4" t="str">
        <f>VLOOKUP(A975,Cleandata!G975:H1974,2,FALSE)</f>
        <v>Accessories</v>
      </c>
      <c r="G975" t="s">
        <v>10</v>
      </c>
      <c r="H975">
        <f>INDEX(Cleandata!D975:D1974,MATCH(G975,G975:G1974,0))</f>
        <v>29</v>
      </c>
    </row>
    <row r="976" spans="1:8" x14ac:dyDescent="0.3">
      <c r="A976" s="4" t="s">
        <v>18</v>
      </c>
      <c r="B976" s="4" t="str">
        <f>VLOOKUP(A976,Cleandata!G976:H1975,2,FALSE)</f>
        <v>Clothing</v>
      </c>
      <c r="G976" t="s">
        <v>64</v>
      </c>
      <c r="H976">
        <f>INDEX(Cleandata!D976:D1975,MATCH(G976,G976:G1975,0))</f>
        <v>46</v>
      </c>
    </row>
    <row r="977" spans="1:8" x14ac:dyDescent="0.3">
      <c r="A977" s="4" t="s">
        <v>27</v>
      </c>
      <c r="B977" s="4" t="str">
        <f>VLOOKUP(A977,Cleandata!G977:H1976,2,FALSE)</f>
        <v>Electronics</v>
      </c>
      <c r="G977" t="s">
        <v>38</v>
      </c>
      <c r="H977">
        <f>INDEX(Cleandata!D977:D1976,MATCH(G977,G977:G1976,0))</f>
        <v>49</v>
      </c>
    </row>
    <row r="978" spans="1:8" x14ac:dyDescent="0.3">
      <c r="A978" s="4" t="s">
        <v>18</v>
      </c>
      <c r="B978" s="4" t="str">
        <f>VLOOKUP(A978,Cleandata!G978:H1977,2,FALSE)</f>
        <v>Clothing</v>
      </c>
      <c r="G978" t="s">
        <v>21</v>
      </c>
      <c r="H978">
        <f>INDEX(Cleandata!D978:D1977,MATCH(G978,G978:G1977,0))</f>
        <v>30</v>
      </c>
    </row>
    <row r="979" spans="1:8" x14ac:dyDescent="0.3">
      <c r="A979" s="4" t="s">
        <v>41</v>
      </c>
      <c r="B979" s="4" t="e">
        <f>VLOOKUP(A979,Cleandata!G979:H1978,2,FALSE)</f>
        <v>#N/A</v>
      </c>
      <c r="G979" t="s">
        <v>35</v>
      </c>
      <c r="H979">
        <f>INDEX(Cleandata!D979:D1978,MATCH(G979,G979:G1978,0))</f>
        <v>30</v>
      </c>
    </row>
    <row r="980" spans="1:8" x14ac:dyDescent="0.3">
      <c r="A980" s="4" t="s">
        <v>18</v>
      </c>
      <c r="B980" s="4" t="str">
        <f>VLOOKUP(A980,Cleandata!G980:H1979,2,FALSE)</f>
        <v>Clothing</v>
      </c>
      <c r="G980" t="s">
        <v>73</v>
      </c>
      <c r="H980">
        <f>INDEX(Cleandata!D980:D1979,MATCH(G980,G980:G1979,0))</f>
        <v>30</v>
      </c>
    </row>
    <row r="981" spans="1:8" x14ac:dyDescent="0.3">
      <c r="A981" s="4" t="s">
        <v>41</v>
      </c>
      <c r="B981" s="4" t="e">
        <f>VLOOKUP(A981,Cleandata!G981:H1980,2,FALSE)</f>
        <v>#N/A</v>
      </c>
      <c r="G981" t="s">
        <v>10</v>
      </c>
      <c r="H981">
        <f>INDEX(Cleandata!D981:D1980,MATCH(G981,G981:G1980,0))</f>
        <v>27</v>
      </c>
    </row>
    <row r="982" spans="1:8" x14ac:dyDescent="0.3">
      <c r="A982" s="4" t="s">
        <v>55</v>
      </c>
      <c r="B982" s="4" t="str">
        <f>VLOOKUP(A982,Cleandata!G982:H1981,2,FALSE)</f>
        <v>Accessories</v>
      </c>
      <c r="G982" t="s">
        <v>38</v>
      </c>
      <c r="H982">
        <f>INDEX(Cleandata!D982:D1981,MATCH(G982,G982:G1981,0))</f>
        <v>33</v>
      </c>
    </row>
    <row r="983" spans="1:8" x14ac:dyDescent="0.3">
      <c r="A983" s="4" t="s">
        <v>44</v>
      </c>
      <c r="B983" s="4" t="str">
        <f>VLOOKUP(A983,Cleandata!G983:H1982,2,FALSE)</f>
        <v>Accessories</v>
      </c>
      <c r="G983" t="s">
        <v>25</v>
      </c>
      <c r="H983">
        <f>INDEX(Cleandata!D983:D1982,MATCH(G983,G983:G1982,0))</f>
        <v>30</v>
      </c>
    </row>
    <row r="984" spans="1:8" x14ac:dyDescent="0.3">
      <c r="A984" s="4" t="s">
        <v>44</v>
      </c>
      <c r="B984" s="4" t="str">
        <f>VLOOKUP(A984,Cleandata!G984:H1983,2,FALSE)</f>
        <v>Accessories</v>
      </c>
      <c r="G984" t="s">
        <v>59</v>
      </c>
      <c r="H984">
        <f>INDEX(Cleandata!D984:D1983,MATCH(G984,G984:G1983,0))</f>
        <v>19</v>
      </c>
    </row>
    <row r="985" spans="1:8" x14ac:dyDescent="0.3">
      <c r="A985" s="4" t="s">
        <v>27</v>
      </c>
      <c r="B985" s="4" t="str">
        <f>VLOOKUP(A985,Cleandata!G985:H1984,2,FALSE)</f>
        <v>Electronics</v>
      </c>
      <c r="G985" t="s">
        <v>54</v>
      </c>
      <c r="H985">
        <f>INDEX(Cleandata!D985:D1984,MATCH(G985,G985:G1984,0))</f>
        <v>43</v>
      </c>
    </row>
    <row r="986" spans="1:8" x14ac:dyDescent="0.3">
      <c r="A986" s="4" t="s">
        <v>55</v>
      </c>
      <c r="B986" s="4" t="str">
        <f>VLOOKUP(A986,Cleandata!G986:H1985,2,FALSE)</f>
        <v>Accessories</v>
      </c>
      <c r="G986" t="s">
        <v>59</v>
      </c>
      <c r="H986">
        <f>INDEX(Cleandata!D986:D1985,MATCH(G986,G986:G1985,0))</f>
        <v>30</v>
      </c>
    </row>
    <row r="987" spans="1:8" x14ac:dyDescent="0.3">
      <c r="A987" s="4" t="s">
        <v>51</v>
      </c>
      <c r="B987" s="4" t="str">
        <f>VLOOKUP(A987,Cleandata!G987:H1986,2,FALSE)</f>
        <v>Electronics</v>
      </c>
      <c r="G987" t="s">
        <v>73</v>
      </c>
      <c r="H987">
        <f>INDEX(Cleandata!D987:D1986,MATCH(G987,G987:G1986,0))</f>
        <v>25</v>
      </c>
    </row>
    <row r="988" spans="1:8" x14ac:dyDescent="0.3">
      <c r="A988" s="4" t="s">
        <v>55</v>
      </c>
      <c r="B988" s="4" t="str">
        <f>VLOOKUP(A988,Cleandata!G988:H1987,2,FALSE)</f>
        <v>Accessories</v>
      </c>
      <c r="G988" t="s">
        <v>38</v>
      </c>
      <c r="H988">
        <f>INDEX(Cleandata!D988:D1987,MATCH(G988,G988:G1987,0))</f>
        <v>30</v>
      </c>
    </row>
    <row r="989" spans="1:8" x14ac:dyDescent="0.3">
      <c r="A989" s="4" t="s">
        <v>27</v>
      </c>
      <c r="B989" s="4" t="str">
        <f>VLOOKUP(A989,Cleandata!G989:H1988,2,FALSE)</f>
        <v>Electronics</v>
      </c>
      <c r="G989" t="s">
        <v>21</v>
      </c>
      <c r="H989">
        <f>INDEX(Cleandata!D989:D1988,MATCH(G989,G989:G1988,0))</f>
        <v>43</v>
      </c>
    </row>
    <row r="990" spans="1:8" x14ac:dyDescent="0.3">
      <c r="A990" s="4" t="s">
        <v>44</v>
      </c>
      <c r="B990" s="4" t="e">
        <f>VLOOKUP(A990,Cleandata!G990:H1989,2,FALSE)</f>
        <v>#N/A</v>
      </c>
      <c r="G990" t="s">
        <v>16</v>
      </c>
      <c r="H990">
        <f>INDEX(Cleandata!D990:D1989,MATCH(G990,G990:G1989,0))</f>
        <v>30</v>
      </c>
    </row>
    <row r="991" spans="1:8" x14ac:dyDescent="0.3">
      <c r="A991" s="4" t="s">
        <v>23</v>
      </c>
      <c r="B991" s="4" t="str">
        <f>VLOOKUP(A991,Cleandata!G991:H1990,2,FALSE)</f>
        <v>Clothing</v>
      </c>
      <c r="G991" t="s">
        <v>46</v>
      </c>
      <c r="H991">
        <f>INDEX(Cleandata!D991:D1990,MATCH(G991,G991:G1990,0))</f>
        <v>30</v>
      </c>
    </row>
    <row r="992" spans="1:8" x14ac:dyDescent="0.3">
      <c r="A992" s="4" t="s">
        <v>12</v>
      </c>
      <c r="B992" s="4" t="str">
        <f>VLOOKUP(A992,Cleandata!G992:H1991,2,FALSE)</f>
        <v>Electronics</v>
      </c>
      <c r="G992" t="s">
        <v>64</v>
      </c>
      <c r="H992">
        <f>INDEX(Cleandata!D992:D1991,MATCH(G992,G992:G1991,0))</f>
        <v>30</v>
      </c>
    </row>
    <row r="993" spans="1:8" x14ac:dyDescent="0.3">
      <c r="A993" s="4" t="s">
        <v>27</v>
      </c>
      <c r="B993" s="4" t="str">
        <f>VLOOKUP(A993,Cleandata!G993:H1992,2,FALSE)</f>
        <v>Electronics</v>
      </c>
      <c r="G993" t="s">
        <v>46</v>
      </c>
      <c r="H993">
        <f>INDEX(Cleandata!D993:D1992,MATCH(G993,G993:G1992,0))</f>
        <v>30</v>
      </c>
    </row>
    <row r="994" spans="1:8" x14ac:dyDescent="0.3">
      <c r="A994" s="4" t="s">
        <v>18</v>
      </c>
      <c r="B994" s="4" t="e">
        <f>VLOOKUP(A994,Cleandata!G994:H1993,2,FALSE)</f>
        <v>#N/A</v>
      </c>
      <c r="G994" t="s">
        <v>57</v>
      </c>
      <c r="H994">
        <f>INDEX(Cleandata!D994:D1993,MATCH(G994,G994:G1993,0))</f>
        <v>30</v>
      </c>
    </row>
    <row r="995" spans="1:8" x14ac:dyDescent="0.3">
      <c r="A995" s="4" t="s">
        <v>41</v>
      </c>
      <c r="B995" s="4" t="e">
        <f>VLOOKUP(A995,Cleandata!G995:H1994,2,FALSE)</f>
        <v>#N/A</v>
      </c>
      <c r="G995" t="s">
        <v>48</v>
      </c>
      <c r="H995">
        <f>INDEX(Cleandata!D995:D1994,MATCH(G995,G995:G1994,0))</f>
        <v>49</v>
      </c>
    </row>
    <row r="996" spans="1:8" x14ac:dyDescent="0.3">
      <c r="A996" s="4" t="s">
        <v>44</v>
      </c>
      <c r="B996" s="4" t="e">
        <f>VLOOKUP(A996,Cleandata!G996:H1995,2,FALSE)</f>
        <v>#N/A</v>
      </c>
      <c r="G996" t="s">
        <v>62</v>
      </c>
      <c r="H996">
        <f>INDEX(Cleandata!D996:D1995,MATCH(G996,G996:G1995,0))</f>
        <v>30</v>
      </c>
    </row>
    <row r="997" spans="1:8" x14ac:dyDescent="0.3">
      <c r="A997" s="4" t="s">
        <v>18</v>
      </c>
      <c r="B997" s="4" t="e">
        <f>VLOOKUP(A997,Cleandata!G997:H1996,2,FALSE)</f>
        <v>#N/A</v>
      </c>
      <c r="G997" t="s">
        <v>35</v>
      </c>
      <c r="H997">
        <f>INDEX(Cleandata!D997:D1996,MATCH(G997,G997:G1996,0))</f>
        <v>44</v>
      </c>
    </row>
    <row r="998" spans="1:8" x14ac:dyDescent="0.3">
      <c r="A998" s="4" t="s">
        <v>18</v>
      </c>
      <c r="B998" s="4" t="e">
        <f>VLOOKUP(A998,Cleandata!G998:H1997,2,FALSE)</f>
        <v>#N/A</v>
      </c>
      <c r="G998" t="s">
        <v>25</v>
      </c>
      <c r="H998">
        <f>INDEX(Cleandata!D998:D1997,MATCH(G998,G998:G1997,0))</f>
        <v>30</v>
      </c>
    </row>
    <row r="999" spans="1:8" x14ac:dyDescent="0.3">
      <c r="A999" s="4" t="s">
        <v>18</v>
      </c>
      <c r="B999" s="4" t="e">
        <f>VLOOKUP(A999,Cleandata!G999:H1998,2,FALSE)</f>
        <v>#N/A</v>
      </c>
      <c r="G999" t="s">
        <v>38</v>
      </c>
      <c r="H999">
        <f>INDEX(Cleandata!D999:D1998,MATCH(G999,G999:G1998,0))</f>
        <v>30</v>
      </c>
    </row>
    <row r="1000" spans="1:8" x14ac:dyDescent="0.3">
      <c r="A1000" s="4" t="s">
        <v>18</v>
      </c>
      <c r="B1000" s="4" t="e">
        <f>VLOOKUP(A1000,Cleandata!G1000:H1999,2,FALSE)</f>
        <v>#N/A</v>
      </c>
      <c r="G1000" t="s">
        <v>46</v>
      </c>
      <c r="H1000">
        <f>INDEX(Cleandata!D1000:D1999,MATCH(G1000,G1000:G1999,0))</f>
        <v>30</v>
      </c>
    </row>
    <row r="1001" spans="1:8" x14ac:dyDescent="0.3">
      <c r="A1001" s="4" t="s">
        <v>55</v>
      </c>
      <c r="B1001" s="4" t="str">
        <f>VLOOKUP(A1001,Cleandata!G1001:H2000,2,FALSE)</f>
        <v>Accessories</v>
      </c>
      <c r="G1001" t="s">
        <v>54</v>
      </c>
      <c r="H1001">
        <f>INDEX(Cleandata!D1001:D2000,MATCH(G1001,G1001:G2000,0))</f>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67032-D078-4F5B-8160-737440B38831}">
  <dimension ref="A1:C66"/>
  <sheetViews>
    <sheetView topLeftCell="A16" workbookViewId="0">
      <selection activeCell="L29" sqref="L29"/>
    </sheetView>
  </sheetViews>
  <sheetFormatPr defaultRowHeight="14.4" x14ac:dyDescent="0.3"/>
  <cols>
    <col min="1" max="1" width="12.5546875" bestFit="1" customWidth="1"/>
    <col min="2" max="2" width="17" bestFit="1" customWidth="1"/>
    <col min="3" max="4" width="10.77734375" bestFit="1" customWidth="1"/>
  </cols>
  <sheetData>
    <row r="1" spans="1:2" x14ac:dyDescent="0.3">
      <c r="A1" s="9" t="s">
        <v>255</v>
      </c>
      <c r="B1" t="s">
        <v>257</v>
      </c>
    </row>
    <row r="2" spans="1:2" x14ac:dyDescent="0.3">
      <c r="A2" s="10" t="s">
        <v>55</v>
      </c>
      <c r="B2" s="2">
        <v>3170080</v>
      </c>
    </row>
    <row r="3" spans="1:2" x14ac:dyDescent="0.3">
      <c r="A3" s="10" t="s">
        <v>18</v>
      </c>
      <c r="B3" s="2">
        <v>1963510</v>
      </c>
    </row>
    <row r="4" spans="1:2" x14ac:dyDescent="0.3">
      <c r="A4" s="10" t="s">
        <v>51</v>
      </c>
      <c r="B4" s="2">
        <v>2387889</v>
      </c>
    </row>
    <row r="5" spans="1:2" x14ac:dyDescent="0.3">
      <c r="A5" s="10" t="s">
        <v>12</v>
      </c>
      <c r="B5" s="2">
        <v>2414547</v>
      </c>
    </row>
    <row r="6" spans="1:2" x14ac:dyDescent="0.3">
      <c r="A6" s="10" t="s">
        <v>23</v>
      </c>
      <c r="B6" s="2">
        <v>3806599</v>
      </c>
    </row>
    <row r="7" spans="1:2" x14ac:dyDescent="0.3">
      <c r="A7" s="10" t="s">
        <v>41</v>
      </c>
      <c r="B7" s="2">
        <v>2634994</v>
      </c>
    </row>
    <row r="8" spans="1:2" x14ac:dyDescent="0.3">
      <c r="A8" s="10" t="s">
        <v>27</v>
      </c>
      <c r="B8" s="2">
        <v>3498899</v>
      </c>
    </row>
    <row r="9" spans="1:2" x14ac:dyDescent="0.3">
      <c r="A9" s="10" t="s">
        <v>44</v>
      </c>
      <c r="B9" s="2">
        <v>2774212</v>
      </c>
    </row>
    <row r="10" spans="1:2" x14ac:dyDescent="0.3">
      <c r="A10" s="10" t="s">
        <v>256</v>
      </c>
      <c r="B10" s="2">
        <v>22650730</v>
      </c>
    </row>
    <row r="14" spans="1:2" x14ac:dyDescent="0.3">
      <c r="A14" s="9" t="s">
        <v>255</v>
      </c>
      <c r="B14" t="s">
        <v>257</v>
      </c>
    </row>
    <row r="15" spans="1:2" x14ac:dyDescent="0.3">
      <c r="A15" s="10" t="s">
        <v>244</v>
      </c>
      <c r="B15" s="2">
        <v>5028522</v>
      </c>
    </row>
    <row r="16" spans="1:2" x14ac:dyDescent="0.3">
      <c r="A16" s="10" t="s">
        <v>242</v>
      </c>
      <c r="B16" s="2">
        <v>4555826</v>
      </c>
    </row>
    <row r="17" spans="1:2" x14ac:dyDescent="0.3">
      <c r="A17" s="10" t="s">
        <v>241</v>
      </c>
      <c r="B17" s="2">
        <v>4513959</v>
      </c>
    </row>
    <row r="18" spans="1:2" x14ac:dyDescent="0.3">
      <c r="A18" s="10" t="s">
        <v>240</v>
      </c>
      <c r="B18" s="2">
        <v>3825427</v>
      </c>
    </row>
    <row r="19" spans="1:2" x14ac:dyDescent="0.3">
      <c r="A19" s="10" t="s">
        <v>243</v>
      </c>
      <c r="B19" s="2">
        <v>4726996</v>
      </c>
    </row>
    <row r="20" spans="1:2" x14ac:dyDescent="0.3">
      <c r="A20" s="10" t="s">
        <v>256</v>
      </c>
      <c r="B20" s="2">
        <v>22650730</v>
      </c>
    </row>
    <row r="24" spans="1:2" x14ac:dyDescent="0.3">
      <c r="A24" s="9" t="s">
        <v>255</v>
      </c>
      <c r="B24" t="s">
        <v>257</v>
      </c>
    </row>
    <row r="25" spans="1:2" x14ac:dyDescent="0.3">
      <c r="A25" s="10" t="s">
        <v>17</v>
      </c>
      <c r="B25" s="2">
        <v>8335886</v>
      </c>
    </row>
    <row r="26" spans="1:2" x14ac:dyDescent="0.3">
      <c r="A26" s="10" t="s">
        <v>40</v>
      </c>
      <c r="B26" s="2">
        <v>14314844</v>
      </c>
    </row>
    <row r="27" spans="1:2" x14ac:dyDescent="0.3">
      <c r="A27" s="10" t="s">
        <v>256</v>
      </c>
      <c r="B27" s="2">
        <v>22650730</v>
      </c>
    </row>
    <row r="32" spans="1:2" x14ac:dyDescent="0.3">
      <c r="A32" s="9" t="s">
        <v>255</v>
      </c>
      <c r="B32" t="s">
        <v>257</v>
      </c>
    </row>
    <row r="33" spans="1:2" x14ac:dyDescent="0.3">
      <c r="A33" s="10" t="s">
        <v>262</v>
      </c>
      <c r="B33" s="2">
        <v>22650730</v>
      </c>
    </row>
    <row r="34" spans="1:2" x14ac:dyDescent="0.3">
      <c r="A34" s="11" t="s">
        <v>259</v>
      </c>
      <c r="B34" s="2">
        <v>11251547</v>
      </c>
    </row>
    <row r="35" spans="1:2" x14ac:dyDescent="0.3">
      <c r="A35" s="11" t="s">
        <v>260</v>
      </c>
      <c r="B35" s="2">
        <v>10804703</v>
      </c>
    </row>
    <row r="36" spans="1:2" x14ac:dyDescent="0.3">
      <c r="A36" s="11" t="s">
        <v>261</v>
      </c>
      <c r="B36" s="2">
        <v>594480</v>
      </c>
    </row>
    <row r="37" spans="1:2" x14ac:dyDescent="0.3">
      <c r="A37" s="10" t="s">
        <v>256</v>
      </c>
      <c r="B37" s="2">
        <v>22650730</v>
      </c>
    </row>
    <row r="57" spans="1:3" x14ac:dyDescent="0.3">
      <c r="A57" s="9" t="s">
        <v>258</v>
      </c>
      <c r="B57" s="9" t="s">
        <v>263</v>
      </c>
    </row>
    <row r="58" spans="1:3" x14ac:dyDescent="0.3">
      <c r="A58" s="9" t="s">
        <v>255</v>
      </c>
      <c r="B58" t="s">
        <v>17</v>
      </c>
      <c r="C58" t="s">
        <v>256</v>
      </c>
    </row>
    <row r="59" spans="1:3" x14ac:dyDescent="0.3">
      <c r="A59" s="10" t="s">
        <v>55</v>
      </c>
      <c r="B59" s="1">
        <v>10</v>
      </c>
      <c r="C59" s="1">
        <v>10</v>
      </c>
    </row>
    <row r="60" spans="1:3" x14ac:dyDescent="0.3">
      <c r="A60" s="10" t="s">
        <v>18</v>
      </c>
      <c r="B60" s="1">
        <v>12</v>
      </c>
      <c r="C60" s="1">
        <v>12</v>
      </c>
    </row>
    <row r="61" spans="1:3" x14ac:dyDescent="0.3">
      <c r="A61" s="10" t="s">
        <v>51</v>
      </c>
      <c r="B61" s="1">
        <v>2</v>
      </c>
      <c r="C61" s="1">
        <v>2</v>
      </c>
    </row>
    <row r="62" spans="1:3" x14ac:dyDescent="0.3">
      <c r="A62" s="10" t="s">
        <v>12</v>
      </c>
      <c r="B62" s="1">
        <v>9</v>
      </c>
      <c r="C62" s="1">
        <v>9</v>
      </c>
    </row>
    <row r="63" spans="1:3" x14ac:dyDescent="0.3">
      <c r="A63" s="10" t="s">
        <v>23</v>
      </c>
      <c r="B63" s="1">
        <v>9</v>
      </c>
      <c r="C63" s="1">
        <v>9</v>
      </c>
    </row>
    <row r="64" spans="1:3" x14ac:dyDescent="0.3">
      <c r="A64" s="10" t="s">
        <v>41</v>
      </c>
      <c r="B64" s="1">
        <v>6</v>
      </c>
      <c r="C64" s="1">
        <v>6</v>
      </c>
    </row>
    <row r="65" spans="1:3" x14ac:dyDescent="0.3">
      <c r="A65" s="10" t="s">
        <v>27</v>
      </c>
      <c r="B65" s="1">
        <v>10</v>
      </c>
      <c r="C65" s="1">
        <v>10</v>
      </c>
    </row>
    <row r="66" spans="1:3" x14ac:dyDescent="0.3">
      <c r="A66" s="10" t="s">
        <v>256</v>
      </c>
      <c r="B66" s="1">
        <v>58</v>
      </c>
      <c r="C66" s="1">
        <v>58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5E99-4B4E-4413-BFC3-588A126E0A22}">
  <dimension ref="A1"/>
  <sheetViews>
    <sheetView showGridLines="0" tabSelected="1" topLeftCell="A56" workbookViewId="0">
      <selection activeCell="S62" sqref="S62"/>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D5F004-2855-4D64-8648-6B8E8FB351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SalesData</vt:lpstr>
      <vt:lpstr>Cleandata</vt:lpstr>
      <vt:lpstr>Productmapping</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trajendran031954@outlook.com</cp:lastModifiedBy>
  <dcterms:created xsi:type="dcterms:W3CDTF">2026-05-02T14:44:46Z</dcterms:created>
  <dcterms:modified xsi:type="dcterms:W3CDTF">2026-05-03T10:29:22Z</dcterms:modified>
</cp:coreProperties>
</file>